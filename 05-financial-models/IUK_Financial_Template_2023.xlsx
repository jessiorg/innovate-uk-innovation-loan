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9"/>
  <workbookPr codeName="ThisWorkbook"/>
  <mc:AlternateContent xmlns:mc="http://schemas.openxmlformats.org/markup-compatibility/2006">
    <mc:Choice Requires="x15">
      <x15ac:absPath xmlns:x15ac="http://schemas.microsoft.com/office/spreadsheetml/2010/11/ac" url="https://ukri-my.sharepoint.com/personal/nigel_walker_iuk_ukri_org/Documents/My Documents/01 NIFP papers/Competitions/"/>
    </mc:Choice>
  </mc:AlternateContent>
  <xr:revisionPtr revIDLastSave="5" documentId="8_{CA5B85F1-3FFB-45C0-8BF5-35E8E3C5BB75}" xr6:coauthVersionLast="47" xr6:coauthVersionMax="47" xr10:uidLastSave="{B9EBA798-4317-4B2A-B2A0-E04353EA9940}"/>
  <bookViews>
    <workbookView xWindow="-110" yWindow="-110" windowWidth="19420" windowHeight="10420" tabRatio="846" xr2:uid="{00000000-000D-0000-FFFF-FFFF00000000}"/>
  </bookViews>
  <sheets>
    <sheet name="1. Business Financials" sheetId="1" r:id="rId1"/>
    <sheet name="2. Sales Assumptions" sheetId="7" r:id="rId2"/>
    <sheet name="3. Repayment Calc Template" sheetId="2" r:id="rId3"/>
    <sheet name="4. Innovation Loans Calcs" sheetId="6" r:id="rId4"/>
    <sheet name="5. Reference Rate Template" sheetId="8" r:id="rId5"/>
    <sheet name="6. Grant Equiv Template" sheetId="9" r:id="rId6"/>
    <sheet name="7. Reference Rate Calcs" sheetId="11" r:id="rId7"/>
    <sheet name="8. Grant Equiv Calcs" sheetId="12" r:id="rId8"/>
    <sheet name="Sheet1" sheetId="5" state="hidden"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jjem32yBlIvQLLJIeMeJaf+yz34w=="/>
    </ext>
  </extLst>
</workbook>
</file>

<file path=xl/calcChain.xml><?xml version="1.0" encoding="utf-8"?>
<calcChain xmlns="http://schemas.openxmlformats.org/spreadsheetml/2006/main">
  <c r="C29" i="2" l="1"/>
  <c r="C29" i="8"/>
  <c r="C28" i="8"/>
  <c r="C28" i="2"/>
  <c r="O47" i="12"/>
  <c r="P47" i="12"/>
  <c r="Q47" i="12"/>
  <c r="R47" i="12"/>
  <c r="S47" i="12"/>
  <c r="T47" i="12"/>
  <c r="U47" i="12"/>
  <c r="V47" i="12"/>
  <c r="W47" i="12"/>
  <c r="X47" i="12"/>
  <c r="Y47" i="12"/>
  <c r="Z47" i="12"/>
  <c r="AA47" i="12"/>
  <c r="AB47" i="12"/>
  <c r="AC47" i="12"/>
  <c r="AD47" i="12"/>
  <c r="AE47" i="12"/>
  <c r="AF47" i="12"/>
  <c r="AG47" i="12"/>
  <c r="AH47" i="12"/>
  <c r="AI47" i="12"/>
  <c r="AJ47" i="12"/>
  <c r="AK47" i="12"/>
  <c r="AL47" i="12"/>
  <c r="AM47" i="12"/>
  <c r="AN47" i="12"/>
  <c r="AO47" i="12"/>
  <c r="AP47" i="12"/>
  <c r="N39" i="12"/>
  <c r="N47" i="12" s="1"/>
  <c r="M39" i="12"/>
  <c r="M47" i="12" s="1"/>
  <c r="L39" i="12"/>
  <c r="L47" i="12" s="1"/>
  <c r="K39" i="12"/>
  <c r="K47" i="12" s="1"/>
  <c r="N39" i="11"/>
  <c r="M39" i="11"/>
  <c r="L39" i="11"/>
  <c r="K39" i="11"/>
  <c r="G19" i="9"/>
  <c r="G20" i="9"/>
  <c r="G21" i="9"/>
  <c r="G22" i="9"/>
  <c r="G19" i="8"/>
  <c r="G20" i="8"/>
  <c r="G21" i="8"/>
  <c r="G22" i="8"/>
  <c r="N39" i="6"/>
  <c r="M39" i="6"/>
  <c r="L39" i="6"/>
  <c r="K39" i="6"/>
  <c r="N40" i="2"/>
  <c r="M40" i="2"/>
  <c r="L40" i="2"/>
  <c r="K40" i="2"/>
  <c r="N39" i="2"/>
  <c r="N38" i="9" s="1"/>
  <c r="M39" i="2"/>
  <c r="M38" i="9" s="1"/>
  <c r="L39" i="2"/>
  <c r="L38" i="9" s="1"/>
  <c r="K39" i="2"/>
  <c r="K38" i="9" s="1"/>
  <c r="N38" i="2"/>
  <c r="M38" i="2"/>
  <c r="L38" i="2"/>
  <c r="K38" i="2"/>
  <c r="N41" i="2" l="1"/>
  <c r="L41" i="2"/>
  <c r="K41" i="2"/>
  <c r="M41" i="2"/>
  <c r="F85" i="1" l="1"/>
  <c r="E85" i="1"/>
  <c r="F80" i="1"/>
  <c r="H80" i="1"/>
  <c r="I80" i="1"/>
  <c r="J80" i="1"/>
  <c r="K80" i="1"/>
  <c r="L80" i="1"/>
  <c r="M80" i="1"/>
  <c r="G80" i="1"/>
  <c r="G75" i="1"/>
  <c r="H75" i="1"/>
  <c r="I75" i="1"/>
  <c r="J75" i="1"/>
  <c r="K75" i="1"/>
  <c r="L75" i="1"/>
  <c r="M75" i="1"/>
  <c r="N75" i="1"/>
  <c r="F75" i="1"/>
  <c r="C61" i="12"/>
  <c r="C41" i="12"/>
  <c r="J39" i="12"/>
  <c r="J47" i="12" s="1"/>
  <c r="I39" i="12"/>
  <c r="I47" i="12" s="1"/>
  <c r="H39" i="12"/>
  <c r="H47" i="12" s="1"/>
  <c r="G39" i="12"/>
  <c r="G47" i="12" s="1"/>
  <c r="F39" i="12"/>
  <c r="F47" i="12" s="1"/>
  <c r="E39" i="12"/>
  <c r="E47" i="12" s="1"/>
  <c r="D39" i="12"/>
  <c r="D47" i="12" s="1"/>
  <c r="C39" i="12"/>
  <c r="C47" i="12" s="1"/>
  <c r="D38" i="12"/>
  <c r="E38" i="12" s="1"/>
  <c r="C29" i="12"/>
  <c r="C41" i="11"/>
  <c r="C49" i="11" s="1"/>
  <c r="C9" i="8"/>
  <c r="C9" i="9"/>
  <c r="AP47" i="11"/>
  <c r="AO47" i="11"/>
  <c r="AN47" i="11"/>
  <c r="AM47" i="11"/>
  <c r="AL47" i="11"/>
  <c r="AK47" i="11"/>
  <c r="AJ47" i="11"/>
  <c r="AI47" i="11"/>
  <c r="AH47" i="11"/>
  <c r="AG47" i="11"/>
  <c r="AF47" i="11"/>
  <c r="AE47" i="11"/>
  <c r="AD47" i="11"/>
  <c r="AC47" i="11"/>
  <c r="AB47" i="11"/>
  <c r="AA47" i="11"/>
  <c r="Z47" i="11"/>
  <c r="Y47" i="11"/>
  <c r="X47" i="11"/>
  <c r="W47" i="11"/>
  <c r="V47" i="11"/>
  <c r="U47" i="11"/>
  <c r="T47" i="11"/>
  <c r="S47" i="11"/>
  <c r="R47" i="11"/>
  <c r="Q47" i="11"/>
  <c r="P47" i="11"/>
  <c r="O47" i="11"/>
  <c r="N47" i="11"/>
  <c r="M47" i="11"/>
  <c r="L47" i="11"/>
  <c r="K47" i="11"/>
  <c r="J39" i="11"/>
  <c r="J47" i="11" s="1"/>
  <c r="I39" i="11"/>
  <c r="I47" i="11" s="1"/>
  <c r="H39" i="11"/>
  <c r="H47" i="11" s="1"/>
  <c r="G39" i="11"/>
  <c r="G47" i="11" s="1"/>
  <c r="F39" i="11"/>
  <c r="F47" i="11" s="1"/>
  <c r="E39" i="11"/>
  <c r="E47" i="11" s="1"/>
  <c r="D39" i="11"/>
  <c r="D47" i="11" s="1"/>
  <c r="C39" i="11"/>
  <c r="C47" i="11" s="1"/>
  <c r="D38" i="11"/>
  <c r="E38" i="11" s="1"/>
  <c r="C29" i="11"/>
  <c r="F38" i="12" l="1"/>
  <c r="F38" i="11"/>
  <c r="C97" i="1"/>
  <c r="J39" i="2"/>
  <c r="J38" i="9" s="1"/>
  <c r="J38" i="2"/>
  <c r="J27" i="7"/>
  <c r="C83" i="1"/>
  <c r="C72" i="1"/>
  <c r="D72" i="1"/>
  <c r="D83" i="1"/>
  <c r="E83" i="1"/>
  <c r="E72" i="1"/>
  <c r="G15" i="9"/>
  <c r="G16" i="9"/>
  <c r="G17" i="9"/>
  <c r="G18" i="9"/>
  <c r="M12" i="9"/>
  <c r="M11" i="9"/>
  <c r="D21" i="9"/>
  <c r="G12" i="9"/>
  <c r="G13" i="9"/>
  <c r="G14" i="9"/>
  <c r="G11" i="9"/>
  <c r="J11" i="9" s="1"/>
  <c r="C13" i="9"/>
  <c r="D13" i="9" s="1"/>
  <c r="C14" i="9"/>
  <c r="C12" i="9"/>
  <c r="C10" i="9"/>
  <c r="M15" i="9"/>
  <c r="G38" i="12" l="1"/>
  <c r="G38" i="11"/>
  <c r="E86" i="1"/>
  <c r="D86" i="1"/>
  <c r="C86" i="1"/>
  <c r="C87" i="1" s="1"/>
  <c r="J12" i="9"/>
  <c r="J13" i="9" s="1"/>
  <c r="J14" i="9" s="1"/>
  <c r="J15" i="9" s="1"/>
  <c r="J16" i="9" s="1"/>
  <c r="J17" i="9" s="1"/>
  <c r="J18" i="9" s="1"/>
  <c r="J19" i="9" s="1"/>
  <c r="J20" i="9" s="1"/>
  <c r="J21" i="9" s="1"/>
  <c r="J22" i="9" s="1"/>
  <c r="D15" i="9"/>
  <c r="C15" i="9"/>
  <c r="D85" i="1" l="1"/>
  <c r="C92" i="1"/>
  <c r="D87" i="1"/>
  <c r="H38" i="12"/>
  <c r="H38" i="11"/>
  <c r="G12" i="8"/>
  <c r="G13" i="8"/>
  <c r="G14" i="8"/>
  <c r="G15" i="8"/>
  <c r="G16" i="8"/>
  <c r="G17" i="8"/>
  <c r="G18" i="8"/>
  <c r="G11" i="8"/>
  <c r="C13" i="8"/>
  <c r="C14" i="8"/>
  <c r="C12" i="8"/>
  <c r="C10" i="8"/>
  <c r="C25" i="8"/>
  <c r="C21" i="8"/>
  <c r="C20" i="8"/>
  <c r="C19" i="8"/>
  <c r="M15" i="8"/>
  <c r="D37" i="8" l="1"/>
  <c r="E37" i="8" s="1"/>
  <c r="F37" i="8" s="1"/>
  <c r="G37" i="8" s="1"/>
  <c r="H37" i="8" s="1"/>
  <c r="I37" i="8" s="1"/>
  <c r="J37" i="8" s="1"/>
  <c r="K37" i="8" s="1"/>
  <c r="L37" i="8" s="1"/>
  <c r="M37" i="8" s="1"/>
  <c r="N37" i="8" s="1"/>
  <c r="M38" i="8"/>
  <c r="L38" i="8"/>
  <c r="K38" i="8"/>
  <c r="N38" i="8"/>
  <c r="N40" i="8"/>
  <c r="N39" i="9" s="1"/>
  <c r="M40" i="8"/>
  <c r="M39" i="9" s="1"/>
  <c r="L40" i="8"/>
  <c r="L39" i="9" s="1"/>
  <c r="K40" i="8"/>
  <c r="K39" i="9" s="1"/>
  <c r="E87" i="1"/>
  <c r="D92" i="1"/>
  <c r="I38" i="12"/>
  <c r="J49" i="8"/>
  <c r="I38" i="11"/>
  <c r="H38" i="8"/>
  <c r="G38" i="8"/>
  <c r="J38" i="8"/>
  <c r="I38" i="8"/>
  <c r="D13" i="8"/>
  <c r="J11" i="8"/>
  <c r="J12" i="8" s="1"/>
  <c r="J47" i="8"/>
  <c r="I49" i="8"/>
  <c r="F38" i="8"/>
  <c r="F49" i="8"/>
  <c r="F47" i="8"/>
  <c r="D14" i="8"/>
  <c r="R57" i="8"/>
  <c r="D12" i="8"/>
  <c r="C15" i="8"/>
  <c r="C38" i="8"/>
  <c r="C47" i="8"/>
  <c r="G47" i="8"/>
  <c r="C49" i="8"/>
  <c r="G49" i="8"/>
  <c r="D15" i="8"/>
  <c r="D38" i="8"/>
  <c r="D47" i="8"/>
  <c r="H47" i="8"/>
  <c r="D49" i="8"/>
  <c r="H49" i="8"/>
  <c r="E38" i="8"/>
  <c r="E47" i="8"/>
  <c r="I47" i="8"/>
  <c r="E49" i="8"/>
  <c r="N37" i="9" l="1"/>
  <c r="N40" i="9" s="1"/>
  <c r="N41" i="8"/>
  <c r="K37" i="9"/>
  <c r="K40" i="9" s="1"/>
  <c r="K41" i="8"/>
  <c r="L37" i="9"/>
  <c r="L40" i="9" s="1"/>
  <c r="L41" i="8"/>
  <c r="M37" i="9"/>
  <c r="M40" i="9" s="1"/>
  <c r="M41" i="8"/>
  <c r="C46" i="8"/>
  <c r="D46" i="8" s="1"/>
  <c r="E92" i="1"/>
  <c r="J50" i="8"/>
  <c r="C40" i="11"/>
  <c r="C48" i="11" s="1"/>
  <c r="C40" i="12"/>
  <c r="J38" i="12"/>
  <c r="J38" i="11"/>
  <c r="J13" i="8"/>
  <c r="J14" i="8" s="1"/>
  <c r="J15" i="8" s="1"/>
  <c r="G40" i="8" s="1"/>
  <c r="D40" i="8"/>
  <c r="D41" i="8" s="1"/>
  <c r="C40" i="8"/>
  <c r="M57" i="8"/>
  <c r="J37" i="9"/>
  <c r="C31" i="8"/>
  <c r="D31" i="8" s="1"/>
  <c r="Q57" i="8"/>
  <c r="S57" i="8"/>
  <c r="O57" i="8"/>
  <c r="I57" i="8"/>
  <c r="K57" i="8"/>
  <c r="P57" i="8"/>
  <c r="L57" i="8"/>
  <c r="C57" i="8"/>
  <c r="J57" i="8"/>
  <c r="T57" i="8"/>
  <c r="E57" i="8"/>
  <c r="G57" i="8"/>
  <c r="H57" i="8"/>
  <c r="F56" i="8"/>
  <c r="D57" i="8"/>
  <c r="F50" i="8"/>
  <c r="U57" i="8"/>
  <c r="N57" i="8"/>
  <c r="E40" i="8"/>
  <c r="E41" i="8" s="1"/>
  <c r="V57" i="8"/>
  <c r="F57" i="8"/>
  <c r="T56" i="8"/>
  <c r="M56" i="8"/>
  <c r="L56" i="8"/>
  <c r="S56" i="8"/>
  <c r="P56" i="8"/>
  <c r="I56" i="8"/>
  <c r="D56" i="8"/>
  <c r="O56" i="8"/>
  <c r="J56" i="8"/>
  <c r="U56" i="8"/>
  <c r="K56" i="8"/>
  <c r="V56" i="8"/>
  <c r="Q56" i="8"/>
  <c r="H56" i="8"/>
  <c r="G56" i="8"/>
  <c r="C56" i="8"/>
  <c r="R56" i="8"/>
  <c r="E56" i="8"/>
  <c r="N56" i="8"/>
  <c r="I50" i="8"/>
  <c r="E50" i="8"/>
  <c r="H50" i="8"/>
  <c r="G50" i="8"/>
  <c r="D50" i="8"/>
  <c r="C50" i="8"/>
  <c r="S59" i="8" l="1"/>
  <c r="E46" i="8"/>
  <c r="C41" i="8"/>
  <c r="C42" i="12"/>
  <c r="C42" i="11"/>
  <c r="C50" i="11" s="1"/>
  <c r="K38" i="12"/>
  <c r="F40" i="8"/>
  <c r="F41" i="8" s="1"/>
  <c r="K38" i="11"/>
  <c r="J16" i="8"/>
  <c r="H40" i="8" s="1"/>
  <c r="U59" i="8"/>
  <c r="T59" i="8"/>
  <c r="V59" i="8"/>
  <c r="C26" i="8"/>
  <c r="F46" i="8" l="1"/>
  <c r="L38" i="12"/>
  <c r="J17" i="8"/>
  <c r="I40" i="8" s="1"/>
  <c r="L38" i="11"/>
  <c r="H41" i="8"/>
  <c r="D37" i="2"/>
  <c r="J18" i="8" l="1"/>
  <c r="G46" i="8"/>
  <c r="E37" i="2"/>
  <c r="F37" i="2" s="1"/>
  <c r="G37" i="2" s="1"/>
  <c r="H37" i="2" s="1"/>
  <c r="I37" i="2" s="1"/>
  <c r="J37" i="2" s="1"/>
  <c r="K37" i="2" s="1"/>
  <c r="L37" i="2" s="1"/>
  <c r="M37" i="2" s="1"/>
  <c r="N37" i="2" s="1"/>
  <c r="M38" i="12"/>
  <c r="M38" i="11"/>
  <c r="I41" i="8"/>
  <c r="E27" i="7"/>
  <c r="F27" i="7"/>
  <c r="J19" i="8" l="1"/>
  <c r="J20" i="8" s="1"/>
  <c r="J21" i="8" s="1"/>
  <c r="J22" i="8" s="1"/>
  <c r="Q58" i="8"/>
  <c r="Q59" i="8" s="1"/>
  <c r="R58" i="8"/>
  <c r="R59" i="8" s="1"/>
  <c r="V58" i="8"/>
  <c r="T58" i="8"/>
  <c r="U58" i="8"/>
  <c r="S58" i="8"/>
  <c r="O58" i="8"/>
  <c r="O59" i="8" s="1"/>
  <c r="P58" i="8"/>
  <c r="P59" i="8" s="1"/>
  <c r="C58" i="8"/>
  <c r="C59" i="8" s="1"/>
  <c r="C61" i="8" s="1"/>
  <c r="D62" i="8" s="1"/>
  <c r="J40" i="8"/>
  <c r="J41" i="8" s="1"/>
  <c r="G58" i="8"/>
  <c r="G59" i="8" s="1"/>
  <c r="M58" i="8"/>
  <c r="M59" i="8" s="1"/>
  <c r="J58" i="8"/>
  <c r="J59" i="8" s="1"/>
  <c r="K58" i="8"/>
  <c r="K59" i="8" s="1"/>
  <c r="L58" i="8"/>
  <c r="L59" i="8" s="1"/>
  <c r="H58" i="8"/>
  <c r="H59" i="8" s="1"/>
  <c r="N58" i="8"/>
  <c r="N59" i="8" s="1"/>
  <c r="F58" i="8"/>
  <c r="F59" i="8" s="1"/>
  <c r="I58" i="8"/>
  <c r="I59" i="8" s="1"/>
  <c r="D58" i="8"/>
  <c r="D59" i="8" s="1"/>
  <c r="E58" i="8"/>
  <c r="E59" i="8" s="1"/>
  <c r="H46" i="8"/>
  <c r="N38" i="12"/>
  <c r="N38" i="11"/>
  <c r="E67" i="7"/>
  <c r="F67" i="7"/>
  <c r="E68" i="7"/>
  <c r="F68" i="7"/>
  <c r="E69" i="7"/>
  <c r="F69" i="7"/>
  <c r="E70" i="7"/>
  <c r="F70" i="7"/>
  <c r="E71" i="7"/>
  <c r="F71" i="7"/>
  <c r="E72" i="7"/>
  <c r="F72" i="7"/>
  <c r="E73" i="7"/>
  <c r="F73" i="7"/>
  <c r="E74" i="7"/>
  <c r="F74" i="7"/>
  <c r="E75" i="7"/>
  <c r="F75" i="7"/>
  <c r="F66" i="7"/>
  <c r="E66" i="7"/>
  <c r="C51" i="7"/>
  <c r="D51" i="7"/>
  <c r="E51" i="7"/>
  <c r="F51" i="7"/>
  <c r="C52" i="7"/>
  <c r="D52" i="7"/>
  <c r="E52" i="7"/>
  <c r="F52" i="7"/>
  <c r="C53" i="7"/>
  <c r="D53" i="7"/>
  <c r="E53" i="7"/>
  <c r="F53" i="7"/>
  <c r="C54" i="7"/>
  <c r="D54" i="7"/>
  <c r="E54" i="7"/>
  <c r="F54" i="7"/>
  <c r="C55" i="7"/>
  <c r="D55" i="7"/>
  <c r="E55" i="7"/>
  <c r="F55" i="7"/>
  <c r="C56" i="7"/>
  <c r="D56" i="7"/>
  <c r="E56" i="7"/>
  <c r="F56" i="7"/>
  <c r="C57" i="7"/>
  <c r="D57" i="7"/>
  <c r="E57" i="7"/>
  <c r="F57" i="7"/>
  <c r="C58" i="7"/>
  <c r="D58" i="7"/>
  <c r="E58" i="7"/>
  <c r="F58" i="7"/>
  <c r="C59" i="7"/>
  <c r="D59" i="7"/>
  <c r="E59" i="7"/>
  <c r="F59" i="7"/>
  <c r="F50" i="7"/>
  <c r="E50" i="7"/>
  <c r="D50" i="7"/>
  <c r="C50" i="7"/>
  <c r="D61" i="8" l="1"/>
  <c r="E62" i="8" s="1"/>
  <c r="E61" i="8" s="1"/>
  <c r="F62" i="8" s="1"/>
  <c r="F61" i="8" s="1"/>
  <c r="G62" i="8" s="1"/>
  <c r="G61" i="8" s="1"/>
  <c r="H62" i="8" s="1"/>
  <c r="H61" i="8" s="1"/>
  <c r="I62" i="8" s="1"/>
  <c r="I61" i="8" s="1"/>
  <c r="J62" i="8" s="1"/>
  <c r="J61" i="8" s="1"/>
  <c r="K62" i="8" s="1"/>
  <c r="K61" i="8" s="1"/>
  <c r="L62" i="8" s="1"/>
  <c r="L61" i="8" s="1"/>
  <c r="M62" i="8" s="1"/>
  <c r="M61" i="8" s="1"/>
  <c r="N62" i="8" s="1"/>
  <c r="N61" i="8" s="1"/>
  <c r="C27" i="8"/>
  <c r="I46" i="8"/>
  <c r="O38" i="12"/>
  <c r="O38" i="11"/>
  <c r="J26" i="7"/>
  <c r="J22" i="7"/>
  <c r="D22" i="7"/>
  <c r="D26" i="7" s="1"/>
  <c r="E22" i="7"/>
  <c r="E26" i="7" s="1"/>
  <c r="F22" i="7"/>
  <c r="F26" i="7" s="1"/>
  <c r="C22" i="7"/>
  <c r="C26" i="7" s="1"/>
  <c r="F14" i="7"/>
  <c r="E14" i="7"/>
  <c r="D14" i="7"/>
  <c r="C14" i="7"/>
  <c r="F24" i="7"/>
  <c r="E24" i="7"/>
  <c r="D24" i="7"/>
  <c r="C24" i="7"/>
  <c r="F33" i="7"/>
  <c r="E33" i="7"/>
  <c r="D33" i="7"/>
  <c r="C33" i="7"/>
  <c r="D27" i="7" l="1"/>
  <c r="D70" i="7"/>
  <c r="D66" i="7"/>
  <c r="D73" i="7"/>
  <c r="D67" i="7"/>
  <c r="D68" i="7"/>
  <c r="D69" i="7"/>
  <c r="D75" i="7"/>
  <c r="D71" i="7"/>
  <c r="D74" i="7"/>
  <c r="D72" i="7"/>
  <c r="C27" i="7"/>
  <c r="C66" i="7"/>
  <c r="C68" i="7"/>
  <c r="C70" i="7"/>
  <c r="C72" i="7"/>
  <c r="C74" i="7"/>
  <c r="C67" i="7"/>
  <c r="C73" i="7"/>
  <c r="C71" i="7"/>
  <c r="C75" i="7"/>
  <c r="C69" i="7"/>
  <c r="J46" i="8"/>
  <c r="E40" i="11" s="1"/>
  <c r="E48" i="11" s="1"/>
  <c r="H40" i="12"/>
  <c r="P38" i="12"/>
  <c r="P38" i="11"/>
  <c r="D14" i="2"/>
  <c r="D13" i="2"/>
  <c r="D12" i="2"/>
  <c r="I42" i="11" l="1"/>
  <c r="I50" i="11" s="1"/>
  <c r="J40" i="11"/>
  <c r="J48" i="11" s="1"/>
  <c r="O42" i="12"/>
  <c r="E42" i="12"/>
  <c r="J41" i="12"/>
  <c r="J42" i="12"/>
  <c r="G41" i="11"/>
  <c r="G49" i="11" s="1"/>
  <c r="I41" i="12"/>
  <c r="I40" i="11"/>
  <c r="I48" i="11" s="1"/>
  <c r="I40" i="12"/>
  <c r="M42" i="11"/>
  <c r="M50" i="11" s="1"/>
  <c r="J41" i="11"/>
  <c r="J49" i="11" s="1"/>
  <c r="G41" i="12"/>
  <c r="M41" i="11"/>
  <c r="M49" i="11" s="1"/>
  <c r="K41" i="11"/>
  <c r="K49" i="11" s="1"/>
  <c r="K42" i="11"/>
  <c r="K50" i="11" s="1"/>
  <c r="G42" i="11"/>
  <c r="G50" i="11" s="1"/>
  <c r="H41" i="12"/>
  <c r="I42" i="12"/>
  <c r="I41" i="11"/>
  <c r="I49" i="11" s="1"/>
  <c r="N41" i="12"/>
  <c r="J42" i="11"/>
  <c r="J50" i="11" s="1"/>
  <c r="M42" i="12"/>
  <c r="K40" i="11"/>
  <c r="K48" i="11" s="1"/>
  <c r="M40" i="11"/>
  <c r="M48" i="11" s="1"/>
  <c r="O41" i="11"/>
  <c r="O49" i="11" s="1"/>
  <c r="C55" i="8"/>
  <c r="K40" i="12"/>
  <c r="L42" i="11"/>
  <c r="L50" i="11" s="1"/>
  <c r="O40" i="11"/>
  <c r="O48" i="11" s="1"/>
  <c r="O42" i="11"/>
  <c r="O50" i="11" s="1"/>
  <c r="O40" i="12"/>
  <c r="M40" i="12"/>
  <c r="L41" i="12"/>
  <c r="O41" i="12"/>
  <c r="K41" i="12"/>
  <c r="L42" i="12"/>
  <c r="K42" i="12"/>
  <c r="F41" i="12"/>
  <c r="E42" i="11"/>
  <c r="E50" i="11" s="1"/>
  <c r="J40" i="12"/>
  <c r="E40" i="12"/>
  <c r="D42" i="12"/>
  <c r="F42" i="11"/>
  <c r="F50" i="11" s="1"/>
  <c r="F42" i="12"/>
  <c r="D42" i="11"/>
  <c r="D50" i="11" s="1"/>
  <c r="D40" i="12"/>
  <c r="E41" i="11"/>
  <c r="E49" i="11" s="1"/>
  <c r="D41" i="11"/>
  <c r="D49" i="11" s="1"/>
  <c r="D41" i="12"/>
  <c r="M41" i="12"/>
  <c r="E41" i="12"/>
  <c r="F40" i="11"/>
  <c r="F48" i="11" s="1"/>
  <c r="L41" i="11"/>
  <c r="L49" i="11" s="1"/>
  <c r="F40" i="12"/>
  <c r="F41" i="11"/>
  <c r="F49" i="11" s="1"/>
  <c r="D40" i="11"/>
  <c r="D48" i="11" s="1"/>
  <c r="H40" i="11"/>
  <c r="H48" i="11" s="1"/>
  <c r="G40" i="11"/>
  <c r="G48" i="11" s="1"/>
  <c r="H42" i="11"/>
  <c r="H50" i="11" s="1"/>
  <c r="N42" i="11"/>
  <c r="N50" i="11" s="1"/>
  <c r="L40" i="11"/>
  <c r="L48" i="11" s="1"/>
  <c r="N42" i="12"/>
  <c r="N41" i="11"/>
  <c r="N49" i="11" s="1"/>
  <c r="L40" i="12"/>
  <c r="N40" i="11"/>
  <c r="N48" i="11" s="1"/>
  <c r="G40" i="12"/>
  <c r="H41" i="11"/>
  <c r="H49" i="11" s="1"/>
  <c r="G42" i="12"/>
  <c r="N40" i="12"/>
  <c r="H42" i="12"/>
  <c r="Q38" i="12"/>
  <c r="P42" i="12"/>
  <c r="P41" i="12"/>
  <c r="P40" i="12"/>
  <c r="P42" i="11"/>
  <c r="P50" i="11" s="1"/>
  <c r="P41" i="11"/>
  <c r="P49" i="11" s="1"/>
  <c r="P40" i="11"/>
  <c r="P48" i="11" s="1"/>
  <c r="Q38" i="11"/>
  <c r="D55" i="8" l="1"/>
  <c r="E55" i="8" s="1"/>
  <c r="R38" i="12"/>
  <c r="Q42" i="12"/>
  <c r="Q41" i="12"/>
  <c r="Q40" i="12"/>
  <c r="Q42" i="11"/>
  <c r="Q50" i="11" s="1"/>
  <c r="Q41" i="11"/>
  <c r="Q49" i="11" s="1"/>
  <c r="Q40" i="11"/>
  <c r="Q48" i="11" s="1"/>
  <c r="R38" i="11"/>
  <c r="F55" i="8" l="1"/>
  <c r="R42" i="12"/>
  <c r="R41" i="12"/>
  <c r="R40" i="12"/>
  <c r="S38" i="12"/>
  <c r="R42" i="11"/>
  <c r="R50" i="11" s="1"/>
  <c r="R41" i="11"/>
  <c r="R49" i="11" s="1"/>
  <c r="R40" i="11"/>
  <c r="R48" i="11" s="1"/>
  <c r="S38" i="11"/>
  <c r="G55" i="8" l="1"/>
  <c r="S42" i="12"/>
  <c r="S41" i="12"/>
  <c r="T38" i="12"/>
  <c r="S40" i="12"/>
  <c r="S42" i="11"/>
  <c r="S50" i="11" s="1"/>
  <c r="S41" i="11"/>
  <c r="S49" i="11" s="1"/>
  <c r="S40" i="11"/>
  <c r="S48" i="11" s="1"/>
  <c r="T38" i="11"/>
  <c r="J67" i="7"/>
  <c r="J68" i="7"/>
  <c r="J69" i="7"/>
  <c r="J70" i="7"/>
  <c r="J71" i="7"/>
  <c r="J72" i="7"/>
  <c r="J73" i="7"/>
  <c r="J74" i="7"/>
  <c r="J75" i="7"/>
  <c r="J66" i="7"/>
  <c r="J51" i="7"/>
  <c r="J52" i="7"/>
  <c r="J53" i="7"/>
  <c r="J54" i="7"/>
  <c r="J55" i="7"/>
  <c r="J56" i="7"/>
  <c r="J57" i="7"/>
  <c r="J58" i="7"/>
  <c r="J59" i="7"/>
  <c r="J50" i="7"/>
  <c r="H55" i="8" l="1"/>
  <c r="U38" i="12"/>
  <c r="T42" i="12"/>
  <c r="T41" i="12"/>
  <c r="T40" i="12"/>
  <c r="T40" i="11"/>
  <c r="T48" i="11" s="1"/>
  <c r="T42" i="11"/>
  <c r="T50" i="11" s="1"/>
  <c r="T41" i="11"/>
  <c r="T49" i="11" s="1"/>
  <c r="U38" i="11"/>
  <c r="D65" i="7"/>
  <c r="E65" i="7"/>
  <c r="F65" i="7"/>
  <c r="C65" i="7"/>
  <c r="I55" i="8" l="1"/>
  <c r="V38" i="12"/>
  <c r="U42" i="12"/>
  <c r="U41" i="12"/>
  <c r="U40" i="12"/>
  <c r="U42" i="11"/>
  <c r="U50" i="11" s="1"/>
  <c r="U41" i="11"/>
  <c r="U49" i="11" s="1"/>
  <c r="U40" i="11"/>
  <c r="U48" i="11" s="1"/>
  <c r="V38" i="11"/>
  <c r="C49" i="7"/>
  <c r="D49" i="7"/>
  <c r="E49" i="7"/>
  <c r="F49" i="7"/>
  <c r="G43" i="7"/>
  <c r="H43" i="7" s="1"/>
  <c r="G42" i="7"/>
  <c r="H42" i="7" s="1"/>
  <c r="G41" i="7"/>
  <c r="H41" i="7" s="1"/>
  <c r="G40" i="7"/>
  <c r="H40" i="7" s="1"/>
  <c r="G39" i="7"/>
  <c r="H39" i="7" s="1"/>
  <c r="G38" i="7"/>
  <c r="H38" i="7" s="1"/>
  <c r="G37" i="7"/>
  <c r="H37" i="7" s="1"/>
  <c r="G36" i="7"/>
  <c r="H36" i="7" s="1"/>
  <c r="G35" i="7"/>
  <c r="H35" i="7" s="1"/>
  <c r="G34" i="7"/>
  <c r="H34" i="7" s="1"/>
  <c r="J55" i="8" l="1"/>
  <c r="W38" i="12"/>
  <c r="V42" i="12"/>
  <c r="V41" i="12"/>
  <c r="V40" i="12"/>
  <c r="V42" i="11"/>
  <c r="V50" i="11" s="1"/>
  <c r="V41" i="11"/>
  <c r="V49" i="11" s="1"/>
  <c r="V40" i="11"/>
  <c r="V48" i="11" s="1"/>
  <c r="W38" i="11"/>
  <c r="G66" i="7"/>
  <c r="G67" i="7"/>
  <c r="G68" i="7"/>
  <c r="G69" i="7"/>
  <c r="G70" i="7"/>
  <c r="G71" i="7"/>
  <c r="G72" i="7"/>
  <c r="G73" i="7"/>
  <c r="G74" i="7"/>
  <c r="G75" i="7"/>
  <c r="K55" i="8" l="1"/>
  <c r="X38" i="12"/>
  <c r="W42" i="12"/>
  <c r="W41" i="12"/>
  <c r="W40" i="12"/>
  <c r="W40" i="11"/>
  <c r="W48" i="11" s="1"/>
  <c r="W42" i="11"/>
  <c r="W50" i="11" s="1"/>
  <c r="W41" i="11"/>
  <c r="W49" i="11" s="1"/>
  <c r="X38" i="11"/>
  <c r="G56" i="7"/>
  <c r="L28" i="1" s="1"/>
  <c r="L68" i="1" s="1"/>
  <c r="G51" i="7"/>
  <c r="G28" i="1" s="1"/>
  <c r="G54" i="7"/>
  <c r="H54" i="7" s="1"/>
  <c r="G53" i="7"/>
  <c r="H53" i="7" s="1"/>
  <c r="G58" i="7"/>
  <c r="H58" i="7" s="1"/>
  <c r="G52" i="7"/>
  <c r="H52" i="7" s="1"/>
  <c r="G59" i="7"/>
  <c r="H59" i="7" s="1"/>
  <c r="G50" i="7"/>
  <c r="H50" i="7" s="1"/>
  <c r="G55" i="7"/>
  <c r="H55" i="7" s="1"/>
  <c r="G57" i="7"/>
  <c r="H57" i="7" s="1"/>
  <c r="H70" i="7"/>
  <c r="J31" i="1"/>
  <c r="H69" i="7"/>
  <c r="I31" i="1"/>
  <c r="H72" i="7"/>
  <c r="L31" i="1"/>
  <c r="H68" i="7"/>
  <c r="H31" i="1"/>
  <c r="H74" i="7"/>
  <c r="N31" i="1"/>
  <c r="H66" i="7"/>
  <c r="F31" i="1"/>
  <c r="H73" i="7"/>
  <c r="M31" i="1"/>
  <c r="H75" i="7"/>
  <c r="O31" i="1"/>
  <c r="O74" i="1" s="1"/>
  <c r="H71" i="7"/>
  <c r="K31" i="1"/>
  <c r="H67" i="7"/>
  <c r="G31" i="1"/>
  <c r="L74" i="1" l="1"/>
  <c r="F74" i="1"/>
  <c r="H56" i="7"/>
  <c r="J28" i="1"/>
  <c r="J68" i="1" s="1"/>
  <c r="H51" i="7"/>
  <c r="O28" i="1"/>
  <c r="O68" i="1" s="1"/>
  <c r="L55" i="8"/>
  <c r="Y38" i="12"/>
  <c r="X42" i="12"/>
  <c r="X41" i="12"/>
  <c r="X40" i="12"/>
  <c r="X42" i="11"/>
  <c r="X50" i="11" s="1"/>
  <c r="X41" i="11"/>
  <c r="X49" i="11" s="1"/>
  <c r="X40" i="11"/>
  <c r="X48" i="11" s="1"/>
  <c r="Y38" i="11"/>
  <c r="I28" i="1"/>
  <c r="I68" i="1" s="1"/>
  <c r="K28" i="1"/>
  <c r="K68" i="1" s="1"/>
  <c r="M28" i="1"/>
  <c r="M68" i="1" s="1"/>
  <c r="N28" i="1"/>
  <c r="H28" i="1"/>
  <c r="H68" i="1" s="1"/>
  <c r="F28" i="1"/>
  <c r="AM47" i="6"/>
  <c r="AN47" i="6"/>
  <c r="AO47" i="6"/>
  <c r="AP47" i="6"/>
  <c r="D15" i="2"/>
  <c r="K74" i="1" l="1"/>
  <c r="I74" i="1"/>
  <c r="M74" i="1"/>
  <c r="G74" i="1"/>
  <c r="H74" i="1"/>
  <c r="J74" i="1"/>
  <c r="G68" i="1"/>
  <c r="M55" i="8"/>
  <c r="Z38" i="12"/>
  <c r="Y42" i="12"/>
  <c r="Y41" i="12"/>
  <c r="Y40" i="12"/>
  <c r="Y42" i="11"/>
  <c r="Y50" i="11" s="1"/>
  <c r="Y41" i="11"/>
  <c r="Y49" i="11" s="1"/>
  <c r="Y40" i="11"/>
  <c r="Y48" i="11" s="1"/>
  <c r="Z38" i="11"/>
  <c r="AL47" i="6"/>
  <c r="AK47" i="6"/>
  <c r="F68" i="1" l="1"/>
  <c r="N55" i="8"/>
  <c r="Z42" i="12"/>
  <c r="Z41" i="12"/>
  <c r="Z40" i="12"/>
  <c r="AA38" i="12"/>
  <c r="Z42" i="11"/>
  <c r="Z50" i="11" s="1"/>
  <c r="Z41" i="11"/>
  <c r="Z49" i="11" s="1"/>
  <c r="Z40" i="11"/>
  <c r="Z48" i="11" s="1"/>
  <c r="AA38" i="11"/>
  <c r="C29" i="6"/>
  <c r="O55" i="8" l="1"/>
  <c r="AA42" i="12"/>
  <c r="AA41" i="12"/>
  <c r="AA40" i="12"/>
  <c r="AB38" i="12"/>
  <c r="AA42" i="11"/>
  <c r="AA50" i="11" s="1"/>
  <c r="AA41" i="11"/>
  <c r="AA49" i="11" s="1"/>
  <c r="AA40" i="11"/>
  <c r="AA48" i="11" s="1"/>
  <c r="AB38" i="11"/>
  <c r="F2" i="5"/>
  <c r="P55" i="8" l="1"/>
  <c r="AC38" i="12"/>
  <c r="AB42" i="12"/>
  <c r="AB41" i="12"/>
  <c r="AB40" i="12"/>
  <c r="AB42" i="11"/>
  <c r="AB50" i="11" s="1"/>
  <c r="AB41" i="11"/>
  <c r="AB49" i="11" s="1"/>
  <c r="AB40" i="11"/>
  <c r="AB48" i="11" s="1"/>
  <c r="AC38" i="11"/>
  <c r="E2" i="5"/>
  <c r="E3" i="5" s="1"/>
  <c r="C20" i="1" s="1"/>
  <c r="Q55" i="8" l="1"/>
  <c r="AD38" i="12"/>
  <c r="AC42" i="12"/>
  <c r="AC41" i="12"/>
  <c r="AC40" i="12"/>
  <c r="AC42" i="11"/>
  <c r="AC50" i="11" s="1"/>
  <c r="AC41" i="11"/>
  <c r="AC49" i="11" s="1"/>
  <c r="AC40" i="11"/>
  <c r="AC48" i="11" s="1"/>
  <c r="AD38" i="11"/>
  <c r="M27" i="1"/>
  <c r="I27" i="1"/>
  <c r="K27" i="1"/>
  <c r="J27" i="1"/>
  <c r="L27" i="1"/>
  <c r="H27" i="1"/>
  <c r="G27" i="1"/>
  <c r="F27" i="1"/>
  <c r="O27" i="1"/>
  <c r="N27" i="1"/>
  <c r="D27" i="1"/>
  <c r="D67" i="1" s="1"/>
  <c r="E27" i="1"/>
  <c r="E67" i="1" s="1"/>
  <c r="C27" i="1"/>
  <c r="C67" i="1" s="1"/>
  <c r="D2" i="5"/>
  <c r="C19" i="1" s="1"/>
  <c r="R55" i="8" l="1"/>
  <c r="B41" i="7"/>
  <c r="B57" i="7" s="1"/>
  <c r="B20" i="12"/>
  <c r="B20" i="11"/>
  <c r="B34" i="7"/>
  <c r="B66" i="7" s="1"/>
  <c r="B13" i="12"/>
  <c r="B13" i="11"/>
  <c r="C30" i="12"/>
  <c r="C31" i="12" s="1"/>
  <c r="C30" i="11"/>
  <c r="C31" i="11" s="1"/>
  <c r="B36" i="7"/>
  <c r="B68" i="7" s="1"/>
  <c r="B15" i="12"/>
  <c r="B15" i="11"/>
  <c r="B43" i="7"/>
  <c r="B75" i="7" s="1"/>
  <c r="B22" i="12"/>
  <c r="B22" i="11"/>
  <c r="B38" i="7"/>
  <c r="B54" i="7" s="1"/>
  <c r="B17" i="11"/>
  <c r="B17" i="12"/>
  <c r="B39" i="7"/>
  <c r="B71" i="7" s="1"/>
  <c r="B18" i="11"/>
  <c r="B18" i="12"/>
  <c r="B35" i="7"/>
  <c r="B51" i="7" s="1"/>
  <c r="B14" i="12"/>
  <c r="B14" i="11"/>
  <c r="B40" i="7"/>
  <c r="B72" i="7" s="1"/>
  <c r="B19" i="12"/>
  <c r="B19" i="11"/>
  <c r="B42" i="7"/>
  <c r="B58" i="7" s="1"/>
  <c r="B21" i="12"/>
  <c r="B21" i="11"/>
  <c r="B37" i="7"/>
  <c r="B69" i="7" s="1"/>
  <c r="B16" i="12"/>
  <c r="B16" i="11"/>
  <c r="AE38" i="12"/>
  <c r="AD42" i="12"/>
  <c r="AD41" i="12"/>
  <c r="AD40" i="12"/>
  <c r="AD42" i="11"/>
  <c r="AD50" i="11" s="1"/>
  <c r="AD41" i="11"/>
  <c r="AD49" i="11" s="1"/>
  <c r="AD40" i="11"/>
  <c r="AD48" i="11" s="1"/>
  <c r="AE38" i="11"/>
  <c r="C30" i="6"/>
  <c r="C31" i="6" s="1"/>
  <c r="K47" i="6"/>
  <c r="L47" i="6"/>
  <c r="M47" i="6"/>
  <c r="N47" i="6"/>
  <c r="O47" i="6"/>
  <c r="P47" i="6"/>
  <c r="Q47" i="6"/>
  <c r="R47" i="6"/>
  <c r="S47" i="6"/>
  <c r="T47" i="6"/>
  <c r="U47" i="6"/>
  <c r="V47" i="6"/>
  <c r="W47" i="6"/>
  <c r="X47" i="6"/>
  <c r="Y47" i="6"/>
  <c r="Z47" i="6"/>
  <c r="AA47" i="6"/>
  <c r="AB47" i="6"/>
  <c r="AC47" i="6"/>
  <c r="AD47" i="6"/>
  <c r="AE47" i="6"/>
  <c r="AF47" i="6"/>
  <c r="AG47" i="6"/>
  <c r="AH47" i="6"/>
  <c r="AI47" i="6"/>
  <c r="AJ47" i="6"/>
  <c r="J39" i="6"/>
  <c r="J47" i="6" s="1"/>
  <c r="I39" i="6"/>
  <c r="I47" i="6" s="1"/>
  <c r="H39" i="6"/>
  <c r="H47" i="6" s="1"/>
  <c r="G39" i="6"/>
  <c r="G47" i="6" s="1"/>
  <c r="E39" i="6"/>
  <c r="E47" i="6" s="1"/>
  <c r="F39" i="6"/>
  <c r="F47" i="6" s="1"/>
  <c r="D39" i="6"/>
  <c r="D47" i="6" s="1"/>
  <c r="C39" i="6"/>
  <c r="C47" i="6" s="1"/>
  <c r="D38" i="6"/>
  <c r="B22" i="6"/>
  <c r="B74" i="7" l="1"/>
  <c r="B59" i="7"/>
  <c r="B50" i="7"/>
  <c r="B52" i="7"/>
  <c r="B73" i="7"/>
  <c r="B67" i="7"/>
  <c r="S55" i="8"/>
  <c r="B55" i="7"/>
  <c r="C33" i="12"/>
  <c r="C34" i="12"/>
  <c r="C35" i="12"/>
  <c r="C32" i="12"/>
  <c r="B53" i="7"/>
  <c r="B70" i="7"/>
  <c r="C33" i="11"/>
  <c r="C34" i="11"/>
  <c r="C32" i="11"/>
  <c r="C35" i="11"/>
  <c r="B56" i="7"/>
  <c r="AF38" i="12"/>
  <c r="AE42" i="12"/>
  <c r="AE41" i="12"/>
  <c r="AE40" i="12"/>
  <c r="AE41" i="11"/>
  <c r="AE49" i="11" s="1"/>
  <c r="AE40" i="11"/>
  <c r="AE48" i="11" s="1"/>
  <c r="AE42" i="11"/>
  <c r="AE50" i="11" s="1"/>
  <c r="AF38" i="11"/>
  <c r="C35" i="6"/>
  <c r="O67" i="1"/>
  <c r="E38" i="6"/>
  <c r="F22" i="11" l="1"/>
  <c r="F20" i="12"/>
  <c r="F19" i="12"/>
  <c r="F18" i="12"/>
  <c r="F17" i="12"/>
  <c r="F22" i="12"/>
  <c r="F14" i="12"/>
  <c r="F21" i="12"/>
  <c r="F13" i="12"/>
  <c r="F16" i="12"/>
  <c r="F15" i="12"/>
  <c r="T55" i="8"/>
  <c r="F19" i="11"/>
  <c r="F20" i="11"/>
  <c r="F17" i="11"/>
  <c r="F15" i="11"/>
  <c r="F16" i="11"/>
  <c r="F21" i="11"/>
  <c r="F13" i="11"/>
  <c r="F14" i="11"/>
  <c r="F18" i="11"/>
  <c r="AG38" i="12"/>
  <c r="AF42" i="12"/>
  <c r="AF41" i="12"/>
  <c r="AF40" i="12"/>
  <c r="AF42" i="11"/>
  <c r="AF50" i="11" s="1"/>
  <c r="AF41" i="11"/>
  <c r="AF49" i="11" s="1"/>
  <c r="AF40" i="11"/>
  <c r="AF48" i="11" s="1"/>
  <c r="AG38" i="11"/>
  <c r="C34" i="6"/>
  <c r="C33" i="6"/>
  <c r="C32" i="6"/>
  <c r="B21" i="6"/>
  <c r="N67" i="1"/>
  <c r="B17" i="6"/>
  <c r="J67" i="1"/>
  <c r="B19" i="6"/>
  <c r="L67" i="1"/>
  <c r="M67" i="1"/>
  <c r="B20" i="6"/>
  <c r="B15" i="6"/>
  <c r="H67" i="1"/>
  <c r="B13" i="6"/>
  <c r="F67" i="1"/>
  <c r="B14" i="6"/>
  <c r="G67" i="1"/>
  <c r="B18" i="6"/>
  <c r="K67" i="1"/>
  <c r="I67" i="1"/>
  <c r="B16" i="6"/>
  <c r="F38" i="6"/>
  <c r="F22" i="6" l="1"/>
  <c r="O71" i="1" s="1"/>
  <c r="U55" i="8"/>
  <c r="AH38" i="12"/>
  <c r="AG42" i="12"/>
  <c r="AG41" i="12"/>
  <c r="AG40" i="12"/>
  <c r="AG42" i="11"/>
  <c r="AG50" i="11" s="1"/>
  <c r="AG41" i="11"/>
  <c r="AG49" i="11" s="1"/>
  <c r="AG40" i="11"/>
  <c r="AG48" i="11" s="1"/>
  <c r="AH38" i="11"/>
  <c r="F17" i="6"/>
  <c r="J71" i="1" s="1"/>
  <c r="F21" i="6"/>
  <c r="N71" i="1" s="1"/>
  <c r="F16" i="6"/>
  <c r="I71" i="1" s="1"/>
  <c r="F19" i="6"/>
  <c r="L71" i="1" s="1"/>
  <c r="F18" i="6"/>
  <c r="K71" i="1" s="1"/>
  <c r="F15" i="6"/>
  <c r="H71" i="1" s="1"/>
  <c r="F14" i="6"/>
  <c r="G71" i="1" s="1"/>
  <c r="F20" i="6"/>
  <c r="M71" i="1" s="1"/>
  <c r="F13" i="6"/>
  <c r="F71" i="1" s="1"/>
  <c r="G38" i="6"/>
  <c r="V55" i="8" l="1"/>
  <c r="AB45" i="11" s="1"/>
  <c r="AB53" i="11" s="1"/>
  <c r="C44" i="12"/>
  <c r="X44" i="11"/>
  <c r="X52" i="11" s="1"/>
  <c r="F45" i="11"/>
  <c r="F53" i="11" s="1"/>
  <c r="F43" i="12"/>
  <c r="X43" i="12"/>
  <c r="AB44" i="11"/>
  <c r="AB52" i="11" s="1"/>
  <c r="E45" i="12"/>
  <c r="E53" i="12" s="1"/>
  <c r="D44" i="11"/>
  <c r="D52" i="11" s="1"/>
  <c r="E43" i="12"/>
  <c r="AB45" i="12"/>
  <c r="AB53" i="12" s="1"/>
  <c r="AF45" i="11"/>
  <c r="AF53" i="11" s="1"/>
  <c r="F44" i="12"/>
  <c r="D43" i="12"/>
  <c r="Z44" i="11"/>
  <c r="Z52" i="11" s="1"/>
  <c r="AB43" i="12"/>
  <c r="E44" i="11"/>
  <c r="E52" i="11" s="1"/>
  <c r="AD43" i="12"/>
  <c r="D43" i="11"/>
  <c r="D51" i="11" s="1"/>
  <c r="AF44" i="11"/>
  <c r="AF52" i="11" s="1"/>
  <c r="AF44" i="12"/>
  <c r="X44" i="12"/>
  <c r="F44" i="11"/>
  <c r="F52" i="11" s="1"/>
  <c r="AD45" i="12"/>
  <c r="AD53" i="12" s="1"/>
  <c r="AD44" i="12"/>
  <c r="E45" i="11"/>
  <c r="E53" i="11" s="1"/>
  <c r="AF45" i="12"/>
  <c r="AF53" i="12" s="1"/>
  <c r="AF43" i="11"/>
  <c r="AF51" i="11" s="1"/>
  <c r="C45" i="11"/>
  <c r="C53" i="11" s="1"/>
  <c r="C44" i="11"/>
  <c r="C52" i="11" s="1"/>
  <c r="AD44" i="11"/>
  <c r="AD52" i="11" s="1"/>
  <c r="AD43" i="11"/>
  <c r="AD51" i="11" s="1"/>
  <c r="F43" i="11"/>
  <c r="F51" i="11" s="1"/>
  <c r="D44" i="12"/>
  <c r="E44" i="12"/>
  <c r="AD45" i="11"/>
  <c r="AD53" i="11" s="1"/>
  <c r="D45" i="12"/>
  <c r="D53" i="12" s="1"/>
  <c r="Z43" i="12"/>
  <c r="C43" i="11"/>
  <c r="C51" i="11" s="1"/>
  <c r="Z45" i="12"/>
  <c r="Z53" i="12" s="1"/>
  <c r="AF43" i="12"/>
  <c r="E43" i="11"/>
  <c r="E51" i="11" s="1"/>
  <c r="X43" i="11"/>
  <c r="X51" i="11" s="1"/>
  <c r="D45" i="11"/>
  <c r="D53" i="11" s="1"/>
  <c r="F45" i="12"/>
  <c r="F53" i="12" s="1"/>
  <c r="X45" i="12"/>
  <c r="X53" i="12" s="1"/>
  <c r="C43" i="12"/>
  <c r="X45" i="11"/>
  <c r="X53" i="11" s="1"/>
  <c r="Z45" i="11"/>
  <c r="Z53" i="11" s="1"/>
  <c r="Z44" i="12"/>
  <c r="AB44" i="12"/>
  <c r="Z43" i="11"/>
  <c r="Z51" i="11" s="1"/>
  <c r="AE44" i="12"/>
  <c r="AE44" i="11"/>
  <c r="AE52" i="11" s="1"/>
  <c r="AC43" i="12"/>
  <c r="AC45" i="12"/>
  <c r="AC53" i="12" s="1"/>
  <c r="AH45" i="12"/>
  <c r="AH53" i="12" s="1"/>
  <c r="AH44" i="12"/>
  <c r="AH43" i="12"/>
  <c r="AH42" i="12"/>
  <c r="AH41" i="12"/>
  <c r="AH40" i="12"/>
  <c r="AI38" i="12"/>
  <c r="AH45" i="11"/>
  <c r="AH53" i="11" s="1"/>
  <c r="AH44" i="11"/>
  <c r="AH52" i="11" s="1"/>
  <c r="AH43" i="11"/>
  <c r="AH51" i="11" s="1"/>
  <c r="AH42" i="11"/>
  <c r="AH50" i="11" s="1"/>
  <c r="AH41" i="11"/>
  <c r="AH49" i="11" s="1"/>
  <c r="AH40" i="11"/>
  <c r="AH48" i="11" s="1"/>
  <c r="AI38" i="11"/>
  <c r="C46" i="2"/>
  <c r="H38" i="6"/>
  <c r="J11" i="2"/>
  <c r="M72" i="1"/>
  <c r="N72" i="1"/>
  <c r="O72" i="1"/>
  <c r="M51" i="1"/>
  <c r="N51" i="1"/>
  <c r="O51" i="1"/>
  <c r="N46" i="1"/>
  <c r="O46" i="1"/>
  <c r="M30" i="1"/>
  <c r="M32" i="1" s="1"/>
  <c r="M34" i="1" s="1"/>
  <c r="N30" i="1"/>
  <c r="N32" i="1" s="1"/>
  <c r="N34" i="1" s="1"/>
  <c r="O30" i="1"/>
  <c r="O32" i="1" s="1"/>
  <c r="O34" i="1" s="1"/>
  <c r="G30" i="1"/>
  <c r="G32" i="1" s="1"/>
  <c r="G34" i="1" s="1"/>
  <c r="G51" i="1"/>
  <c r="AB43" i="11" l="1"/>
  <c r="AB51" i="11" s="1"/>
  <c r="T45" i="11"/>
  <c r="T53" i="11" s="1"/>
  <c r="C45" i="12"/>
  <c r="C53" i="12" s="1"/>
  <c r="C13" i="11"/>
  <c r="X54" i="11"/>
  <c r="E13" i="11"/>
  <c r="Z54" i="11"/>
  <c r="E54" i="11"/>
  <c r="D54" i="11"/>
  <c r="C54" i="11"/>
  <c r="AF54" i="11"/>
  <c r="F54" i="11"/>
  <c r="AD54" i="11"/>
  <c r="H43" i="12"/>
  <c r="J43" i="12"/>
  <c r="H45" i="11"/>
  <c r="H53" i="11" s="1"/>
  <c r="K44" i="12"/>
  <c r="J43" i="11"/>
  <c r="J51" i="11" s="1"/>
  <c r="L43" i="11"/>
  <c r="L51" i="11" s="1"/>
  <c r="H43" i="11"/>
  <c r="H51" i="11" s="1"/>
  <c r="K43" i="11"/>
  <c r="K51" i="11" s="1"/>
  <c r="G45" i="12"/>
  <c r="G53" i="12" s="1"/>
  <c r="M45" i="12"/>
  <c r="M53" i="12" s="1"/>
  <c r="L44" i="12"/>
  <c r="K45" i="11"/>
  <c r="K53" i="11" s="1"/>
  <c r="L45" i="12"/>
  <c r="L53" i="12" s="1"/>
  <c r="K43" i="12"/>
  <c r="I44" i="12"/>
  <c r="J44" i="11"/>
  <c r="J52" i="11" s="1"/>
  <c r="L45" i="11"/>
  <c r="L53" i="11" s="1"/>
  <c r="M44" i="12"/>
  <c r="I45" i="12"/>
  <c r="I53" i="12" s="1"/>
  <c r="L43" i="12"/>
  <c r="I45" i="11"/>
  <c r="I53" i="11" s="1"/>
  <c r="M43" i="11"/>
  <c r="M51" i="11" s="1"/>
  <c r="J45" i="12"/>
  <c r="J53" i="12" s="1"/>
  <c r="G44" i="12"/>
  <c r="J44" i="12"/>
  <c r="G43" i="11"/>
  <c r="G51" i="11" s="1"/>
  <c r="G43" i="12"/>
  <c r="I44" i="11"/>
  <c r="I52" i="11" s="1"/>
  <c r="H44" i="12"/>
  <c r="H45" i="12"/>
  <c r="H53" i="12" s="1"/>
  <c r="M45" i="11"/>
  <c r="M53" i="11" s="1"/>
  <c r="M43" i="12"/>
  <c r="K44" i="11"/>
  <c r="K52" i="11" s="1"/>
  <c r="I43" i="12"/>
  <c r="O44" i="12"/>
  <c r="L44" i="11"/>
  <c r="L52" i="11" s="1"/>
  <c r="G44" i="11"/>
  <c r="G52" i="11" s="1"/>
  <c r="M44" i="11"/>
  <c r="M52" i="11" s="1"/>
  <c r="J45" i="11"/>
  <c r="J53" i="11" s="1"/>
  <c r="G45" i="11"/>
  <c r="G53" i="11" s="1"/>
  <c r="H44" i="11"/>
  <c r="H52" i="11" s="1"/>
  <c r="K45" i="12"/>
  <c r="K53" i="12" s="1"/>
  <c r="O45" i="12"/>
  <c r="O53" i="12" s="1"/>
  <c r="N45" i="12"/>
  <c r="N53" i="12" s="1"/>
  <c r="N44" i="11"/>
  <c r="N52" i="11" s="1"/>
  <c r="N43" i="11"/>
  <c r="N51" i="11" s="1"/>
  <c r="I43" i="11"/>
  <c r="I51" i="11" s="1"/>
  <c r="N45" i="11"/>
  <c r="N53" i="11" s="1"/>
  <c r="P43" i="12"/>
  <c r="O43" i="11"/>
  <c r="O51" i="11" s="1"/>
  <c r="P44" i="11"/>
  <c r="P52" i="11" s="1"/>
  <c r="P44" i="12"/>
  <c r="N43" i="12"/>
  <c r="N44" i="12"/>
  <c r="O43" i="12"/>
  <c r="O45" i="11"/>
  <c r="O53" i="11" s="1"/>
  <c r="O44" i="11"/>
  <c r="O52" i="11" s="1"/>
  <c r="P45" i="12"/>
  <c r="P53" i="12" s="1"/>
  <c r="P43" i="11"/>
  <c r="P51" i="11" s="1"/>
  <c r="P45" i="11"/>
  <c r="P53" i="11" s="1"/>
  <c r="Q45" i="12"/>
  <c r="Q53" i="12" s="1"/>
  <c r="R43" i="11"/>
  <c r="R51" i="11" s="1"/>
  <c r="Q44" i="12"/>
  <c r="Q45" i="11"/>
  <c r="Q53" i="11" s="1"/>
  <c r="Q43" i="12"/>
  <c r="Q43" i="11"/>
  <c r="Q51" i="11" s="1"/>
  <c r="Q44" i="11"/>
  <c r="Q52" i="11" s="1"/>
  <c r="R45" i="11"/>
  <c r="R53" i="11" s="1"/>
  <c r="R45" i="12"/>
  <c r="R53" i="12" s="1"/>
  <c r="S45" i="12"/>
  <c r="S53" i="12" s="1"/>
  <c r="S43" i="12"/>
  <c r="R44" i="12"/>
  <c r="S43" i="11"/>
  <c r="S51" i="11" s="1"/>
  <c r="S44" i="11"/>
  <c r="S52" i="11" s="1"/>
  <c r="S45" i="11"/>
  <c r="S53" i="11" s="1"/>
  <c r="R43" i="12"/>
  <c r="S44" i="12"/>
  <c r="R44" i="11"/>
  <c r="R52" i="11" s="1"/>
  <c r="T43" i="11"/>
  <c r="T51" i="11" s="1"/>
  <c r="T43" i="12"/>
  <c r="T44" i="12"/>
  <c r="T45" i="12"/>
  <c r="T53" i="12" s="1"/>
  <c r="AB54" i="11"/>
  <c r="T44" i="11"/>
  <c r="T52" i="11" s="1"/>
  <c r="D13" i="11"/>
  <c r="G13" i="11"/>
  <c r="U44" i="11"/>
  <c r="U52" i="11" s="1"/>
  <c r="U45" i="11"/>
  <c r="U53" i="11" s="1"/>
  <c r="U45" i="12"/>
  <c r="U53" i="12" s="1"/>
  <c r="U43" i="11"/>
  <c r="U51" i="11" s="1"/>
  <c r="U44" i="12"/>
  <c r="U43" i="12"/>
  <c r="V43" i="12"/>
  <c r="V45" i="11"/>
  <c r="V53" i="11" s="1"/>
  <c r="V43" i="11"/>
  <c r="V51" i="11" s="1"/>
  <c r="V44" i="12"/>
  <c r="V44" i="11"/>
  <c r="V52" i="11" s="1"/>
  <c r="V45" i="12"/>
  <c r="V53" i="12" s="1"/>
  <c r="W44" i="12"/>
  <c r="Y45" i="11"/>
  <c r="Y53" i="11" s="1"/>
  <c r="AA45" i="11"/>
  <c r="AA53" i="11" s="1"/>
  <c r="AG44" i="12"/>
  <c r="AA44" i="11"/>
  <c r="AA52" i="11" s="1"/>
  <c r="AC43" i="11"/>
  <c r="AC51" i="11" s="1"/>
  <c r="Y45" i="12"/>
  <c r="Y53" i="12" s="1"/>
  <c r="AG43" i="12"/>
  <c r="W45" i="12"/>
  <c r="W53" i="12" s="1"/>
  <c r="AC44" i="12"/>
  <c r="AC45" i="11"/>
  <c r="AC53" i="11" s="1"/>
  <c r="AC44" i="11"/>
  <c r="AC52" i="11" s="1"/>
  <c r="AE43" i="11"/>
  <c r="AE51" i="11" s="1"/>
  <c r="W43" i="11"/>
  <c r="W51" i="11" s="1"/>
  <c r="Y43" i="11"/>
  <c r="Y51" i="11" s="1"/>
  <c r="W43" i="12"/>
  <c r="W45" i="11"/>
  <c r="W53" i="11" s="1"/>
  <c r="AE43" i="12"/>
  <c r="AA43" i="12"/>
  <c r="W44" i="11"/>
  <c r="W52" i="11" s="1"/>
  <c r="AA44" i="12"/>
  <c r="AG45" i="11"/>
  <c r="AG53" i="11" s="1"/>
  <c r="AA43" i="11"/>
  <c r="AA51" i="11" s="1"/>
  <c r="AE45" i="11"/>
  <c r="AE53" i="11" s="1"/>
  <c r="Y43" i="12"/>
  <c r="AG44" i="11"/>
  <c r="AG52" i="11" s="1"/>
  <c r="Y44" i="12"/>
  <c r="AA45" i="12"/>
  <c r="AA53" i="12" s="1"/>
  <c r="AE45" i="12"/>
  <c r="AE53" i="12" s="1"/>
  <c r="Y44" i="11"/>
  <c r="Y52" i="11" s="1"/>
  <c r="AG45" i="12"/>
  <c r="AG53" i="12" s="1"/>
  <c r="AG43" i="11"/>
  <c r="AG51" i="11" s="1"/>
  <c r="D46" i="2"/>
  <c r="AH54" i="11"/>
  <c r="AI45" i="12"/>
  <c r="AI53" i="12" s="1"/>
  <c r="AI40" i="12"/>
  <c r="AI44" i="12"/>
  <c r="AI41" i="12"/>
  <c r="AI43" i="12"/>
  <c r="AJ38" i="12"/>
  <c r="AI42" i="12"/>
  <c r="AI44" i="11"/>
  <c r="AI52" i="11" s="1"/>
  <c r="AI43" i="11"/>
  <c r="AI51" i="11" s="1"/>
  <c r="AI45" i="11"/>
  <c r="AI53" i="11" s="1"/>
  <c r="AI42" i="11"/>
  <c r="AI50" i="11" s="1"/>
  <c r="AI41" i="11"/>
  <c r="AI49" i="11" s="1"/>
  <c r="AI40" i="11"/>
  <c r="AI48" i="11" s="1"/>
  <c r="AJ38" i="11"/>
  <c r="N94" i="1"/>
  <c r="N47" i="1"/>
  <c r="O47" i="1"/>
  <c r="O94" i="1"/>
  <c r="I38" i="6"/>
  <c r="C40" i="2"/>
  <c r="C42" i="6" s="1"/>
  <c r="C50" i="6" s="1"/>
  <c r="C50" i="12" s="1"/>
  <c r="J12" i="2"/>
  <c r="D40" i="2" s="1"/>
  <c r="D39" i="9" s="1"/>
  <c r="D51" i="1"/>
  <c r="D56" i="1" s="1"/>
  <c r="E51" i="1"/>
  <c r="E56" i="1" s="1"/>
  <c r="F51" i="1"/>
  <c r="H51" i="1"/>
  <c r="I51" i="1"/>
  <c r="J51" i="1"/>
  <c r="K51" i="1"/>
  <c r="L51" i="1"/>
  <c r="C51" i="1"/>
  <c r="C56" i="1" s="1"/>
  <c r="C46" i="1"/>
  <c r="E19" i="12" l="1"/>
  <c r="E20" i="12"/>
  <c r="E15" i="12"/>
  <c r="E16" i="12"/>
  <c r="E18" i="12"/>
  <c r="E14" i="12"/>
  <c r="E13" i="12"/>
  <c r="C13" i="12"/>
  <c r="C14" i="12" s="1"/>
  <c r="C15" i="12" s="1"/>
  <c r="C16" i="12" s="1"/>
  <c r="C17" i="12" s="1"/>
  <c r="C18" i="12" s="1"/>
  <c r="E17" i="12"/>
  <c r="C14" i="11"/>
  <c r="C15" i="11" s="1"/>
  <c r="C16" i="11" s="1"/>
  <c r="C17" i="11" s="1"/>
  <c r="C18" i="11" s="1"/>
  <c r="C19" i="11" s="1"/>
  <c r="C20" i="11" s="1"/>
  <c r="AE54" i="11"/>
  <c r="P54" i="11"/>
  <c r="E18" i="11"/>
  <c r="E20" i="11"/>
  <c r="E19" i="11"/>
  <c r="E16" i="11"/>
  <c r="E17" i="11"/>
  <c r="E15" i="11"/>
  <c r="E14" i="11"/>
  <c r="G20" i="11"/>
  <c r="AA54" i="11"/>
  <c r="D20" i="11"/>
  <c r="AG54" i="11"/>
  <c r="O54" i="11"/>
  <c r="I54" i="11"/>
  <c r="G14" i="11"/>
  <c r="D14" i="11"/>
  <c r="T54" i="11"/>
  <c r="U54" i="11"/>
  <c r="N54" i="11"/>
  <c r="K54" i="11"/>
  <c r="H54" i="11"/>
  <c r="M54" i="11"/>
  <c r="L54" i="11"/>
  <c r="G15" i="11"/>
  <c r="D15" i="11"/>
  <c r="J54" i="11"/>
  <c r="Q54" i="11"/>
  <c r="G54" i="11"/>
  <c r="S54" i="11"/>
  <c r="Y54" i="11"/>
  <c r="R54" i="11"/>
  <c r="G16" i="11"/>
  <c r="D16" i="11"/>
  <c r="W54" i="11"/>
  <c r="AC54" i="11"/>
  <c r="V54" i="11"/>
  <c r="G18" i="11"/>
  <c r="D18" i="11"/>
  <c r="G17" i="11"/>
  <c r="D17" i="11"/>
  <c r="G19" i="11"/>
  <c r="D19" i="11"/>
  <c r="E46" i="2"/>
  <c r="AI54" i="11"/>
  <c r="AK38" i="12"/>
  <c r="AJ45" i="12"/>
  <c r="AJ53" i="12" s="1"/>
  <c r="AJ44" i="12"/>
  <c r="AJ43" i="12"/>
  <c r="AJ42" i="12"/>
  <c r="AJ41" i="12"/>
  <c r="AJ40" i="12"/>
  <c r="AJ45" i="11"/>
  <c r="AJ53" i="11" s="1"/>
  <c r="AJ44" i="11"/>
  <c r="AJ52" i="11" s="1"/>
  <c r="AJ43" i="11"/>
  <c r="AJ51" i="11" s="1"/>
  <c r="AJ42" i="11"/>
  <c r="AJ50" i="11" s="1"/>
  <c r="AJ41" i="11"/>
  <c r="AJ49" i="11" s="1"/>
  <c r="AJ40" i="11"/>
  <c r="AJ48" i="11" s="1"/>
  <c r="C39" i="9"/>
  <c r="AK38" i="11"/>
  <c r="C94" i="1"/>
  <c r="J38" i="6"/>
  <c r="D46" i="1"/>
  <c r="D94" i="1" s="1"/>
  <c r="E46" i="1"/>
  <c r="E94" i="1" s="1"/>
  <c r="D30" i="1"/>
  <c r="D32" i="1" s="1"/>
  <c r="D34" i="1" s="1"/>
  <c r="E30" i="1"/>
  <c r="E32" i="1" s="1"/>
  <c r="E34" i="1" s="1"/>
  <c r="F30" i="1"/>
  <c r="F32" i="1" s="1"/>
  <c r="F34" i="1" s="1"/>
  <c r="H30" i="1"/>
  <c r="H32" i="1" s="1"/>
  <c r="H34" i="1" s="1"/>
  <c r="I30" i="1"/>
  <c r="I32" i="1" s="1"/>
  <c r="I34" i="1" s="1"/>
  <c r="J30" i="1"/>
  <c r="J32" i="1" s="1"/>
  <c r="J34" i="1" s="1"/>
  <c r="K30" i="1"/>
  <c r="K32" i="1" s="1"/>
  <c r="K34" i="1" s="1"/>
  <c r="L30" i="1"/>
  <c r="L32" i="1" s="1"/>
  <c r="L34" i="1" s="1"/>
  <c r="C30" i="1"/>
  <c r="C32" i="1" s="1"/>
  <c r="C34" i="1" s="1"/>
  <c r="F46" i="2" l="1"/>
  <c r="AJ54" i="11"/>
  <c r="AL38" i="12"/>
  <c r="AK45" i="12"/>
  <c r="AK53" i="12" s="1"/>
  <c r="AK44" i="12"/>
  <c r="AK43" i="12"/>
  <c r="AK42" i="12"/>
  <c r="AK41" i="12"/>
  <c r="AK40" i="12"/>
  <c r="AK45" i="11"/>
  <c r="AK53" i="11" s="1"/>
  <c r="AK44" i="11"/>
  <c r="AK52" i="11" s="1"/>
  <c r="AK43" i="11"/>
  <c r="AK51" i="11" s="1"/>
  <c r="AK42" i="11"/>
  <c r="AK50" i="11" s="1"/>
  <c r="AK41" i="11"/>
  <c r="AK49" i="11" s="1"/>
  <c r="AK40" i="11"/>
  <c r="AK48" i="11" s="1"/>
  <c r="AL38" i="11"/>
  <c r="E39" i="1"/>
  <c r="E60" i="1" s="1"/>
  <c r="E91" i="1" s="1"/>
  <c r="E95" i="1"/>
  <c r="D39" i="1"/>
  <c r="D95" i="1"/>
  <c r="C39" i="1"/>
  <c r="C95" i="1"/>
  <c r="K38" i="6"/>
  <c r="D47" i="1"/>
  <c r="D57" i="1" s="1"/>
  <c r="E47" i="1"/>
  <c r="E57" i="1" s="1"/>
  <c r="C47" i="1"/>
  <c r="C57" i="1" s="1"/>
  <c r="C28" i="9"/>
  <c r="D20" i="2"/>
  <c r="D19" i="2"/>
  <c r="C20" i="2"/>
  <c r="C20" i="9" s="1"/>
  <c r="C19" i="2"/>
  <c r="M15" i="2"/>
  <c r="G46" i="2" l="1"/>
  <c r="AK54" i="11"/>
  <c r="AM38" i="12"/>
  <c r="AL45" i="12"/>
  <c r="AL53" i="12" s="1"/>
  <c r="E21" i="12" s="1"/>
  <c r="AL44" i="12"/>
  <c r="AL43" i="12"/>
  <c r="AL42" i="12"/>
  <c r="AL41" i="12"/>
  <c r="AL40" i="12"/>
  <c r="AL45" i="11"/>
  <c r="AL53" i="11" s="1"/>
  <c r="C21" i="11" s="1"/>
  <c r="AL44" i="11"/>
  <c r="AL52" i="11" s="1"/>
  <c r="AL43" i="11"/>
  <c r="AL51" i="11" s="1"/>
  <c r="AL42" i="11"/>
  <c r="AL50" i="11" s="1"/>
  <c r="AL41" i="11"/>
  <c r="AL49" i="11" s="1"/>
  <c r="AL40" i="11"/>
  <c r="AL48" i="11" s="1"/>
  <c r="AM38" i="11"/>
  <c r="H38" i="2"/>
  <c r="H37" i="9" s="1"/>
  <c r="G38" i="2"/>
  <c r="G37" i="9" s="1"/>
  <c r="I38" i="2"/>
  <c r="I37" i="9" s="1"/>
  <c r="D19" i="9"/>
  <c r="I39" i="2"/>
  <c r="I38" i="9" s="1"/>
  <c r="H39" i="2"/>
  <c r="H38" i="9" s="1"/>
  <c r="G39" i="2"/>
  <c r="G38" i="9" s="1"/>
  <c r="D38" i="2"/>
  <c r="D37" i="9" s="1"/>
  <c r="C19" i="9"/>
  <c r="F48" i="2"/>
  <c r="F46" i="9" s="1"/>
  <c r="D20" i="9"/>
  <c r="E47" i="2"/>
  <c r="E45" i="9" s="1"/>
  <c r="C47" i="2"/>
  <c r="C45" i="9" s="1"/>
  <c r="G48" i="2"/>
  <c r="G46" i="9" s="1"/>
  <c r="I48" i="2"/>
  <c r="I46" i="9" s="1"/>
  <c r="G47" i="2"/>
  <c r="G45" i="9" s="1"/>
  <c r="I47" i="2"/>
  <c r="I45" i="9" s="1"/>
  <c r="L38" i="6"/>
  <c r="J47" i="2"/>
  <c r="J45" i="9" s="1"/>
  <c r="J48" i="2"/>
  <c r="J46" i="9" s="1"/>
  <c r="H47" i="2"/>
  <c r="H45" i="9" s="1"/>
  <c r="H48" i="2"/>
  <c r="H46" i="9" s="1"/>
  <c r="C39" i="2"/>
  <c r="C38" i="9" s="1"/>
  <c r="C48" i="2"/>
  <c r="C46" i="9" s="1"/>
  <c r="D39" i="2"/>
  <c r="D38" i="9" s="1"/>
  <c r="D48" i="2"/>
  <c r="D46" i="9" s="1"/>
  <c r="E48" i="2"/>
  <c r="E46" i="9" s="1"/>
  <c r="E39" i="2"/>
  <c r="E38" i="9" s="1"/>
  <c r="F39" i="2"/>
  <c r="F38" i="9" s="1"/>
  <c r="C21" i="2"/>
  <c r="C21" i="9" s="1"/>
  <c r="D47" i="2"/>
  <c r="D45" i="9" s="1"/>
  <c r="F47" i="2"/>
  <c r="F45" i="9" s="1"/>
  <c r="J13" i="2"/>
  <c r="E21" i="11" l="1"/>
  <c r="H46" i="2"/>
  <c r="AL54" i="11"/>
  <c r="AN38" i="12"/>
  <c r="AM45" i="12"/>
  <c r="AM53" i="12" s="1"/>
  <c r="AM44" i="12"/>
  <c r="AM43" i="12"/>
  <c r="AM42" i="12"/>
  <c r="AM41" i="12"/>
  <c r="AM40" i="12"/>
  <c r="AM45" i="11"/>
  <c r="AM53" i="11" s="1"/>
  <c r="AM44" i="11"/>
  <c r="AM52" i="11" s="1"/>
  <c r="AM43" i="11"/>
  <c r="AM51" i="11" s="1"/>
  <c r="AM42" i="11"/>
  <c r="AM50" i="11" s="1"/>
  <c r="AM41" i="11"/>
  <c r="AM49" i="11" s="1"/>
  <c r="AM40" i="11"/>
  <c r="AM48" i="11" s="1"/>
  <c r="D21" i="11"/>
  <c r="G21" i="11"/>
  <c r="AN38" i="11"/>
  <c r="D40" i="9"/>
  <c r="C41" i="6"/>
  <c r="M38" i="6"/>
  <c r="J14" i="2"/>
  <c r="J15" i="2" s="1"/>
  <c r="E40" i="2"/>
  <c r="E39" i="9" s="1"/>
  <c r="C25" i="2"/>
  <c r="C25" i="9" s="1"/>
  <c r="I46" i="2" l="1"/>
  <c r="AM54" i="11"/>
  <c r="C49" i="6"/>
  <c r="C49" i="12" s="1"/>
  <c r="AO38" i="12"/>
  <c r="AN45" i="12"/>
  <c r="AN53" i="12" s="1"/>
  <c r="AN44" i="12"/>
  <c r="AN43" i="12"/>
  <c r="AN42" i="12"/>
  <c r="AN41" i="12"/>
  <c r="AN40" i="12"/>
  <c r="AN45" i="11"/>
  <c r="AN53" i="11" s="1"/>
  <c r="AN44" i="11"/>
  <c r="AN52" i="11" s="1"/>
  <c r="AN43" i="11"/>
  <c r="AN51" i="11" s="1"/>
  <c r="AN42" i="11"/>
  <c r="AN50" i="11" s="1"/>
  <c r="AN41" i="11"/>
  <c r="AN49" i="11" s="1"/>
  <c r="AN40" i="11"/>
  <c r="AN48" i="11" s="1"/>
  <c r="AO38" i="11"/>
  <c r="J16" i="2"/>
  <c r="G40" i="2"/>
  <c r="N38" i="6"/>
  <c r="F40" i="2"/>
  <c r="F39" i="9" s="1"/>
  <c r="J46" i="2" l="1"/>
  <c r="AN54" i="11"/>
  <c r="AP38" i="12"/>
  <c r="AO45" i="12"/>
  <c r="AO53" i="12" s="1"/>
  <c r="AO44" i="12"/>
  <c r="AO43" i="12"/>
  <c r="AO42" i="12"/>
  <c r="AO41" i="12"/>
  <c r="AO40" i="12"/>
  <c r="AO45" i="11"/>
  <c r="AO53" i="11" s="1"/>
  <c r="AO44" i="11"/>
  <c r="AO52" i="11" s="1"/>
  <c r="AO43" i="11"/>
  <c r="AO51" i="11" s="1"/>
  <c r="AO42" i="11"/>
  <c r="AO50" i="11" s="1"/>
  <c r="AO41" i="11"/>
  <c r="AO49" i="11" s="1"/>
  <c r="AO40" i="11"/>
  <c r="AO48" i="11" s="1"/>
  <c r="AP38" i="11"/>
  <c r="J17" i="2"/>
  <c r="H40" i="2"/>
  <c r="G41" i="2"/>
  <c r="G39" i="9"/>
  <c r="G40" i="9" s="1"/>
  <c r="O38" i="6"/>
  <c r="F41" i="6" l="1"/>
  <c r="F49" i="6" s="1"/>
  <c r="F49" i="12" s="1"/>
  <c r="C55" i="2"/>
  <c r="M41" i="6"/>
  <c r="M49" i="6" s="1"/>
  <c r="M49" i="12" s="1"/>
  <c r="AO54" i="11"/>
  <c r="AP45" i="12"/>
  <c r="AP53" i="12" s="1"/>
  <c r="E22" i="12" s="1"/>
  <c r="AP44" i="12"/>
  <c r="AP43" i="12"/>
  <c r="AP42" i="12"/>
  <c r="AP41" i="12"/>
  <c r="AP40" i="12"/>
  <c r="AP45" i="11"/>
  <c r="AP53" i="11" s="1"/>
  <c r="E22" i="11" s="1"/>
  <c r="AP44" i="11"/>
  <c r="AP52" i="11" s="1"/>
  <c r="AP43" i="11"/>
  <c r="AP51" i="11" s="1"/>
  <c r="AP42" i="11"/>
  <c r="AP50" i="11" s="1"/>
  <c r="AP41" i="11"/>
  <c r="AP49" i="11" s="1"/>
  <c r="AP40" i="11"/>
  <c r="AP48" i="11" s="1"/>
  <c r="J18" i="2"/>
  <c r="I40" i="2"/>
  <c r="H41" i="2"/>
  <c r="H39" i="9"/>
  <c r="H40" i="9" s="1"/>
  <c r="O41" i="6"/>
  <c r="O49" i="6" s="1"/>
  <c r="O49" i="12" s="1"/>
  <c r="O40" i="6"/>
  <c r="O48" i="6" s="1"/>
  <c r="O48" i="12" s="1"/>
  <c r="P38" i="6"/>
  <c r="D55" i="2" l="1"/>
  <c r="E55" i="2" s="1"/>
  <c r="F55" i="2" s="1"/>
  <c r="G55" i="2" s="1"/>
  <c r="H55" i="2" s="1"/>
  <c r="I55" i="2" s="1"/>
  <c r="C22" i="11"/>
  <c r="J19" i="2"/>
  <c r="J20" i="2" s="1"/>
  <c r="J21" i="2" s="1"/>
  <c r="J22" i="2" s="1"/>
  <c r="J40" i="2"/>
  <c r="M40" i="6"/>
  <c r="M48" i="6" s="1"/>
  <c r="M48" i="12" s="1"/>
  <c r="E41" i="6"/>
  <c r="E49" i="6" s="1"/>
  <c r="E49" i="12" s="1"/>
  <c r="D41" i="6"/>
  <c r="D49" i="6" s="1"/>
  <c r="D49" i="12" s="1"/>
  <c r="D40" i="6"/>
  <c r="D48" i="6" s="1"/>
  <c r="D48" i="12" s="1"/>
  <c r="F42" i="6"/>
  <c r="F50" i="6" s="1"/>
  <c r="F50" i="12" s="1"/>
  <c r="L41" i="6"/>
  <c r="L49" i="6" s="1"/>
  <c r="L49" i="12" s="1"/>
  <c r="L40" i="6"/>
  <c r="L48" i="6" s="1"/>
  <c r="L48" i="12" s="1"/>
  <c r="N40" i="6"/>
  <c r="N48" i="6" s="1"/>
  <c r="N48" i="12" s="1"/>
  <c r="K40" i="6"/>
  <c r="K48" i="6" s="1"/>
  <c r="K48" i="12" s="1"/>
  <c r="H41" i="6"/>
  <c r="H49" i="6" s="1"/>
  <c r="H49" i="12" s="1"/>
  <c r="J41" i="6"/>
  <c r="J49" i="6" s="1"/>
  <c r="J49" i="12" s="1"/>
  <c r="K41" i="6"/>
  <c r="K49" i="6" s="1"/>
  <c r="K49" i="12" s="1"/>
  <c r="G41" i="6"/>
  <c r="G49" i="6" s="1"/>
  <c r="G49" i="12" s="1"/>
  <c r="N41" i="6"/>
  <c r="N49" i="6" s="1"/>
  <c r="N49" i="12" s="1"/>
  <c r="N42" i="6"/>
  <c r="N50" i="6" s="1"/>
  <c r="N50" i="12" s="1"/>
  <c r="I41" i="6"/>
  <c r="I49" i="6" s="1"/>
  <c r="I49" i="12" s="1"/>
  <c r="G22" i="11"/>
  <c r="AP54" i="11"/>
  <c r="D22" i="11"/>
  <c r="I41" i="2"/>
  <c r="I39" i="9"/>
  <c r="I40" i="9" s="1"/>
  <c r="P40" i="6"/>
  <c r="P48" i="6" s="1"/>
  <c r="P48" i="12" s="1"/>
  <c r="P41" i="6"/>
  <c r="P49" i="6" s="1"/>
  <c r="P49" i="12" s="1"/>
  <c r="Q38" i="6"/>
  <c r="M42" i="6" l="1"/>
  <c r="M50" i="6" s="1"/>
  <c r="M50" i="12" s="1"/>
  <c r="J41" i="2"/>
  <c r="J39" i="9"/>
  <c r="J40" i="9" s="1"/>
  <c r="J55" i="2"/>
  <c r="E49" i="2"/>
  <c r="K42" i="6" s="1"/>
  <c r="K50" i="6" s="1"/>
  <c r="K50" i="12" s="1"/>
  <c r="D49" i="2"/>
  <c r="P42" i="6" s="1"/>
  <c r="P50" i="6" s="1"/>
  <c r="P50" i="12" s="1"/>
  <c r="Q40" i="6"/>
  <c r="Q48" i="6" s="1"/>
  <c r="Q48" i="12" s="1"/>
  <c r="Q41" i="6"/>
  <c r="Q49" i="6" s="1"/>
  <c r="Q49" i="12" s="1"/>
  <c r="C49" i="2"/>
  <c r="F49" i="2"/>
  <c r="L42" i="6" s="1"/>
  <c r="L50" i="6" s="1"/>
  <c r="L50" i="12" s="1"/>
  <c r="I49" i="2"/>
  <c r="I47" i="9" s="1"/>
  <c r="G49" i="2"/>
  <c r="G47" i="9" s="1"/>
  <c r="H49" i="2"/>
  <c r="H47" i="9" s="1"/>
  <c r="J49" i="2"/>
  <c r="J47" i="9" s="1"/>
  <c r="R38" i="6"/>
  <c r="Q42" i="6" l="1"/>
  <c r="Q50" i="6" s="1"/>
  <c r="Q50" i="12" s="1"/>
  <c r="R42" i="6"/>
  <c r="R50" i="6" s="1"/>
  <c r="R50" i="12" s="1"/>
  <c r="G42" i="6"/>
  <c r="G50" i="6" s="1"/>
  <c r="G50" i="12" s="1"/>
  <c r="O42" i="6"/>
  <c r="O50" i="6" s="1"/>
  <c r="O50" i="12" s="1"/>
  <c r="D47" i="9"/>
  <c r="D48" i="9" s="1"/>
  <c r="H42" i="6"/>
  <c r="H50" i="6" s="1"/>
  <c r="H50" i="12" s="1"/>
  <c r="F47" i="9"/>
  <c r="F48" i="9" s="1"/>
  <c r="J42" i="6"/>
  <c r="J50" i="6" s="1"/>
  <c r="J50" i="12" s="1"/>
  <c r="E47" i="9"/>
  <c r="E48" i="9" s="1"/>
  <c r="I42" i="6"/>
  <c r="I50" i="6" s="1"/>
  <c r="I50" i="12" s="1"/>
  <c r="C47" i="9"/>
  <c r="C48" i="9" s="1"/>
  <c r="K55" i="2"/>
  <c r="I48" i="9"/>
  <c r="G48" i="9"/>
  <c r="J48" i="9"/>
  <c r="H48" i="9"/>
  <c r="R40" i="6"/>
  <c r="R48" i="6" s="1"/>
  <c r="R48" i="12" s="1"/>
  <c r="R41" i="6"/>
  <c r="R49" i="6" s="1"/>
  <c r="R49" i="12" s="1"/>
  <c r="S38" i="6"/>
  <c r="S42" i="6" s="1"/>
  <c r="S50" i="6" s="1"/>
  <c r="S50" i="12" s="1"/>
  <c r="L55" i="2" l="1"/>
  <c r="S40" i="6"/>
  <c r="S48" i="6" s="1"/>
  <c r="S48" i="12" s="1"/>
  <c r="S41" i="6"/>
  <c r="S49" i="6" s="1"/>
  <c r="S49" i="12" s="1"/>
  <c r="T38" i="6"/>
  <c r="T42" i="6" s="1"/>
  <c r="T50" i="6" s="1"/>
  <c r="T50" i="12" s="1"/>
  <c r="M55" i="2" l="1"/>
  <c r="T40" i="6"/>
  <c r="T48" i="6" s="1"/>
  <c r="T48" i="12" s="1"/>
  <c r="T41" i="6"/>
  <c r="T49" i="6" s="1"/>
  <c r="T49" i="12" s="1"/>
  <c r="U38" i="6"/>
  <c r="U42" i="6" s="1"/>
  <c r="U50" i="6" s="1"/>
  <c r="U50" i="12" s="1"/>
  <c r="J50" i="2"/>
  <c r="I50" i="2"/>
  <c r="H50" i="2"/>
  <c r="C15" i="2"/>
  <c r="L72" i="1"/>
  <c r="K72" i="1"/>
  <c r="J72" i="1"/>
  <c r="I72" i="1"/>
  <c r="H72" i="1"/>
  <c r="G72" i="1"/>
  <c r="F72" i="1"/>
  <c r="E62" i="1"/>
  <c r="E90" i="1" s="1"/>
  <c r="D62" i="1"/>
  <c r="D90" i="1" s="1"/>
  <c r="C62" i="1"/>
  <c r="C90" i="1" s="1"/>
  <c r="D42" i="6" l="1"/>
  <c r="D50" i="6" s="1"/>
  <c r="D50" i="12" s="1"/>
  <c r="E42" i="6"/>
  <c r="E50" i="6" s="1"/>
  <c r="E50" i="12" s="1"/>
  <c r="N55" i="2"/>
  <c r="U40" i="6"/>
  <c r="U48" i="6" s="1"/>
  <c r="U48" i="12" s="1"/>
  <c r="U41" i="6"/>
  <c r="U49" i="6" s="1"/>
  <c r="U49" i="12" s="1"/>
  <c r="V38" i="6"/>
  <c r="V42" i="6" s="1"/>
  <c r="V50" i="6" s="1"/>
  <c r="V50" i="12" s="1"/>
  <c r="G50" i="2"/>
  <c r="F38" i="2"/>
  <c r="F37" i="9" s="1"/>
  <c r="C38" i="2"/>
  <c r="C37" i="9" s="1"/>
  <c r="E38" i="2"/>
  <c r="E37" i="9" s="1"/>
  <c r="O55" i="2" l="1"/>
  <c r="C40" i="9"/>
  <c r="F40" i="9"/>
  <c r="E40" i="9"/>
  <c r="I40" i="6"/>
  <c r="I48" i="6" s="1"/>
  <c r="I48" i="12" s="1"/>
  <c r="F40" i="6"/>
  <c r="F48" i="6" s="1"/>
  <c r="F48" i="12" s="1"/>
  <c r="H40" i="6"/>
  <c r="H48" i="6" s="1"/>
  <c r="H48" i="12" s="1"/>
  <c r="V41" i="6"/>
  <c r="V49" i="6" s="1"/>
  <c r="V49" i="12" s="1"/>
  <c r="V40" i="6"/>
  <c r="V48" i="6" s="1"/>
  <c r="V48" i="12" s="1"/>
  <c r="E40" i="6"/>
  <c r="E48" i="6" s="1"/>
  <c r="E48" i="12" s="1"/>
  <c r="G40" i="6"/>
  <c r="G48" i="6" s="1"/>
  <c r="G48" i="12" s="1"/>
  <c r="C40" i="6"/>
  <c r="C48" i="6" s="1"/>
  <c r="J40" i="6"/>
  <c r="J48" i="6" s="1"/>
  <c r="J48" i="12" s="1"/>
  <c r="W38" i="6"/>
  <c r="W42" i="6" s="1"/>
  <c r="W50" i="6" s="1"/>
  <c r="W50" i="12" s="1"/>
  <c r="C24" i="2"/>
  <c r="D50" i="2"/>
  <c r="D41" i="2"/>
  <c r="F50" i="2"/>
  <c r="F41" i="2"/>
  <c r="E50" i="2"/>
  <c r="E41" i="2"/>
  <c r="C50" i="2"/>
  <c r="C41" i="2"/>
  <c r="P55" i="2" l="1"/>
  <c r="W40" i="6"/>
  <c r="W48" i="6" s="1"/>
  <c r="W48" i="12" s="1"/>
  <c r="W41" i="6"/>
  <c r="W49" i="6" s="1"/>
  <c r="W49" i="12" s="1"/>
  <c r="X38" i="6"/>
  <c r="X42" i="6" s="1"/>
  <c r="X50" i="6" s="1"/>
  <c r="X50" i="12" s="1"/>
  <c r="C29" i="9"/>
  <c r="C48" i="12" l="1"/>
  <c r="Q55" i="2"/>
  <c r="C56" i="2"/>
  <c r="C53" i="9" s="1"/>
  <c r="C31" i="2"/>
  <c r="C31" i="9" s="1"/>
  <c r="D31" i="9" s="1"/>
  <c r="X40" i="6"/>
  <c r="X48" i="6" s="1"/>
  <c r="X48" i="12" s="1"/>
  <c r="X41" i="6"/>
  <c r="X49" i="6" s="1"/>
  <c r="X49" i="12" s="1"/>
  <c r="C57" i="2"/>
  <c r="C54" i="9" s="1"/>
  <c r="V57" i="2"/>
  <c r="V54" i="9" s="1"/>
  <c r="S57" i="2"/>
  <c r="S54" i="9" s="1"/>
  <c r="U57" i="2"/>
  <c r="U54" i="9" s="1"/>
  <c r="T57" i="2"/>
  <c r="T54" i="9" s="1"/>
  <c r="V56" i="2"/>
  <c r="V53" i="9" s="1"/>
  <c r="S56" i="2"/>
  <c r="S53" i="9" s="1"/>
  <c r="T56" i="2"/>
  <c r="T53" i="9" s="1"/>
  <c r="U56" i="2"/>
  <c r="U53" i="9" s="1"/>
  <c r="F57" i="2"/>
  <c r="F54" i="9" s="1"/>
  <c r="Y38" i="6"/>
  <c r="Y42" i="6" s="1"/>
  <c r="Y50" i="6" s="1"/>
  <c r="Y50" i="12" s="1"/>
  <c r="Q57" i="2"/>
  <c r="Q54" i="9" s="1"/>
  <c r="D56" i="2"/>
  <c r="D53" i="9" s="1"/>
  <c r="F56" i="2"/>
  <c r="F53" i="9" s="1"/>
  <c r="M56" i="2"/>
  <c r="M53" i="9" s="1"/>
  <c r="G56" i="2"/>
  <c r="G53" i="9" s="1"/>
  <c r="K57" i="2"/>
  <c r="K54" i="9" s="1"/>
  <c r="I56" i="2"/>
  <c r="I53" i="9" s="1"/>
  <c r="Q56" i="2"/>
  <c r="Q53" i="9" s="1"/>
  <c r="M57" i="2"/>
  <c r="M54" i="9" s="1"/>
  <c r="L57" i="2"/>
  <c r="L54" i="9" s="1"/>
  <c r="K56" i="2"/>
  <c r="K53" i="9" s="1"/>
  <c r="G57" i="2"/>
  <c r="G54" i="9" s="1"/>
  <c r="E57" i="2"/>
  <c r="E54" i="9" s="1"/>
  <c r="H57" i="2"/>
  <c r="H54" i="9" s="1"/>
  <c r="R57" i="2"/>
  <c r="R54" i="9" s="1"/>
  <c r="O57" i="2"/>
  <c r="O54" i="9" s="1"/>
  <c r="D57" i="2"/>
  <c r="D54" i="9" s="1"/>
  <c r="P57" i="2"/>
  <c r="P54" i="9" s="1"/>
  <c r="I57" i="2"/>
  <c r="I54" i="9" s="1"/>
  <c r="N57" i="2"/>
  <c r="N54" i="9" s="1"/>
  <c r="O56" i="2"/>
  <c r="O53" i="9" s="1"/>
  <c r="P56" i="2"/>
  <c r="P53" i="9" s="1"/>
  <c r="R56" i="2"/>
  <c r="R53" i="9" s="1"/>
  <c r="E56" i="2"/>
  <c r="E53" i="9" s="1"/>
  <c r="J57" i="2"/>
  <c r="J54" i="9" s="1"/>
  <c r="L56" i="2"/>
  <c r="L53" i="9" s="1"/>
  <c r="N56" i="2"/>
  <c r="N53" i="9" s="1"/>
  <c r="H56" i="2"/>
  <c r="H53" i="9" s="1"/>
  <c r="J56" i="2"/>
  <c r="J53" i="9" s="1"/>
  <c r="R55" i="2" l="1"/>
  <c r="V56" i="9"/>
  <c r="U56" i="9"/>
  <c r="S56" i="9"/>
  <c r="T56" i="9"/>
  <c r="Y40" i="6"/>
  <c r="Y48" i="6" s="1"/>
  <c r="Y48" i="12" s="1"/>
  <c r="Y41" i="6"/>
  <c r="Y49" i="6" s="1"/>
  <c r="Y49" i="12" s="1"/>
  <c r="S58" i="2"/>
  <c r="S55" i="9" s="1"/>
  <c r="R58" i="2"/>
  <c r="R55" i="9" s="1"/>
  <c r="R56" i="9" s="1"/>
  <c r="V58" i="2"/>
  <c r="T58" i="2"/>
  <c r="T55" i="9" s="1"/>
  <c r="U58" i="2"/>
  <c r="U55" i="9" s="1"/>
  <c r="Z38" i="6"/>
  <c r="Z42" i="6" s="1"/>
  <c r="Z50" i="6" s="1"/>
  <c r="Z50" i="12" s="1"/>
  <c r="Q58" i="2"/>
  <c r="P58" i="2"/>
  <c r="O58" i="2"/>
  <c r="D58" i="2"/>
  <c r="F58" i="2"/>
  <c r="I58" i="2"/>
  <c r="C58" i="2"/>
  <c r="K58" i="2"/>
  <c r="N58" i="2"/>
  <c r="N55" i="9" s="1"/>
  <c r="N56" i="9" s="1"/>
  <c r="L58" i="2"/>
  <c r="L55" i="9" s="1"/>
  <c r="L56" i="9" s="1"/>
  <c r="M58" i="2"/>
  <c r="G58" i="2"/>
  <c r="J58" i="2"/>
  <c r="J55" i="9" s="1"/>
  <c r="J56" i="9" s="1"/>
  <c r="H58" i="2"/>
  <c r="E58" i="2"/>
  <c r="D31" i="2"/>
  <c r="C26" i="2"/>
  <c r="C26" i="9" s="1"/>
  <c r="C23" i="2"/>
  <c r="H55" i="9" l="1"/>
  <c r="H56" i="9" s="1"/>
  <c r="V55" i="9"/>
  <c r="G55" i="9"/>
  <c r="G56" i="9" s="1"/>
  <c r="D55" i="9"/>
  <c r="D56" i="9" s="1"/>
  <c r="S55" i="2"/>
  <c r="D12" i="9"/>
  <c r="D14" i="9"/>
  <c r="F59" i="2"/>
  <c r="F55" i="9"/>
  <c r="F56" i="9" s="1"/>
  <c r="O59" i="2"/>
  <c r="O55" i="9"/>
  <c r="O56" i="9" s="1"/>
  <c r="Q59" i="2"/>
  <c r="Q55" i="9"/>
  <c r="Q56" i="9" s="1"/>
  <c r="K59" i="2"/>
  <c r="K55" i="9"/>
  <c r="K56" i="9" s="1"/>
  <c r="E59" i="2"/>
  <c r="E55" i="9"/>
  <c r="E56" i="9" s="1"/>
  <c r="M59" i="2"/>
  <c r="M55" i="9"/>
  <c r="M56" i="9" s="1"/>
  <c r="P59" i="2"/>
  <c r="P55" i="9"/>
  <c r="P56" i="9" s="1"/>
  <c r="C59" i="2"/>
  <c r="C61" i="2" s="1"/>
  <c r="D62" i="2" s="1"/>
  <c r="C55" i="9"/>
  <c r="C56" i="9" s="1"/>
  <c r="I59" i="2"/>
  <c r="I55" i="9"/>
  <c r="I56" i="9" s="1"/>
  <c r="Z41" i="6"/>
  <c r="Z49" i="6" s="1"/>
  <c r="Z49" i="12" s="1"/>
  <c r="Z40" i="6"/>
  <c r="Z48" i="6" s="1"/>
  <c r="Z48" i="12" s="1"/>
  <c r="T59" i="2"/>
  <c r="V59" i="2"/>
  <c r="U59" i="2"/>
  <c r="S59" i="2"/>
  <c r="AA38" i="6"/>
  <c r="AA42" i="6" s="1"/>
  <c r="AA50" i="6" s="1"/>
  <c r="AA50" i="12" s="1"/>
  <c r="C27" i="2"/>
  <c r="C27" i="9" s="1"/>
  <c r="D59" i="2"/>
  <c r="H59" i="2"/>
  <c r="G59" i="2"/>
  <c r="N59" i="2"/>
  <c r="L59" i="2"/>
  <c r="R59" i="2"/>
  <c r="J59" i="2"/>
  <c r="T55" i="2" l="1"/>
  <c r="AA40" i="6"/>
  <c r="AA48" i="6" s="1"/>
  <c r="AA48" i="12" s="1"/>
  <c r="AA41" i="6"/>
  <c r="AA49" i="6" s="1"/>
  <c r="AA49" i="12" s="1"/>
  <c r="AB38" i="6"/>
  <c r="AB42" i="6" s="1"/>
  <c r="AB50" i="6" s="1"/>
  <c r="AB50" i="12" s="1"/>
  <c r="D61" i="2"/>
  <c r="E62" i="2" s="1"/>
  <c r="E61" i="2" s="1"/>
  <c r="F62" i="2" s="1"/>
  <c r="F61" i="2" s="1"/>
  <c r="G62" i="2" s="1"/>
  <c r="G61" i="2" s="1"/>
  <c r="H62" i="2" s="1"/>
  <c r="H61" i="2" s="1"/>
  <c r="I62" i="2" s="1"/>
  <c r="I61" i="2" s="1"/>
  <c r="J62" i="2" s="1"/>
  <c r="J61" i="2" s="1"/>
  <c r="K62" i="2" s="1"/>
  <c r="K61" i="2" s="1"/>
  <c r="L62" i="2" s="1"/>
  <c r="L61" i="2" s="1"/>
  <c r="M62" i="2" s="1"/>
  <c r="M61" i="2" s="1"/>
  <c r="N62" i="2" s="1"/>
  <c r="N61" i="2" s="1"/>
  <c r="C30" i="2"/>
  <c r="U55" i="2" l="1"/>
  <c r="AB40" i="6"/>
  <c r="AB48" i="6" s="1"/>
  <c r="AB48" i="12" s="1"/>
  <c r="AB41" i="6"/>
  <c r="AB49" i="6" s="1"/>
  <c r="AB49" i="12" s="1"/>
  <c r="AC38" i="6"/>
  <c r="AC42" i="6" s="1"/>
  <c r="AC50" i="6" s="1"/>
  <c r="AC50" i="12" s="1"/>
  <c r="V55" i="2" l="1"/>
  <c r="G44" i="6"/>
  <c r="G52" i="6" s="1"/>
  <c r="G52" i="12" s="1"/>
  <c r="E44" i="6"/>
  <c r="E52" i="6" s="1"/>
  <c r="E52" i="12" s="1"/>
  <c r="K44" i="6"/>
  <c r="K52" i="6" s="1"/>
  <c r="K52" i="12" s="1"/>
  <c r="F45" i="6"/>
  <c r="F53" i="6" s="1"/>
  <c r="J44" i="6"/>
  <c r="J52" i="6" s="1"/>
  <c r="J52" i="12" s="1"/>
  <c r="F44" i="6"/>
  <c r="F52" i="6" s="1"/>
  <c r="F52" i="12" s="1"/>
  <c r="H44" i="6"/>
  <c r="H52" i="6" s="1"/>
  <c r="H52" i="12" s="1"/>
  <c r="M45" i="6"/>
  <c r="M53" i="6" s="1"/>
  <c r="D45" i="6"/>
  <c r="D53" i="6" s="1"/>
  <c r="J45" i="6"/>
  <c r="J53" i="6" s="1"/>
  <c r="M44" i="6"/>
  <c r="M52" i="6" s="1"/>
  <c r="AC41" i="6"/>
  <c r="AC49" i="6" s="1"/>
  <c r="AC49" i="12" s="1"/>
  <c r="AC40" i="6"/>
  <c r="AC48" i="6" s="1"/>
  <c r="AC48" i="12" s="1"/>
  <c r="AC44" i="6"/>
  <c r="AC52" i="6" s="1"/>
  <c r="AC52" i="12" s="1"/>
  <c r="AC45" i="6"/>
  <c r="AC53" i="6" s="1"/>
  <c r="AD38" i="6"/>
  <c r="AD42" i="6" s="1"/>
  <c r="AD50" i="6" s="1"/>
  <c r="AD50" i="12" s="1"/>
  <c r="AB43" i="6" l="1"/>
  <c r="AB51" i="6" s="1"/>
  <c r="AB51" i="12" s="1"/>
  <c r="C43" i="6"/>
  <c r="I45" i="6"/>
  <c r="I53" i="6" s="1"/>
  <c r="K45" i="6"/>
  <c r="K53" i="6" s="1"/>
  <c r="E45" i="6"/>
  <c r="E53" i="6" s="1"/>
  <c r="L44" i="6"/>
  <c r="L52" i="6" s="1"/>
  <c r="L52" i="12" s="1"/>
  <c r="D44" i="6"/>
  <c r="D52" i="6" s="1"/>
  <c r="D52" i="12" s="1"/>
  <c r="C44" i="6"/>
  <c r="C52" i="6" s="1"/>
  <c r="C52" i="12" s="1"/>
  <c r="H45" i="6"/>
  <c r="H53" i="6" s="1"/>
  <c r="U45" i="6"/>
  <c r="U53" i="6" s="1"/>
  <c r="W45" i="6"/>
  <c r="W53" i="6" s="1"/>
  <c r="S43" i="6"/>
  <c r="S51" i="6" s="1"/>
  <c r="S51" i="12" s="1"/>
  <c r="T44" i="6"/>
  <c r="T52" i="6" s="1"/>
  <c r="T52" i="12" s="1"/>
  <c r="O43" i="6"/>
  <c r="O51" i="6" s="1"/>
  <c r="O51" i="12" s="1"/>
  <c r="N45" i="6"/>
  <c r="N53" i="6" s="1"/>
  <c r="W43" i="6"/>
  <c r="W51" i="6" s="1"/>
  <c r="W51" i="12" s="1"/>
  <c r="P45" i="6"/>
  <c r="P53" i="6" s="1"/>
  <c r="AA45" i="6"/>
  <c r="AA53" i="6" s="1"/>
  <c r="P44" i="6"/>
  <c r="P52" i="6" s="1"/>
  <c r="P52" i="12" s="1"/>
  <c r="O44" i="6"/>
  <c r="O52" i="6" s="1"/>
  <c r="O52" i="12" s="1"/>
  <c r="N43" i="6"/>
  <c r="N51" i="6" s="1"/>
  <c r="R45" i="6"/>
  <c r="R53" i="6" s="1"/>
  <c r="O45" i="6"/>
  <c r="O53" i="6" s="1"/>
  <c r="Q45" i="6"/>
  <c r="Q53" i="6" s="1"/>
  <c r="N44" i="6"/>
  <c r="N52" i="6" s="1"/>
  <c r="N52" i="12" s="1"/>
  <c r="P43" i="6"/>
  <c r="P51" i="6" s="1"/>
  <c r="R44" i="6"/>
  <c r="R52" i="6" s="1"/>
  <c r="R52" i="12" s="1"/>
  <c r="Q43" i="6"/>
  <c r="Q51" i="6" s="1"/>
  <c r="S45" i="6"/>
  <c r="S53" i="6" s="1"/>
  <c r="S44" i="6"/>
  <c r="S52" i="6" s="1"/>
  <c r="S52" i="12" s="1"/>
  <c r="T45" i="6"/>
  <c r="T53" i="6" s="1"/>
  <c r="T43" i="6"/>
  <c r="T51" i="6" s="1"/>
  <c r="X43" i="6"/>
  <c r="X51" i="6" s="1"/>
  <c r="X51" i="12" s="1"/>
  <c r="Q44" i="6"/>
  <c r="Q52" i="6" s="1"/>
  <c r="Q52" i="12" s="1"/>
  <c r="R43" i="6"/>
  <c r="R51" i="6" s="1"/>
  <c r="Y44" i="6"/>
  <c r="Y52" i="6" s="1"/>
  <c r="Y52" i="12" s="1"/>
  <c r="Y45" i="6"/>
  <c r="Y53" i="6" s="1"/>
  <c r="AA44" i="6"/>
  <c r="AA52" i="6" s="1"/>
  <c r="AA52" i="12" s="1"/>
  <c r="Z44" i="6"/>
  <c r="Z52" i="6" s="1"/>
  <c r="Z52" i="12" s="1"/>
  <c r="Y43" i="6"/>
  <c r="Y51" i="6" s="1"/>
  <c r="Z45" i="6"/>
  <c r="Z53" i="6" s="1"/>
  <c r="V45" i="6"/>
  <c r="V53" i="6" s="1"/>
  <c r="U44" i="6"/>
  <c r="U52" i="6" s="1"/>
  <c r="V44" i="6"/>
  <c r="V52" i="6" s="1"/>
  <c r="V52" i="12" s="1"/>
  <c r="W44" i="6"/>
  <c r="W52" i="6" s="1"/>
  <c r="W52" i="12" s="1"/>
  <c r="AA43" i="6"/>
  <c r="AA51" i="6" s="1"/>
  <c r="X45" i="6"/>
  <c r="X53" i="6" s="1"/>
  <c r="V43" i="6"/>
  <c r="V51" i="6" s="1"/>
  <c r="U43" i="6"/>
  <c r="U51" i="6" s="1"/>
  <c r="U51" i="12" s="1"/>
  <c r="X44" i="6"/>
  <c r="X52" i="6" s="1"/>
  <c r="X52" i="12" s="1"/>
  <c r="Z43" i="6"/>
  <c r="Z51" i="6" s="1"/>
  <c r="C51" i="6"/>
  <c r="C51" i="12" s="1"/>
  <c r="C45" i="6"/>
  <c r="C53" i="6" s="1"/>
  <c r="J43" i="6"/>
  <c r="J51" i="6" s="1"/>
  <c r="J51" i="12" s="1"/>
  <c r="J54" i="12" s="1"/>
  <c r="E43" i="6"/>
  <c r="E51" i="6" s="1"/>
  <c r="E51" i="12" s="1"/>
  <c r="E54" i="12" s="1"/>
  <c r="K43" i="6"/>
  <c r="K51" i="6" s="1"/>
  <c r="K51" i="12" s="1"/>
  <c r="K54" i="12" s="1"/>
  <c r="F43" i="6"/>
  <c r="F51" i="6" s="1"/>
  <c r="F51" i="12" s="1"/>
  <c r="F54" i="12" s="1"/>
  <c r="AC43" i="6"/>
  <c r="AC51" i="6" s="1"/>
  <c r="AC51" i="12" s="1"/>
  <c r="AC54" i="12" s="1"/>
  <c r="M43" i="6"/>
  <c r="M51" i="6" s="1"/>
  <c r="M51" i="12" s="1"/>
  <c r="I43" i="6"/>
  <c r="I51" i="6" s="1"/>
  <c r="I51" i="12" s="1"/>
  <c r="D43" i="6"/>
  <c r="D51" i="6" s="1"/>
  <c r="D51" i="12" s="1"/>
  <c r="AD43" i="6"/>
  <c r="AD51" i="6" s="1"/>
  <c r="AD51" i="12" s="1"/>
  <c r="L43" i="6"/>
  <c r="L51" i="6" s="1"/>
  <c r="L51" i="12" s="1"/>
  <c r="L45" i="6"/>
  <c r="L53" i="6" s="1"/>
  <c r="G45" i="6"/>
  <c r="G53" i="6" s="1"/>
  <c r="I44" i="6"/>
  <c r="I52" i="6" s="1"/>
  <c r="H43" i="6"/>
  <c r="H51" i="6" s="1"/>
  <c r="H51" i="12" s="1"/>
  <c r="H54" i="12" s="1"/>
  <c r="G43" i="6"/>
  <c r="G51" i="6" s="1"/>
  <c r="G51" i="12" s="1"/>
  <c r="G54" i="12" s="1"/>
  <c r="M52" i="12"/>
  <c r="AB44" i="6"/>
  <c r="AB52" i="6" s="1"/>
  <c r="AB52" i="12" s="1"/>
  <c r="AB45" i="6"/>
  <c r="AB53" i="6" s="1"/>
  <c r="AD41" i="6"/>
  <c r="AD49" i="6" s="1"/>
  <c r="AD49" i="12" s="1"/>
  <c r="C19" i="12" s="1"/>
  <c r="AD40" i="6"/>
  <c r="AD48" i="6" s="1"/>
  <c r="AD48" i="12" s="1"/>
  <c r="AD45" i="6"/>
  <c r="AD53" i="6" s="1"/>
  <c r="AD44" i="6"/>
  <c r="AD52" i="6" s="1"/>
  <c r="AD52" i="12" s="1"/>
  <c r="AE38" i="6"/>
  <c r="AE42" i="6" s="1"/>
  <c r="AE50" i="6" s="1"/>
  <c r="AE50" i="12" s="1"/>
  <c r="L54" i="12" l="1"/>
  <c r="F54" i="6"/>
  <c r="AE43" i="6"/>
  <c r="AE51" i="6" s="1"/>
  <c r="AE51" i="12" s="1"/>
  <c r="D54" i="12"/>
  <c r="G13" i="6"/>
  <c r="F35" i="1" s="1"/>
  <c r="F39" i="1" s="1"/>
  <c r="F60" i="1" s="1"/>
  <c r="F91" i="1" s="1"/>
  <c r="G14" i="6"/>
  <c r="G35" i="1" s="1"/>
  <c r="G39" i="1" s="1"/>
  <c r="D14" i="6"/>
  <c r="G77" i="1" s="1"/>
  <c r="D13" i="6"/>
  <c r="F77" i="1" s="1"/>
  <c r="E54" i="6"/>
  <c r="M54" i="12"/>
  <c r="J54" i="6"/>
  <c r="D15" i="6"/>
  <c r="H77" i="1" s="1"/>
  <c r="G15" i="6"/>
  <c r="H35" i="1" s="1"/>
  <c r="H39" i="1" s="1"/>
  <c r="E16" i="6"/>
  <c r="I79" i="1" s="1"/>
  <c r="M54" i="6"/>
  <c r="K54" i="6"/>
  <c r="O54" i="12"/>
  <c r="E15" i="6"/>
  <c r="H79" i="1" s="1"/>
  <c r="G54" i="6"/>
  <c r="D16" i="6"/>
  <c r="I77" i="1" s="1"/>
  <c r="I54" i="6"/>
  <c r="G16" i="6"/>
  <c r="I35" i="1" s="1"/>
  <c r="I39" i="1" s="1"/>
  <c r="C54" i="6"/>
  <c r="N51" i="12"/>
  <c r="N54" i="12" s="1"/>
  <c r="N54" i="6"/>
  <c r="D54" i="6"/>
  <c r="P51" i="12"/>
  <c r="P54" i="12" s="1"/>
  <c r="P54" i="6"/>
  <c r="O54" i="6"/>
  <c r="C13" i="6"/>
  <c r="F54" i="1" s="1"/>
  <c r="F56" i="1" s="1"/>
  <c r="AC54" i="6"/>
  <c r="E14" i="6"/>
  <c r="G79" i="1" s="1"/>
  <c r="X54" i="12"/>
  <c r="E17" i="6"/>
  <c r="J79" i="1" s="1"/>
  <c r="Q51" i="12"/>
  <c r="Q54" i="12" s="1"/>
  <c r="Q54" i="6"/>
  <c r="E13" i="6"/>
  <c r="F79" i="1" s="1"/>
  <c r="R51" i="12"/>
  <c r="R54" i="12" s="1"/>
  <c r="R54" i="6"/>
  <c r="S54" i="6"/>
  <c r="S54" i="12"/>
  <c r="D16" i="12"/>
  <c r="G16" i="12"/>
  <c r="T51" i="12"/>
  <c r="T54" i="12" s="1"/>
  <c r="T54" i="6"/>
  <c r="Z51" i="12"/>
  <c r="Z54" i="12" s="1"/>
  <c r="Z54" i="6"/>
  <c r="U52" i="12"/>
  <c r="D18" i="6"/>
  <c r="K77" i="1" s="1"/>
  <c r="G18" i="6"/>
  <c r="K35" i="1" s="1"/>
  <c r="K39" i="1" s="1"/>
  <c r="G17" i="6"/>
  <c r="J35" i="1" s="1"/>
  <c r="J39" i="1" s="1"/>
  <c r="D17" i="6"/>
  <c r="J77" i="1" s="1"/>
  <c r="E18" i="6"/>
  <c r="K79" i="1" s="1"/>
  <c r="V51" i="12"/>
  <c r="V54" i="12" s="1"/>
  <c r="V54" i="6"/>
  <c r="Y51" i="12"/>
  <c r="Y54" i="12" s="1"/>
  <c r="Y54" i="6"/>
  <c r="U54" i="6"/>
  <c r="AA51" i="12"/>
  <c r="AA54" i="12" s="1"/>
  <c r="AA54" i="6"/>
  <c r="X54" i="6"/>
  <c r="W54" i="6"/>
  <c r="L54" i="6"/>
  <c r="W54" i="12"/>
  <c r="H54" i="6"/>
  <c r="AD54" i="12"/>
  <c r="I52" i="12"/>
  <c r="I54" i="12" s="1"/>
  <c r="C54" i="12"/>
  <c r="G13" i="12"/>
  <c r="D13" i="12"/>
  <c r="AB54" i="12"/>
  <c r="G19" i="12"/>
  <c r="D19" i="12"/>
  <c r="AB54" i="6"/>
  <c r="AD54" i="6"/>
  <c r="E19" i="6"/>
  <c r="L79" i="1" s="1"/>
  <c r="AE40" i="6"/>
  <c r="AE48" i="6" s="1"/>
  <c r="AE48" i="12" s="1"/>
  <c r="AE41" i="6"/>
  <c r="AE49" i="6" s="1"/>
  <c r="AE49" i="12" s="1"/>
  <c r="G19" i="6"/>
  <c r="L35" i="1" s="1"/>
  <c r="L39" i="1" s="1"/>
  <c r="D19" i="6"/>
  <c r="AE44" i="6"/>
  <c r="AE52" i="6" s="1"/>
  <c r="AE52" i="12" s="1"/>
  <c r="AE45" i="6"/>
  <c r="AE53" i="6" s="1"/>
  <c r="AF38" i="6"/>
  <c r="G95" i="1" l="1"/>
  <c r="F95" i="1"/>
  <c r="G83" i="1"/>
  <c r="G86" i="1" s="1"/>
  <c r="AF42" i="6"/>
  <c r="AF50" i="6" s="1"/>
  <c r="AF50" i="12" s="1"/>
  <c r="AF43" i="6"/>
  <c r="AF51" i="6" s="1"/>
  <c r="AF51" i="12" s="1"/>
  <c r="F62" i="1"/>
  <c r="G60" i="1"/>
  <c r="H60" i="1" s="1"/>
  <c r="I83" i="1"/>
  <c r="I86" i="1" s="1"/>
  <c r="H95" i="1"/>
  <c r="I95" i="1"/>
  <c r="H83" i="1"/>
  <c r="H86" i="1" s="1"/>
  <c r="C14" i="6"/>
  <c r="G54" i="1" s="1"/>
  <c r="G56" i="1" s="1"/>
  <c r="G15" i="12"/>
  <c r="G14" i="12"/>
  <c r="D14" i="12"/>
  <c r="D15" i="12"/>
  <c r="F83" i="1"/>
  <c r="F86" i="1" s="1"/>
  <c r="F87" i="1" s="1"/>
  <c r="J83" i="1"/>
  <c r="J86" i="1" s="1"/>
  <c r="J95" i="1"/>
  <c r="K95" i="1"/>
  <c r="K83" i="1"/>
  <c r="K86" i="1" s="1"/>
  <c r="U54" i="12"/>
  <c r="C57" i="12" s="1"/>
  <c r="C98" i="1" s="1"/>
  <c r="G18" i="12"/>
  <c r="G17" i="12"/>
  <c r="D18" i="12"/>
  <c r="D17" i="12"/>
  <c r="AE54" i="12"/>
  <c r="AE54" i="6"/>
  <c r="L77" i="1"/>
  <c r="L95" i="1" s="1"/>
  <c r="AF40" i="6"/>
  <c r="AF48" i="6" s="1"/>
  <c r="AF48" i="12" s="1"/>
  <c r="AF41" i="6"/>
  <c r="AF49" i="6" s="1"/>
  <c r="AF49" i="12" s="1"/>
  <c r="AF44" i="6"/>
  <c r="AF52" i="6" s="1"/>
  <c r="AF52" i="12" s="1"/>
  <c r="AF45" i="6"/>
  <c r="AF53" i="6" s="1"/>
  <c r="AG38" i="6"/>
  <c r="C15" i="6" l="1"/>
  <c r="C16" i="6" s="1"/>
  <c r="AG42" i="6"/>
  <c r="AG50" i="6" s="1"/>
  <c r="AG50" i="12" s="1"/>
  <c r="AG43" i="6"/>
  <c r="AG51" i="6" s="1"/>
  <c r="AG51" i="12" s="1"/>
  <c r="G62" i="1"/>
  <c r="G85" i="1"/>
  <c r="G87" i="1" s="1"/>
  <c r="H85" i="1" s="1"/>
  <c r="H87" i="1" s="1"/>
  <c r="F46" i="1"/>
  <c r="C99" i="1"/>
  <c r="C58" i="12"/>
  <c r="F92" i="1"/>
  <c r="AF54" i="12"/>
  <c r="AF54" i="6"/>
  <c r="I60" i="1"/>
  <c r="H62" i="1"/>
  <c r="L83" i="1"/>
  <c r="L86" i="1" s="1"/>
  <c r="AG41" i="6"/>
  <c r="AG49" i="6" s="1"/>
  <c r="AG49" i="12" s="1"/>
  <c r="AG40" i="6"/>
  <c r="AG48" i="6" s="1"/>
  <c r="AG48" i="12" s="1"/>
  <c r="AG45" i="6"/>
  <c r="AG53" i="6" s="1"/>
  <c r="AG44" i="6"/>
  <c r="AG52" i="6" s="1"/>
  <c r="AG52" i="12" s="1"/>
  <c r="AH38" i="6"/>
  <c r="H54" i="1" l="1"/>
  <c r="H56" i="1" s="1"/>
  <c r="AH42" i="6"/>
  <c r="AH50" i="6" s="1"/>
  <c r="AH50" i="12" s="1"/>
  <c r="AH43" i="6"/>
  <c r="AH51" i="6" s="1"/>
  <c r="AH51" i="12" s="1"/>
  <c r="F94" i="1"/>
  <c r="F47" i="1"/>
  <c r="F57" i="1" s="1"/>
  <c r="F90" i="1" s="1"/>
  <c r="H46" i="1"/>
  <c r="G46" i="1"/>
  <c r="AG54" i="12"/>
  <c r="AG54" i="6"/>
  <c r="I85" i="1"/>
  <c r="I87" i="1" s="1"/>
  <c r="I62" i="1"/>
  <c r="J60" i="1"/>
  <c r="C17" i="6"/>
  <c r="I54" i="1"/>
  <c r="I56" i="1" s="1"/>
  <c r="AH41" i="6"/>
  <c r="AH49" i="6" s="1"/>
  <c r="AH49" i="12" s="1"/>
  <c r="C20" i="12" s="1"/>
  <c r="AH40" i="6"/>
  <c r="AH48" i="6" s="1"/>
  <c r="AH48" i="12" s="1"/>
  <c r="AH45" i="6"/>
  <c r="AH53" i="6" s="1"/>
  <c r="E20" i="6" s="1"/>
  <c r="M79" i="1" s="1"/>
  <c r="AH44" i="6"/>
  <c r="AH52" i="6" s="1"/>
  <c r="AH52" i="12" s="1"/>
  <c r="AI38" i="6"/>
  <c r="AI42" i="6" l="1"/>
  <c r="AI50" i="6" s="1"/>
  <c r="AI50" i="12" s="1"/>
  <c r="AI43" i="6"/>
  <c r="AI51" i="6" s="1"/>
  <c r="AI51" i="12" s="1"/>
  <c r="G92" i="1"/>
  <c r="G47" i="1"/>
  <c r="G57" i="1" s="1"/>
  <c r="G90" i="1" s="1"/>
  <c r="G94" i="1"/>
  <c r="H94" i="1"/>
  <c r="H47" i="1"/>
  <c r="H57" i="1" s="1"/>
  <c r="H90" i="1" s="1"/>
  <c r="H92" i="1"/>
  <c r="I46" i="1"/>
  <c r="D20" i="12"/>
  <c r="J85" i="1"/>
  <c r="J87" i="1" s="1"/>
  <c r="G20" i="12"/>
  <c r="AH54" i="12"/>
  <c r="AH54" i="6"/>
  <c r="C18" i="6"/>
  <c r="J54" i="1"/>
  <c r="J56" i="1" s="1"/>
  <c r="K60" i="1"/>
  <c r="J62" i="1"/>
  <c r="AI40" i="6"/>
  <c r="AI48" i="6" s="1"/>
  <c r="AI41" i="6"/>
  <c r="AI49" i="6" s="1"/>
  <c r="AI49" i="12" s="1"/>
  <c r="G20" i="6"/>
  <c r="M35" i="1" s="1"/>
  <c r="M39" i="1" s="1"/>
  <c r="D20" i="6"/>
  <c r="M77" i="1" s="1"/>
  <c r="AI44" i="6"/>
  <c r="AI52" i="6" s="1"/>
  <c r="AI52" i="12" s="1"/>
  <c r="AI45" i="6"/>
  <c r="AI53" i="6" s="1"/>
  <c r="AJ38" i="6"/>
  <c r="AJ42" i="6" l="1"/>
  <c r="AJ50" i="6" s="1"/>
  <c r="AJ50" i="12" s="1"/>
  <c r="AJ43" i="6"/>
  <c r="AJ51" i="6" s="1"/>
  <c r="AJ51" i="12" s="1"/>
  <c r="I92" i="1"/>
  <c r="I94" i="1"/>
  <c r="I47" i="1"/>
  <c r="I57" i="1" s="1"/>
  <c r="I90" i="1" s="1"/>
  <c r="J46" i="1"/>
  <c r="K85" i="1"/>
  <c r="K87" i="1" s="1"/>
  <c r="AI54" i="6"/>
  <c r="AI48" i="12"/>
  <c r="L60" i="1"/>
  <c r="L62" i="1" s="1"/>
  <c r="K62" i="1"/>
  <c r="C19" i="6"/>
  <c r="K54" i="1"/>
  <c r="K56" i="1" s="1"/>
  <c r="M83" i="1"/>
  <c r="M86" i="1" s="1"/>
  <c r="M95" i="1"/>
  <c r="AK38" i="6"/>
  <c r="AJ40" i="6"/>
  <c r="AJ48" i="6" s="1"/>
  <c r="AJ48" i="12" s="1"/>
  <c r="AJ41" i="6"/>
  <c r="AJ49" i="6" s="1"/>
  <c r="AJ49" i="12" s="1"/>
  <c r="AK45" i="6"/>
  <c r="AK53" i="6" s="1"/>
  <c r="AL38" i="6"/>
  <c r="AK44" i="6"/>
  <c r="AK52" i="6" s="1"/>
  <c r="AK52" i="12" s="1"/>
  <c r="AJ44" i="6"/>
  <c r="AJ52" i="6" s="1"/>
  <c r="AJ52" i="12" s="1"/>
  <c r="AJ45" i="6"/>
  <c r="AJ53" i="6" s="1"/>
  <c r="AL42" i="6" l="1"/>
  <c r="AL50" i="6" s="1"/>
  <c r="AL50" i="12" s="1"/>
  <c r="AL43" i="6"/>
  <c r="AL51" i="6" s="1"/>
  <c r="AL51" i="12" s="1"/>
  <c r="AK42" i="6"/>
  <c r="AK50" i="6" s="1"/>
  <c r="AK50" i="12" s="1"/>
  <c r="AK43" i="6"/>
  <c r="AK51" i="6" s="1"/>
  <c r="AK51" i="12" s="1"/>
  <c r="J92" i="1"/>
  <c r="K46" i="1"/>
  <c r="J94" i="1"/>
  <c r="J47" i="1"/>
  <c r="J57" i="1" s="1"/>
  <c r="J90" i="1" s="1"/>
  <c r="L85" i="1"/>
  <c r="L87" i="1" s="1"/>
  <c r="M85" i="1" s="1"/>
  <c r="M87" i="1" s="1"/>
  <c r="AJ54" i="12"/>
  <c r="AI54" i="12"/>
  <c r="AJ54" i="6"/>
  <c r="L54" i="1"/>
  <c r="L56" i="1" s="1"/>
  <c r="C20" i="6"/>
  <c r="M54" i="1" s="1"/>
  <c r="M56" i="1" s="1"/>
  <c r="M60" i="1"/>
  <c r="M62" i="1" s="1"/>
  <c r="AM38" i="6"/>
  <c r="AL41" i="6"/>
  <c r="AL49" i="6" s="1"/>
  <c r="AL49" i="12" s="1"/>
  <c r="AL40" i="6"/>
  <c r="AL48" i="6" s="1"/>
  <c r="AL48" i="12" s="1"/>
  <c r="AK41" i="6"/>
  <c r="AK49" i="6" s="1"/>
  <c r="AK49" i="12" s="1"/>
  <c r="C21" i="12" s="1"/>
  <c r="AK40" i="6"/>
  <c r="AK48" i="6" s="1"/>
  <c r="AL45" i="6"/>
  <c r="AL53" i="6" s="1"/>
  <c r="E21" i="6" s="1"/>
  <c r="N79" i="1" s="1"/>
  <c r="AL44" i="6"/>
  <c r="AL52" i="6" s="1"/>
  <c r="AL52" i="12" s="1"/>
  <c r="AM45" i="6" l="1"/>
  <c r="AM53" i="6" s="1"/>
  <c r="AM42" i="6"/>
  <c r="AM50" i="6" s="1"/>
  <c r="AM50" i="12" s="1"/>
  <c r="AM43" i="6"/>
  <c r="AM51" i="6" s="1"/>
  <c r="AM51" i="12" s="1"/>
  <c r="K92" i="1"/>
  <c r="L46" i="1"/>
  <c r="N85" i="1"/>
  <c r="M46" i="1"/>
  <c r="K94" i="1"/>
  <c r="K47" i="1"/>
  <c r="K57" i="1" s="1"/>
  <c r="K90" i="1" s="1"/>
  <c r="AK54" i="6"/>
  <c r="AK48" i="12"/>
  <c r="D21" i="12" s="1"/>
  <c r="AL54" i="12"/>
  <c r="AL54" i="6"/>
  <c r="AN38" i="6"/>
  <c r="AN40" i="6" s="1"/>
  <c r="AN48" i="6" s="1"/>
  <c r="AN48" i="12" s="1"/>
  <c r="AM44" i="6"/>
  <c r="AM52" i="6" s="1"/>
  <c r="AM52" i="12" s="1"/>
  <c r="C21" i="6"/>
  <c r="N54" i="1" s="1"/>
  <c r="N56" i="1" s="1"/>
  <c r="AN41" i="6"/>
  <c r="AN49" i="6" s="1"/>
  <c r="AN49" i="12" s="1"/>
  <c r="AM40" i="6"/>
  <c r="AM48" i="6" s="1"/>
  <c r="AM48" i="12" s="1"/>
  <c r="AM41" i="6"/>
  <c r="AM49" i="6" s="1"/>
  <c r="AM49" i="12" s="1"/>
  <c r="D21" i="6"/>
  <c r="AO38" i="6"/>
  <c r="AN44" i="6"/>
  <c r="AN52" i="6" s="1"/>
  <c r="AN52" i="12" s="1"/>
  <c r="AN45" i="6"/>
  <c r="AN53" i="6" s="1"/>
  <c r="G21" i="6"/>
  <c r="N35" i="1" s="1"/>
  <c r="N39" i="1" s="1"/>
  <c r="N60" i="1" s="1"/>
  <c r="M92" i="1"/>
  <c r="AO42" i="6" l="1"/>
  <c r="AO50" i="6" s="1"/>
  <c r="AO50" i="12" s="1"/>
  <c r="AO43" i="6"/>
  <c r="AO51" i="6" s="1"/>
  <c r="AO51" i="12" s="1"/>
  <c r="AN42" i="6"/>
  <c r="AN50" i="6" s="1"/>
  <c r="AN50" i="12" s="1"/>
  <c r="AN43" i="6"/>
  <c r="AN51" i="6" s="1"/>
  <c r="AN51" i="12" s="1"/>
  <c r="L92" i="1"/>
  <c r="M47" i="1"/>
  <c r="M57" i="1" s="1"/>
  <c r="M90" i="1" s="1"/>
  <c r="M94" i="1"/>
  <c r="L94" i="1"/>
  <c r="L47" i="1"/>
  <c r="L57" i="1" s="1"/>
  <c r="L90" i="1" s="1"/>
  <c r="AM54" i="12"/>
  <c r="AK54" i="12"/>
  <c r="G21" i="12"/>
  <c r="AM54" i="6"/>
  <c r="N62" i="1"/>
  <c r="N77" i="1"/>
  <c r="N95" i="1" s="1"/>
  <c r="AO41" i="6"/>
  <c r="AO49" i="6" s="1"/>
  <c r="AO49" i="12" s="1"/>
  <c r="C22" i="12" s="1"/>
  <c r="AO40" i="6"/>
  <c r="AO48" i="6" s="1"/>
  <c r="AO48" i="12" s="1"/>
  <c r="N57" i="1"/>
  <c r="AO44" i="6"/>
  <c r="AO52" i="6" s="1"/>
  <c r="AO52" i="12" s="1"/>
  <c r="AO45" i="6"/>
  <c r="AO53" i="6" s="1"/>
  <c r="AP38" i="6"/>
  <c r="AN54" i="12" l="1"/>
  <c r="AP42" i="6"/>
  <c r="AP50" i="6" s="1"/>
  <c r="AP50" i="12" s="1"/>
  <c r="AP43" i="6"/>
  <c r="AP51" i="6" s="1"/>
  <c r="AP51" i="12" s="1"/>
  <c r="AN54" i="6"/>
  <c r="AO54" i="12"/>
  <c r="AO54" i="6"/>
  <c r="N90" i="1"/>
  <c r="N83" i="1"/>
  <c r="N86" i="1" s="1"/>
  <c r="N87" i="1" s="1"/>
  <c r="AP41" i="6"/>
  <c r="AP49" i="6" s="1"/>
  <c r="AP49" i="12" s="1"/>
  <c r="AP40" i="6"/>
  <c r="AP48" i="6" s="1"/>
  <c r="AP48" i="12" s="1"/>
  <c r="AP45" i="6"/>
  <c r="AP53" i="6" s="1"/>
  <c r="E22" i="6" s="1"/>
  <c r="O79" i="1" s="1"/>
  <c r="AP44" i="6"/>
  <c r="AP52" i="6" s="1"/>
  <c r="AP52" i="12" s="1"/>
  <c r="AP54" i="12" l="1"/>
  <c r="G22" i="12"/>
  <c r="D22" i="12"/>
  <c r="AP54" i="6"/>
  <c r="O85" i="1"/>
  <c r="N92" i="1"/>
  <c r="C22" i="6"/>
  <c r="D22" i="6"/>
  <c r="G22" i="6"/>
  <c r="O35" i="1" s="1"/>
  <c r="O39" i="1" s="1"/>
  <c r="O60" i="1" s="1"/>
  <c r="O62" i="1" s="1"/>
  <c r="C56" i="12" l="1"/>
  <c r="O54" i="1"/>
  <c r="O77" i="1"/>
  <c r="O95" i="1" s="1"/>
  <c r="O56" i="1" l="1"/>
  <c r="O57" i="1" s="1"/>
  <c r="O90" i="1" s="1"/>
  <c r="O83" i="1"/>
  <c r="O86" i="1" s="1"/>
  <c r="O87" i="1" s="1"/>
  <c r="O92" i="1" s="1"/>
  <c r="C30" i="8"/>
  <c r="C30" i="9" s="1"/>
  <c r="C23" i="8"/>
  <c r="C23" i="9" s="1"/>
  <c r="C24" i="8"/>
  <c r="C24" i="9" s="1"/>
  <c r="G4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Aneka Sharma</author>
  </authors>
  <commentList>
    <comment ref="B28" authorId="0" shapeId="0" xr:uid="{4BC685D6-814C-4E7C-9754-F3E02A546E20}">
      <text>
        <r>
          <rPr>
            <sz val="9"/>
            <color indexed="81"/>
            <rFont val="Tahoma"/>
            <family val="2"/>
          </rPr>
          <t>The forecast figures pull through from the 'Sales Assumptions' tab.
These cells are not locked, however, so can be edited to override these formulas if required.</t>
        </r>
      </text>
    </comment>
    <comment ref="B31" authorId="0" shapeId="0" xr:uid="{0A472558-F081-46E4-8D3C-03FA067C8832}">
      <text>
        <r>
          <rPr>
            <sz val="9"/>
            <color indexed="81"/>
            <rFont val="Tahoma"/>
            <family val="2"/>
          </rPr>
          <t>The forecast figures pull through from the 'Sales Assumptions' tab.
These cells are not locked, however, so can be edited to override these formulas if required.</t>
        </r>
      </text>
    </comment>
    <comment ref="B35" authorId="0" shapeId="0" xr:uid="{5F6168B5-BE5C-4861-9319-1D33D463E360}">
      <text>
        <r>
          <rPr>
            <sz val="9"/>
            <color indexed="81"/>
            <rFont val="Tahoma"/>
            <family val="2"/>
          </rPr>
          <t>This is the annual interest expense for each financial year. It is calculated as 7.4% of the outstanding loan amount per quarter. 
Note: In the availability and extension period this includes both the interest paid and deferred.</t>
        </r>
      </text>
    </comment>
    <comment ref="B54" authorId="0" shapeId="0" xr:uid="{A1792486-731E-44F7-BE96-9BE7AC0A5EBA}">
      <text>
        <r>
          <rPr>
            <sz val="9"/>
            <color indexed="81"/>
            <rFont val="Arial"/>
            <family val="2"/>
          </rPr>
          <t>This is the outstanding loan balance at the end of each financial year.
It is calculated as the amount drawn-down plus deferred interest, less any repayments (during the repayment period).</t>
        </r>
      </text>
    </comment>
    <comment ref="B71" authorId="0" shapeId="0" xr:uid="{E137F979-22AC-4BAB-8BC2-4C51222366D8}">
      <text>
        <r>
          <rPr>
            <sz val="9"/>
            <color indexed="81"/>
            <rFont val="Tahoma"/>
            <family val="2"/>
          </rPr>
          <t>These are the proposed drawdowns per financial year. The total will sum to loan amount requested.</t>
        </r>
      </text>
    </comment>
    <comment ref="B77" authorId="0" shapeId="0" xr:uid="{C16007FC-67FB-4CFE-8546-21515F94FC8E}">
      <text>
        <r>
          <rPr>
            <sz val="9"/>
            <color indexed="81"/>
            <rFont val="Arial"/>
            <family val="2"/>
          </rPr>
          <t>This line shows the amount of interest that will need to be paid each financial year throughout the proposed loan period.
Interest is due from the first drawdown and is paid quarterly in arrears. It is calculated as 3.7% of the outstanding loan amount.</t>
        </r>
      </text>
    </comment>
    <comment ref="B79" authorId="0" shapeId="0" xr:uid="{BB986238-A3D8-4419-861B-ACDBB87BE845}">
      <text>
        <r>
          <rPr>
            <sz val="9"/>
            <color indexed="81"/>
            <rFont val="Tahoma"/>
            <family val="2"/>
          </rPr>
          <t xml:space="preserve">These are the repayments due on the loan per financial year. 
Note that loan repayments only occur during the repayment period.
</t>
        </r>
      </text>
    </comment>
  </commentList>
  <extLst>
    <ext xmlns:r="http://schemas.openxmlformats.org/officeDocument/2006/relationships" uri="GoogleSheetsCustomDataVersion1">
      <go:sheetsCustomData xmlns:go="http://customooxmlschemas.google.com/" r:id="rId1" roundtripDataSignature="AMtx7mjKBjy8WVbEzoPs4HMxTxu+NptI+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Jane Cormack</author>
    <author>Aneka Sharma</author>
  </authors>
  <commentList>
    <comment ref="J11" authorId="0" shapeId="0" xr:uid="{E954FA4A-F87D-47F8-AE2E-D136EADEB0AE}">
      <text>
        <r>
          <rPr>
            <b/>
            <sz val="9"/>
            <color indexed="81"/>
            <rFont val="Arial"/>
            <family val="2"/>
          </rPr>
          <t xml:space="preserve">Explanation:
</t>
        </r>
        <r>
          <rPr>
            <sz val="9"/>
            <color indexed="81"/>
            <rFont val="Arial"/>
            <family val="2"/>
          </rPr>
          <t>This is a worked example to show you what to input into each cell.</t>
        </r>
      </text>
    </comment>
    <comment ref="B12" authorId="0" shapeId="0" xr:uid="{0B412B53-F4C9-450C-96B1-C6F57B5DCD6D}">
      <text>
        <r>
          <rPr>
            <b/>
            <sz val="9"/>
            <color indexed="81"/>
            <rFont val="Arial"/>
            <family val="2"/>
          </rPr>
          <t xml:space="preserve">Explanation:
</t>
        </r>
        <r>
          <rPr>
            <sz val="9"/>
            <color indexed="81"/>
            <rFont val="Arial"/>
            <family val="2"/>
          </rPr>
          <t xml:space="preserve">
List your revenue generating items in this row (whether it's a product or service). If you have more than four, consider grouping them together.</t>
        </r>
      </text>
    </comment>
    <comment ref="B14" authorId="1" shapeId="0" xr:uid="{0E4996E9-3D6A-453B-902F-ADF5A7B3B7CE}">
      <text>
        <r>
          <rPr>
            <b/>
            <sz val="9"/>
            <color indexed="81"/>
            <rFont val="Arial"/>
            <family val="2"/>
          </rPr>
          <t xml:space="preserve">Explanation:
</t>
        </r>
        <r>
          <rPr>
            <sz val="9"/>
            <color indexed="81"/>
            <rFont val="Arial"/>
            <family val="2"/>
          </rPr>
          <t xml:space="preserve">
This table helps you calculate the total cost you incur in producing this item on a single unit basis. 
Provide a description of the costs incurred by replacing the text in the square brackets. </t>
        </r>
      </text>
    </comment>
    <comment ref="B22" authorId="1" shapeId="0" xr:uid="{CE5314F7-1807-4FCB-A54D-AA79EC0DEE06}">
      <text>
        <r>
          <rPr>
            <b/>
            <sz val="9"/>
            <color indexed="81"/>
            <rFont val="Arial"/>
            <family val="2"/>
          </rPr>
          <t xml:space="preserve">Explanation: 
</t>
        </r>
        <r>
          <rPr>
            <sz val="9"/>
            <color indexed="81"/>
            <rFont val="Arial"/>
            <family val="2"/>
          </rPr>
          <t>This gives the total cost of sales per single unit. It is auto-calculated as the sum of all the individual costs above.</t>
        </r>
      </text>
    </comment>
    <comment ref="B25" authorId="0" shapeId="0" xr:uid="{2E821AF0-87F9-45E3-9E9C-7E75F7606394}">
      <text>
        <r>
          <rPr>
            <b/>
            <sz val="9"/>
            <color indexed="81"/>
            <rFont val="Arial"/>
            <family val="2"/>
          </rPr>
          <t xml:space="preserve">Explanation:
</t>
        </r>
        <r>
          <rPr>
            <sz val="9"/>
            <color indexed="81"/>
            <rFont val="Arial"/>
            <family val="2"/>
          </rPr>
          <t>Enter the amount that you sell this item for on a single unit basis.</t>
        </r>
      </text>
    </comment>
    <comment ref="B26" authorId="0" shapeId="0" xr:uid="{F4F274C8-6442-4D5E-9F0C-26D646C01F92}">
      <text>
        <r>
          <rPr>
            <b/>
            <sz val="9"/>
            <color indexed="81"/>
            <rFont val="Arial"/>
            <family val="2"/>
          </rPr>
          <t xml:space="preserve">Explanation:
</t>
        </r>
        <r>
          <rPr>
            <sz val="9"/>
            <color indexed="81"/>
            <rFont val="Arial"/>
            <family val="2"/>
          </rPr>
          <t xml:space="preserve">
These cells are auto-populated based on the total cost in row 23.</t>
        </r>
      </text>
    </comment>
    <comment ref="B27" authorId="0" shapeId="0" xr:uid="{F5E825DB-2D11-44A7-8976-1C3C7D04E22A}">
      <text>
        <r>
          <rPr>
            <b/>
            <sz val="9"/>
            <color indexed="81"/>
            <rFont val="Arial"/>
            <family val="2"/>
          </rPr>
          <t xml:space="preserve">Explanation:
</t>
        </r>
        <r>
          <rPr>
            <sz val="9"/>
            <color indexed="81"/>
            <rFont val="Arial"/>
            <family val="2"/>
          </rPr>
          <t>Your Gross Margin shows the percentage of profit you make on the sale of each unit.</t>
        </r>
        <r>
          <rPr>
            <b/>
            <sz val="9"/>
            <color indexed="81"/>
            <rFont val="Arial"/>
            <family val="2"/>
          </rPr>
          <t xml:space="preserve">
</t>
        </r>
        <r>
          <rPr>
            <sz val="9"/>
            <color indexed="81"/>
            <rFont val="Arial"/>
            <family val="2"/>
          </rPr>
          <t>Your Gross Margin is calculated by subtracting your cost price from your sales price and dividing the total by the cost. This is expressed as a  percentage; the higher the percentage, the more you are earning on every sale. 
These cells will auto-calculate for you.</t>
        </r>
      </text>
    </comment>
    <comment ref="B34" authorId="1" shapeId="0" xr:uid="{6F22233B-E47A-4567-A06B-2BED0455B69F}">
      <text>
        <r>
          <rPr>
            <b/>
            <sz val="9"/>
            <color indexed="81"/>
            <rFont val="Arial"/>
            <family val="2"/>
          </rPr>
          <t xml:space="preserve">Explanation:
</t>
        </r>
        <r>
          <rPr>
            <sz val="9"/>
            <color indexed="81"/>
            <rFont val="Arial"/>
            <family val="2"/>
          </rPr>
          <t>This should be the year in which you expect to receive the loan (i.e. the first forecast year in the '1. Business Financials' tab).
It is auto-populated.</t>
        </r>
      </text>
    </comment>
    <comment ref="G49" authorId="1" shapeId="0" xr:uid="{BDF1B789-F838-4F2D-946E-C2B195D17099}">
      <text>
        <r>
          <rPr>
            <b/>
            <sz val="9"/>
            <color indexed="81"/>
            <rFont val="Tahoma"/>
            <family val="2"/>
          </rPr>
          <t>Explanation:</t>
        </r>
        <r>
          <rPr>
            <sz val="9"/>
            <color indexed="81"/>
            <rFont val="Tahoma"/>
            <family val="2"/>
          </rPr>
          <t xml:space="preserve">
These totals will automatically pull across into the Turnover line in the '1. Business Financials' tab.</t>
        </r>
      </text>
    </comment>
    <comment ref="C50" authorId="0" shapeId="0" xr:uid="{5BF15C0F-2EC0-47BF-BD99-AECF4BD35AE4}">
      <text>
        <r>
          <rPr>
            <b/>
            <sz val="9"/>
            <color indexed="81"/>
            <rFont val="Arial"/>
            <family val="2"/>
          </rPr>
          <t xml:space="preserve">Explanation:
</t>
        </r>
        <r>
          <rPr>
            <sz val="9"/>
            <color indexed="81"/>
            <rFont val="Arial"/>
            <family val="2"/>
          </rPr>
          <t>All of these cells will auto-calculate based on the information you provided above. To change their value, update the orange cells.</t>
        </r>
      </text>
    </comment>
    <comment ref="G65" authorId="1" shapeId="0" xr:uid="{B7AF4A57-1082-4B6F-9D0F-F6F4227CC63E}">
      <text>
        <r>
          <rPr>
            <b/>
            <sz val="9"/>
            <color indexed="81"/>
            <rFont val="Tahoma"/>
            <family val="2"/>
          </rPr>
          <t>Explanation:</t>
        </r>
        <r>
          <rPr>
            <sz val="9"/>
            <color indexed="81"/>
            <rFont val="Tahoma"/>
            <family val="2"/>
          </rPr>
          <t xml:space="preserve">
These totals will automatically pull across into the Cost of Sales line in the '1. Business Financials' tab.</t>
        </r>
      </text>
    </comment>
    <comment ref="C66" authorId="0" shapeId="0" xr:uid="{F5ABF25B-D0BF-401B-B883-64C7786D3587}">
      <text>
        <r>
          <rPr>
            <b/>
            <sz val="9"/>
            <color indexed="81"/>
            <rFont val="Arial"/>
            <family val="2"/>
          </rPr>
          <t xml:space="preserve">Explanation:
</t>
        </r>
        <r>
          <rPr>
            <sz val="9"/>
            <color indexed="81"/>
            <rFont val="Arial"/>
            <family val="2"/>
          </rPr>
          <t>All of these cells will auto-calculate based on the information you provided above. To change their value, update the orange cells.</t>
        </r>
      </text>
    </comment>
  </commentList>
</comments>
</file>

<file path=xl/sharedStrings.xml><?xml version="1.0" encoding="utf-8"?>
<sst xmlns="http://schemas.openxmlformats.org/spreadsheetml/2006/main" count="686" uniqueCount="274">
  <si>
    <t>Financial Information Submission Form</t>
  </si>
  <si>
    <r>
      <t>Instructions: Please provide the following financial information to enable the Innovate UK credit team to consider whether your business is suitable to take on an innovation loan. You must provide</t>
    </r>
    <r>
      <rPr>
        <b/>
        <u/>
        <sz val="10"/>
        <color theme="1"/>
        <rFont val="Arial"/>
        <family val="2"/>
      </rPr>
      <t xml:space="preserve"> historic financial information for the last three years</t>
    </r>
    <r>
      <rPr>
        <b/>
        <sz val="10"/>
        <color theme="1"/>
        <rFont val="Arial"/>
        <family val="2"/>
      </rPr>
      <t xml:space="preserve"> (or since incorporation if shorter) and </t>
    </r>
    <r>
      <rPr>
        <b/>
        <u/>
        <sz val="10"/>
        <color theme="1"/>
        <rFont val="Arial"/>
        <family val="2"/>
      </rPr>
      <t>forecast financial information for the full period</t>
    </r>
    <r>
      <rPr>
        <b/>
        <sz val="10"/>
        <color theme="1"/>
        <rFont val="Arial"/>
        <family val="2"/>
      </rPr>
      <t xml:space="preserve"> of the proposed innovation loan.  
</t>
    </r>
    <r>
      <rPr>
        <b/>
        <sz val="10"/>
        <color rgb="FFFF0000"/>
        <rFont val="Arial"/>
        <family val="2"/>
      </rPr>
      <t xml:space="preserve">It is mandatory to complete this worksheet as part of your application.  If you do not complete this template fully to show your actual and forecast financial position, your application will not be considered.
</t>
    </r>
    <r>
      <rPr>
        <b/>
        <sz val="10"/>
        <color theme="1"/>
        <rFont val="Arial"/>
        <family val="2"/>
      </rPr>
      <t xml:space="preserve">
</t>
    </r>
    <r>
      <rPr>
        <sz val="10"/>
        <color theme="1"/>
        <rFont val="Arial"/>
        <family val="2"/>
      </rPr>
      <t>Note: the cells highlighted in purple signify actual figures and those highlighted in blue are auto-populated (i.e. formula driven) so cannot be edited. The financial line items that relate to the innovation loan will be auto-populated based on the inputs in the '3. Repayment Calc Template' tab, as well as the loan start date and year end fields below. For details on how each line is calculated please refer to the '4. Innovation Loan Calcs' tab.</t>
    </r>
    <r>
      <rPr>
        <b/>
        <sz val="10"/>
        <color theme="1"/>
        <rFont val="Arial"/>
        <family val="2"/>
      </rPr>
      <t xml:space="preserve">
You may wish to add additional tabs to this worksheet to provide supplementary information (e.g. on revenue / cost forecast assumptions, sales pipelines or sensitivities) where it maybe useful for our Credit analysis. This is optional, however, it is strongly advisable to at least complete the '2. Sales Assumptions' tab.
</t>
    </r>
    <r>
      <rPr>
        <b/>
        <sz val="10"/>
        <color rgb="FFFF0000"/>
        <rFont val="Arial"/>
        <family val="2"/>
      </rPr>
      <t>**Once you have completed the input of your financial information to this spreadsheet, please save all tabs of the workbook for upload in the business and financial information section of your application.**</t>
    </r>
  </si>
  <si>
    <t>Further guidance on use of this worksheet is available at:</t>
  </si>
  <si>
    <t>https://go.innovateuk.ukri.org/Loan_Finance_Guide</t>
  </si>
  <si>
    <t>Application number:</t>
  </si>
  <si>
    <t>Company name:</t>
  </si>
  <si>
    <t>Fiscal year end-date (dd/mm/yyyy):</t>
  </si>
  <si>
    <t>Year:</t>
  </si>
  <si>
    <t>Loan start date (dd/mm/yyyy):</t>
  </si>
  <si>
    <t>Year end:</t>
  </si>
  <si>
    <t>P&amp;L / Balance Sheet Summary (annual)</t>
  </si>
  <si>
    <t>Actual</t>
  </si>
  <si>
    <t>Forecast</t>
  </si>
  <si>
    <t xml:space="preserve">Financial year </t>
  </si>
  <si>
    <t>Turnover</t>
  </si>
  <si>
    <t>Other income / grants</t>
  </si>
  <si>
    <t>Total income</t>
  </si>
  <si>
    <t>Cost of Sales</t>
  </si>
  <si>
    <t>Gross Profit</t>
  </si>
  <si>
    <t>Administrative and other costs</t>
  </si>
  <si>
    <t xml:space="preserve">EBITDA </t>
  </si>
  <si>
    <t>Innovation Loan Interest</t>
  </si>
  <si>
    <t>Other Interest</t>
  </si>
  <si>
    <t>Depreciation / amortisation</t>
  </si>
  <si>
    <t>Tax</t>
  </si>
  <si>
    <t>Net profit</t>
  </si>
  <si>
    <t>Fixed assets (tangible &amp; intangible)</t>
  </si>
  <si>
    <t xml:space="preserve">Cash </t>
  </si>
  <si>
    <t xml:space="preserve">Debtors </t>
  </si>
  <si>
    <t xml:space="preserve">Inventories </t>
  </si>
  <si>
    <t xml:space="preserve">Other current assets </t>
  </si>
  <si>
    <t>Total current assets</t>
  </si>
  <si>
    <t>Total assets</t>
  </si>
  <si>
    <t>Trade Creditors</t>
  </si>
  <si>
    <t>Bank loans / overdrafts repayable &lt;1 year</t>
  </si>
  <si>
    <t>Other current liabilities</t>
  </si>
  <si>
    <t xml:space="preserve">Total current liabilities </t>
  </si>
  <si>
    <t>Bank loans repayable &gt;1 year</t>
  </si>
  <si>
    <t xml:space="preserve">Directors loans </t>
  </si>
  <si>
    <t>Innovation Loan</t>
  </si>
  <si>
    <t xml:space="preserve">Other long term liabilities </t>
  </si>
  <si>
    <t>Total liabilities</t>
  </si>
  <si>
    <t>Total Net Assets</t>
  </si>
  <si>
    <t xml:space="preserve">Subscribed share capital (share capital + share premium) </t>
  </si>
  <si>
    <t xml:space="preserve">Accumulated Profit and Loss </t>
  </si>
  <si>
    <t xml:space="preserve">Other Reserves </t>
  </si>
  <si>
    <t>Total Equity</t>
  </si>
  <si>
    <t>Cashflow Forecast (annual)</t>
  </si>
  <si>
    <t xml:space="preserve">Cash from debtors </t>
  </si>
  <si>
    <t>Other Loans/Equity introduced</t>
  </si>
  <si>
    <t xml:space="preserve">Innovation Loan drawdowns </t>
  </si>
  <si>
    <t>Total cash inflows </t>
  </si>
  <si>
    <t xml:space="preserve">Cost of sales </t>
  </si>
  <si>
    <t>Other interest payments</t>
  </si>
  <si>
    <t xml:space="preserve">Innovation Loan interest payments </t>
  </si>
  <si>
    <t xml:space="preserve">Other loan repayments </t>
  </si>
  <si>
    <t xml:space="preserve">Innovation Loan repayments </t>
  </si>
  <si>
    <t xml:space="preserve">Assets purchased </t>
  </si>
  <si>
    <t xml:space="preserve">Dividends </t>
  </si>
  <si>
    <t>Tax payments</t>
  </si>
  <si>
    <t>Total cash outflows </t>
  </si>
  <si>
    <t>Opening balance  </t>
  </si>
  <si>
    <t>Net cash movement </t>
  </si>
  <si>
    <t>Closing balance </t>
  </si>
  <si>
    <t>Check:  Balance Sheet in balance</t>
  </si>
  <si>
    <t xml:space="preserve">Check: UID mitigation (if required) </t>
  </si>
  <si>
    <t>Check: Cash matches</t>
  </si>
  <si>
    <t>Liquidity Ratio</t>
  </si>
  <si>
    <t>Debt Service Coverage Ratio</t>
  </si>
  <si>
    <t>Loan to Project Value</t>
  </si>
  <si>
    <t>Gross Grant Equivalent</t>
  </si>
  <si>
    <t>Intensity rate</t>
  </si>
  <si>
    <t>Sales Assumptions</t>
  </si>
  <si>
    <r>
      <t xml:space="preserve">Instructions: </t>
    </r>
    <r>
      <rPr>
        <sz val="11"/>
        <color theme="1"/>
        <rFont val="Arial"/>
        <family val="2"/>
      </rPr>
      <t xml:space="preserve">This sheet will help you work out your anticipated sales/ turnover and cost of sales for the </t>
    </r>
    <r>
      <rPr>
        <u/>
        <sz val="11"/>
        <color theme="1"/>
        <rFont val="Arial"/>
        <family val="2"/>
      </rPr>
      <t>full forecast period of the proposed innovation loan</t>
    </r>
    <r>
      <rPr>
        <sz val="11"/>
        <color theme="1"/>
        <rFont val="Arial"/>
        <family val="2"/>
      </rPr>
      <t xml:space="preserve"> which is required in tab 1.</t>
    </r>
    <r>
      <rPr>
        <b/>
        <sz val="11"/>
        <color theme="1"/>
        <rFont val="Arial"/>
        <family val="2"/>
      </rPr>
      <t xml:space="preserve">
It is not mandatory to complete this tab, however, is strongly advisable to do so as it will help the credit team better understand any assumptions you have made in your forecasting. If you have your own model, please feel free to add that in a separate tab instead of completing the below. 
</t>
    </r>
    <r>
      <rPr>
        <sz val="11"/>
        <color theme="1"/>
        <rFont val="Arial"/>
        <family val="2"/>
      </rPr>
      <t>Work through this template in the order it sets out, as each section corresponds to the one that follows. Please complete all boxes highlighted yellow. The remainder of the cells will then auto-populate.</t>
    </r>
  </si>
  <si>
    <t>1. Product breakdown</t>
  </si>
  <si>
    <t>Product / Service 1</t>
  </si>
  <si>
    <t>Product / Service 2</t>
  </si>
  <si>
    <t>Product / Service 3</t>
  </si>
  <si>
    <t>Product / Service 4</t>
  </si>
  <si>
    <t>Worked Example</t>
  </si>
  <si>
    <t>Product / Service name</t>
  </si>
  <si>
    <t>Test 1</t>
  </si>
  <si>
    <t>Test 2</t>
  </si>
  <si>
    <t>T-Shirts</t>
  </si>
  <si>
    <t>Cost of sales breakdown per unit/ subscription/ user</t>
  </si>
  <si>
    <t xml:space="preserve">      [Direct materials]</t>
  </si>
  <si>
    <t xml:space="preserve">      [Direct labour]</t>
  </si>
  <si>
    <t xml:space="preserve">      [Other subcontractors]</t>
  </si>
  <si>
    <t xml:space="preserve">      [Other cost 1]</t>
  </si>
  <si>
    <t xml:space="preserve">      [Other cost 2]</t>
  </si>
  <si>
    <t xml:space="preserve">      [Other cost 3]</t>
  </si>
  <si>
    <t xml:space="preserve">      [Other cost 4]</t>
  </si>
  <si>
    <t>Total cost (per unit/ subscription/ user)</t>
  </si>
  <si>
    <t>Sale price (per unit/ subscription/ user)</t>
  </si>
  <si>
    <t>Cost (per unit/ subscription/ user)</t>
  </si>
  <si>
    <t>Gross Margin (per unit/ subscription/ user)</t>
  </si>
  <si>
    <t>2. Number of sales per year</t>
  </si>
  <si>
    <t>In these cells, enter the quantity of sales that you expect to make for each item over the forecast period of the proposed innovation loan (i.e. the number of unit sales for products, the number of annual subscriptions/ users for services).</t>
  </si>
  <si>
    <t>Year</t>
  </si>
  <si>
    <t>Total sales volumes 
per year</t>
  </si>
  <si>
    <t>Average sales volumes
per month*</t>
  </si>
  <si>
    <t>*Average sales value per month 12 month calender year</t>
  </si>
  <si>
    <t xml:space="preserve">You do not need to edit this section; this will auto-calculate based on your responses above. </t>
  </si>
  <si>
    <t>Total sales value (£)
per year</t>
  </si>
  <si>
    <t>Average sales value
per month*</t>
  </si>
  <si>
    <t>Cost of sales</t>
  </si>
  <si>
    <t>Total cost of sales (£)
per year</t>
  </si>
  <si>
    <t>Average cost of sales
per month*</t>
  </si>
  <si>
    <t>Repayment Calculator Template</t>
  </si>
  <si>
    <r>
      <rPr>
        <b/>
        <sz val="11"/>
        <color theme="1"/>
        <rFont val="Arial"/>
        <family val="2"/>
      </rPr>
      <t xml:space="preserve">Instructions: </t>
    </r>
    <r>
      <rPr>
        <sz val="11"/>
        <color theme="1"/>
        <rFont val="Arial"/>
        <family val="2"/>
      </rPr>
      <t xml:space="preserve">This sheet is a tool to help you calculate loan repayments and will drive the innovation loan amounts in tab 1.
</t>
    </r>
    <r>
      <rPr>
        <b/>
        <sz val="11"/>
        <color rgb="FFFF0000"/>
        <rFont val="Arial"/>
        <family val="2"/>
      </rPr>
      <t xml:space="preserve">It is mandatory to complete this worksheet as part of your application.  If you do not complete this template to show your innovation loan request, your application will not be considered.
</t>
    </r>
    <r>
      <rPr>
        <sz val="11"/>
        <color theme="1"/>
        <rFont val="Arial"/>
        <family val="2"/>
      </rPr>
      <t xml:space="preserve">Please complete all boxes highlighted yellow. This will then populate the </t>
    </r>
    <r>
      <rPr>
        <sz val="11"/>
        <rFont val="Arial"/>
        <family val="2"/>
      </rPr>
      <t>Availability</t>
    </r>
    <r>
      <rPr>
        <sz val="11"/>
        <color rgb="FFFFC000"/>
        <rFont val="Wingdings"/>
        <charset val="2"/>
      </rPr>
      <t>n</t>
    </r>
    <r>
      <rPr>
        <sz val="11"/>
        <rFont val="Arial"/>
        <family val="2"/>
      </rPr>
      <t>,</t>
    </r>
    <r>
      <rPr>
        <sz val="11"/>
        <color theme="1"/>
        <rFont val="Arial"/>
        <family val="2"/>
      </rPr>
      <t xml:space="preserve"> Extension</t>
    </r>
    <r>
      <rPr>
        <sz val="11"/>
        <color rgb="FF00B0F0"/>
        <rFont val="Wingdings"/>
        <charset val="2"/>
      </rPr>
      <t>n</t>
    </r>
    <r>
      <rPr>
        <sz val="11"/>
        <color theme="1"/>
        <rFont val="Arial"/>
        <family val="2"/>
      </rPr>
      <t xml:space="preserve"> and Repayment</t>
    </r>
    <r>
      <rPr>
        <sz val="11"/>
        <color rgb="FF00B050"/>
        <rFont val="Wingdings"/>
        <charset val="2"/>
      </rPr>
      <t>n</t>
    </r>
    <r>
      <rPr>
        <sz val="11"/>
        <color theme="1"/>
        <rFont val="Arial"/>
        <family val="2"/>
      </rPr>
      <t xml:space="preserve"> tables below.</t>
    </r>
  </si>
  <si>
    <t>Innovation Loan Request</t>
  </si>
  <si>
    <t>Eligible Project Costs</t>
  </si>
  <si>
    <t>Loan Amount</t>
  </si>
  <si>
    <t>Anticipated Drawdowns</t>
  </si>
  <si>
    <t>Anticipated Principal Outstanding</t>
  </si>
  <si>
    <t>Fees</t>
  </si>
  <si>
    <t>3 Months</t>
  </si>
  <si>
    <t>Quarters</t>
  </si>
  <si>
    <t>Years</t>
  </si>
  <si>
    <t>Quarter 1</t>
  </si>
  <si>
    <t>Arrangement</t>
  </si>
  <si>
    <t>6 Months</t>
  </si>
  <si>
    <t xml:space="preserve">Availability Period </t>
  </si>
  <si>
    <t>Quarter 2</t>
  </si>
  <si>
    <t>Monitoring</t>
  </si>
  <si>
    <t>9 Months</t>
  </si>
  <si>
    <t xml:space="preserve">Extension Period </t>
  </si>
  <si>
    <t>Quarter 3</t>
  </si>
  <si>
    <t>Interest</t>
  </si>
  <si>
    <t>1 Year</t>
  </si>
  <si>
    <t xml:space="preserve">Repayment Period </t>
  </si>
  <si>
    <t>Quarter 4</t>
  </si>
  <si>
    <t>Reference</t>
  </si>
  <si>
    <t>Assuming B- rating</t>
  </si>
  <si>
    <t>15 Months</t>
  </si>
  <si>
    <t>No. of repayment quarters</t>
  </si>
  <si>
    <t>Quarter 5</t>
  </si>
  <si>
    <t>18 Months</t>
  </si>
  <si>
    <t>Quarter 6</t>
  </si>
  <si>
    <t>Current</t>
  </si>
  <si>
    <t>Quarter 7</t>
  </si>
  <si>
    <t>Deferred</t>
  </si>
  <si>
    <t>21 Months</t>
  </si>
  <si>
    <t>Interest rate</t>
  </si>
  <si>
    <t>Qtly cash%</t>
  </si>
  <si>
    <t>Qtly deferred %</t>
  </si>
  <si>
    <t>Quarter 8</t>
  </si>
  <si>
    <t>2 Years</t>
  </si>
  <si>
    <t xml:space="preserve">Availabilty Period </t>
  </si>
  <si>
    <t>Quarter 9</t>
  </si>
  <si>
    <t>27 Months</t>
  </si>
  <si>
    <t>Quarter 10</t>
  </si>
  <si>
    <t>2.5 Years</t>
  </si>
  <si>
    <t>Quarter 11</t>
  </si>
  <si>
    <t>33 Months</t>
  </si>
  <si>
    <t>Quarter 12</t>
  </si>
  <si>
    <t>3 Years</t>
  </si>
  <si>
    <t>Total Interest (A &amp; E &amp; R periods)</t>
  </si>
  <si>
    <t>39 Months</t>
  </si>
  <si>
    <t>Interest paid (A &amp; E periods)</t>
  </si>
  <si>
    <t>3.5 Years</t>
  </si>
  <si>
    <t>Deferred interest (A &amp; E periods)</t>
  </si>
  <si>
    <t>45 Months</t>
  </si>
  <si>
    <t>Interest paid (R period)</t>
  </si>
  <si>
    <t>Fees paid</t>
  </si>
  <si>
    <t>Total Principal</t>
  </si>
  <si>
    <t>Total amount borrowed</t>
  </si>
  <si>
    <t>Total payments (principal/interest/fees)</t>
  </si>
  <si>
    <t>Quarterly Payment (excl fees)</t>
  </si>
  <si>
    <t>Availability, Extension and Repayment Profiles</t>
  </si>
  <si>
    <t>4 Years</t>
  </si>
  <si>
    <t>Availability Period</t>
  </si>
  <si>
    <t>51 Months</t>
  </si>
  <si>
    <t>4.5 Years</t>
  </si>
  <si>
    <t>Interest paid (A period)</t>
  </si>
  <si>
    <t>57 Months</t>
  </si>
  <si>
    <t>Deferred interest</t>
  </si>
  <si>
    <t>5 Years</t>
  </si>
  <si>
    <t>Total</t>
  </si>
  <si>
    <t>Extension Period</t>
  </si>
  <si>
    <t>Interest paid (E period)</t>
  </si>
  <si>
    <t>Repayment Period</t>
  </si>
  <si>
    <t>Quarter 13</t>
  </si>
  <si>
    <t>Quarter 14</t>
  </si>
  <si>
    <t>Quarter 15</t>
  </si>
  <si>
    <t>Quarter 16</t>
  </si>
  <si>
    <t>Quarter 17</t>
  </si>
  <si>
    <t>Quarter 18</t>
  </si>
  <si>
    <t>Quarter 19</t>
  </si>
  <si>
    <t>Quarter 20</t>
  </si>
  <si>
    <t>Capital</t>
  </si>
  <si>
    <t>Check</t>
  </si>
  <si>
    <t xml:space="preserve">                                                                                                                                                                                                                                                                                  </t>
  </si>
  <si>
    <t>Innovation Loan Calculations</t>
  </si>
  <si>
    <r>
      <t>Instructions: This tab is auto-populated and cannot be edited.</t>
    </r>
    <r>
      <rPr>
        <sz val="11"/>
        <color theme="1"/>
        <rFont val="Arial"/>
        <family val="2"/>
      </rPr>
      <t xml:space="preserve"> It has been included to help you understand how the loan obligation items in the '1. Business Financials' have been calculated. The tables below calculate the loan drawdowns, accumulated interest, interest payments and capital payments per financial year across the loan life cycle based on the numbers provided in '3. Repayment Calc Template'. 
The workings within match the loan quarters  to your financial years by calculating the number of months offset between the loan start date (selected in '1. Business Financials' tab) and your year-end (selected in '1. Business Financials' tab).</t>
    </r>
  </si>
  <si>
    <t>The table below calculates the loan obligations per financial year based on the loan exposure per financial quarter (rows 30 to 34) and the proposed loan structure and amount (summarised in the quarters table below).</t>
  </si>
  <si>
    <t>This months off-set table defines the loan exposure per financial quarter based on the number of months offset between the loan start date and financial year end date.</t>
  </si>
  <si>
    <t>Financial Years</t>
  </si>
  <si>
    <t>Loan &amp; Deferred Interest Outstanding</t>
  </si>
  <si>
    <t>Interest Paid</t>
  </si>
  <si>
    <t>Capital &amp; Deferred Interest Repayments</t>
  </si>
  <si>
    <t>Drawdowns</t>
  </si>
  <si>
    <t>Interest P&amp;L</t>
  </si>
  <si>
    <t>Months off-set</t>
  </si>
  <si>
    <t>This table pulls the loan start date and subsequent financial year end from '1. Business Financials' tab. It calculates the number of months off-set between the two (row 25) and uses this to determine the loan exposure per financial quarter (from the months off-set table above).</t>
  </si>
  <si>
    <t>Loan start date</t>
  </si>
  <si>
    <t>Financial year-end</t>
  </si>
  <si>
    <t>Off-set required</t>
  </si>
  <si>
    <t>months</t>
  </si>
  <si>
    <t>Q1 exposure %</t>
  </si>
  <si>
    <t>Q2 exposure %</t>
  </si>
  <si>
    <t>Q3 exposure %</t>
  </si>
  <si>
    <t>Q4 exposure %</t>
  </si>
  <si>
    <t>The table below summarises the loan period in quarters, including availability, extension and repayment periods as calculated in tab '3. Repayment Calc Template'.</t>
  </si>
  <si>
    <t>Loan</t>
  </si>
  <si>
    <t>Interest paid</t>
  </si>
  <si>
    <t>Interest deferred</t>
  </si>
  <si>
    <t>Fees (A&amp;E)</t>
  </si>
  <si>
    <t>Fees (R)</t>
  </si>
  <si>
    <t>Interest paid (repayment)</t>
  </si>
  <si>
    <t>Capital repayment</t>
  </si>
  <si>
    <t>Total payments</t>
  </si>
  <si>
    <t>Reference rate Calculator Template</t>
  </si>
  <si>
    <r>
      <rPr>
        <b/>
        <sz val="11"/>
        <color theme="1"/>
        <rFont val="Arial"/>
        <family val="2"/>
      </rPr>
      <t xml:space="preserve">Instructions: </t>
    </r>
    <r>
      <rPr>
        <sz val="11"/>
        <color theme="1"/>
        <rFont val="Arial"/>
        <family val="2"/>
      </rPr>
      <t>This sheet is a tool to help you calculate the 'market' cost of the loan using a traditional structure, the reference rate for interest and typical fees.</t>
    </r>
    <r>
      <rPr>
        <b/>
        <sz val="11"/>
        <color theme="1"/>
        <rFont val="Arial"/>
        <family val="2"/>
      </rPr>
      <t xml:space="preserve"> </t>
    </r>
    <r>
      <rPr>
        <sz val="11"/>
        <color theme="1"/>
        <rFont val="Arial"/>
        <family val="2"/>
      </rPr>
      <t>Note that the reference rate is assumed to be the highest rate that falls within our risk appetite.</t>
    </r>
    <r>
      <rPr>
        <b/>
        <sz val="11"/>
        <color theme="1"/>
        <rFont val="Arial"/>
        <family val="2"/>
      </rPr>
      <t xml:space="preserve"> 
This tab will auto-populate based on your inputs in tab 3.</t>
    </r>
  </si>
  <si>
    <t>Quarterly %</t>
  </si>
  <si>
    <t>Grant Equivalent Calculator Template</t>
  </si>
  <si>
    <r>
      <rPr>
        <b/>
        <sz val="11"/>
        <color theme="1"/>
        <rFont val="Arial"/>
        <family val="2"/>
      </rPr>
      <t xml:space="preserve">Instructions: </t>
    </r>
    <r>
      <rPr>
        <sz val="11"/>
        <color theme="1"/>
        <rFont val="Arial"/>
        <family val="2"/>
      </rPr>
      <t>This sheet is a tool to help you calculate the grant equivalent of a loan, based on the difference between the '5. Reference Rate Template' (showing the market cost) and the '3. Repayment Calc Template' (showing the actual cost) for the loan. 
It will help you to determine the gross grant equivalent of the loan for subsidy control puroposes</t>
    </r>
    <r>
      <rPr>
        <b/>
        <sz val="11"/>
        <color theme="1"/>
        <rFont val="Arial"/>
        <family val="2"/>
      </rPr>
      <t>. This tab will auto-populate based on your inputs in tab 3.</t>
    </r>
  </si>
  <si>
    <t>Reference Rate Calculations</t>
  </si>
  <si>
    <r>
      <t>Instructions: This tab is auto-populated and cannot be edited.</t>
    </r>
    <r>
      <rPr>
        <sz val="11"/>
        <color theme="1"/>
        <rFont val="Arial"/>
        <family val="2"/>
      </rPr>
      <t xml:space="preserve"> This sheet is a tool to help you calculate the 'market' cost of the loan using a traditional structure, the reference rate for interest and typical fees. Note that the reference rate is assumed to be the highest rate that falls within our risk appetite. 
This tab will auto-populate based on your inputs in tab 3.</t>
    </r>
  </si>
  <si>
    <t>Capital &amp; Deferred Interest payments</t>
  </si>
  <si>
    <t>Total Payments</t>
  </si>
  <si>
    <t>Grant Equivalent Calculations</t>
  </si>
  <si>
    <t>Instructions: This sheet is a tool to help you calculate the grant equivalent of a loan, based on the difference between the '5. Reference Rate Template' (showing the market cost) and the '3. Repayment Calc Template' (showing the actual cost) for the loan. 
It will help you to determine the gross grant equivalent of the loan for subsidy control puroposes. This tab will auto-populate based on your inputs in tab 3.</t>
  </si>
  <si>
    <t>Loan Outstanding</t>
  </si>
  <si>
    <t>Capital payments</t>
  </si>
  <si>
    <t>Difference in Interest paid</t>
  </si>
  <si>
    <t>Difference in Interest deferred</t>
  </si>
  <si>
    <t>Difference in Fees (A&amp;E)</t>
  </si>
  <si>
    <t>Difference in Fees (R)</t>
  </si>
  <si>
    <t>Difference in Interest paid (repayment)</t>
  </si>
  <si>
    <t>Difference in Total Costs</t>
  </si>
  <si>
    <t>Total value of cost difference</t>
  </si>
  <si>
    <t>UK reference rate</t>
  </si>
  <si>
    <t>Discount rate</t>
  </si>
  <si>
    <t>Month</t>
  </si>
  <si>
    <t>Number</t>
  </si>
  <si>
    <t>Day</t>
  </si>
  <si>
    <t>FY date</t>
  </si>
  <si>
    <t>FY month</t>
  </si>
  <si>
    <t>Loan month</t>
  </si>
  <si>
    <t>January</t>
  </si>
  <si>
    <t>01</t>
  </si>
  <si>
    <t>February</t>
  </si>
  <si>
    <t>02</t>
  </si>
  <si>
    <t>March</t>
  </si>
  <si>
    <t>03</t>
  </si>
  <si>
    <t>April</t>
  </si>
  <si>
    <t>04</t>
  </si>
  <si>
    <t>May</t>
  </si>
  <si>
    <t>05</t>
  </si>
  <si>
    <t>June</t>
  </si>
  <si>
    <t>06</t>
  </si>
  <si>
    <t>July</t>
  </si>
  <si>
    <t>07</t>
  </si>
  <si>
    <t>August</t>
  </si>
  <si>
    <t>08</t>
  </si>
  <si>
    <t>September</t>
  </si>
  <si>
    <t>09</t>
  </si>
  <si>
    <t>October</t>
  </si>
  <si>
    <t>10</t>
  </si>
  <si>
    <t>November</t>
  </si>
  <si>
    <t>11</t>
  </si>
  <si>
    <t>December</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</si>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</sst>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quot;£&quot;#,##0;[Red]\-&quot;£&quot;#,##0"/>
    <numFmt numFmtId="165" formatCode="&quot;£&quot;#,##0.00;[Red]\-&quot;£&quot;#,##0.00"/>
    <numFmt numFmtId="166" formatCode="_-&quot;£&quot;* #,##0.00_-;\-&quot;£&quot;* #,##0.00_-;_-&quot;£&quot;* &quot;-&quot;??_-;_-@_-"/>
    <numFmt numFmtId="167" formatCode="_-* #,##0.00_-;\-* #,##0.00_-;_-* &quot;-&quot;??_-;_-@_-"/>
    <numFmt numFmtId="168" formatCode="d/m/yyyy"/>
    <numFmt numFmtId="169" formatCode="_-&quot;£&quot;* #,##0_-;\-&quot;£&quot;* #,##0_-;_-&quot;£&quot;* &quot;-&quot;??_-;_-@"/>
    <numFmt numFmtId="170" formatCode="_-&quot;£&quot;* #,##0.00_-;\-&quot;£&quot;* #,##0.00_-;_-&quot;£&quot;* &quot;-&quot;??_-;_-@"/>
    <numFmt numFmtId="171" formatCode="_-&quot;£&quot;* #,##0_-;\-&quot;£&quot;* #,##0_-;_-&quot;£&quot;* &quot;-&quot;_-;_-@"/>
    <numFmt numFmtId="172" formatCode="_-* #,##0_-;\-* #,##0_-;_-* &quot;-&quot;??_-;_-@_-"/>
    <numFmt numFmtId="173" formatCode="\Q0\ "/>
    <numFmt numFmtId="174" formatCode="_-[$£-809]* #,##0.00_-;\-[$£-809]* #,##0.00_-;_-[$£-809]* &quot;-&quot;??_-;_-@_-"/>
    <numFmt numFmtId="175" formatCode="&quot;£&quot;#,##0.00"/>
    <numFmt numFmtId="176" formatCode="0.0"/>
    <numFmt numFmtId="177" formatCode="dd/mm/yyyy;@"/>
  </numFmts>
  <fonts count="39">
    <font>
      <sz val="11"/>
      <color theme="1"/>
      <name val="Arial"/>
    </font>
    <font>
      <b/>
      <sz val="16"/>
      <color theme="0"/>
      <name val="Arial"/>
      <family val="2"/>
    </font>
    <font>
      <sz val="11"/>
      <name val="Arial"/>
      <family val="2"/>
    </font>
    <font>
      <b/>
      <sz val="10"/>
      <color theme="1"/>
      <name val="Arial"/>
      <family val="2"/>
    </font>
    <font>
      <b/>
      <sz val="11"/>
      <color theme="1"/>
      <name val="Arial"/>
      <family val="2"/>
    </font>
    <font>
      <sz val="10"/>
      <color theme="1"/>
      <name val="Arial"/>
      <family val="2"/>
    </font>
    <font>
      <b/>
      <sz val="14"/>
      <color theme="0"/>
      <name val="Arial"/>
      <family val="2"/>
    </font>
    <font>
      <b/>
      <sz val="11"/>
      <color theme="0"/>
      <name val="Arial"/>
      <family val="2"/>
    </font>
    <font>
      <sz val="11"/>
      <color theme="0"/>
      <name val="Arial"/>
      <family val="2"/>
    </font>
    <font>
      <sz val="12"/>
      <color theme="1"/>
      <name val="Arial"/>
      <family val="2"/>
    </font>
    <font>
      <b/>
      <u/>
      <sz val="10"/>
      <color theme="1"/>
      <name val="Arial"/>
      <family val="2"/>
    </font>
    <font>
      <b/>
      <sz val="10"/>
      <color rgb="FFFF0000"/>
      <name val="Arial"/>
      <family val="2"/>
    </font>
    <font>
      <sz val="11"/>
      <color rgb="FFFFC000"/>
      <name val="Wingdings"/>
      <charset val="2"/>
    </font>
    <font>
      <sz val="11"/>
      <color rgb="FF00B0F0"/>
      <name val="Wingdings"/>
      <charset val="2"/>
    </font>
    <font>
      <sz val="11"/>
      <color rgb="FF00B050"/>
      <name val="Wingdings"/>
      <charset val="2"/>
    </font>
    <font>
      <sz val="11"/>
      <color theme="1"/>
      <name val="Arial"/>
      <family val="2"/>
    </font>
    <font>
      <b/>
      <sz val="12"/>
      <color theme="1"/>
      <name val="Arial"/>
      <family val="2"/>
    </font>
    <font>
      <sz val="11"/>
      <color theme="0" tint="-0.14999847407452621"/>
      <name val="Arial"/>
      <family val="2"/>
    </font>
    <font>
      <sz val="8"/>
      <name val="Arial"/>
      <family val="2"/>
    </font>
    <font>
      <sz val="11"/>
      <color theme="1"/>
      <name val="Arial"/>
      <family val="2"/>
    </font>
    <font>
      <i/>
      <sz val="10"/>
      <color theme="1"/>
      <name val="Arial"/>
      <family val="2"/>
    </font>
    <font>
      <sz val="10"/>
      <color rgb="FF0B0C0C"/>
      <name val="Arial"/>
      <family val="2"/>
    </font>
    <font>
      <sz val="8"/>
      <name val="Arial"/>
      <family val="2"/>
    </font>
    <font>
      <sz val="8"/>
      <color rgb="FF222222"/>
      <name val="Arial"/>
      <family val="2"/>
    </font>
    <font>
      <b/>
      <sz val="11"/>
      <color rgb="FFFF0000"/>
      <name val="Arial"/>
      <family val="2"/>
    </font>
    <font>
      <sz val="9"/>
      <color indexed="81"/>
      <name val="Tahoma"/>
      <family val="2"/>
    </font>
    <font>
      <b/>
      <sz val="11"/>
      <name val="Arial"/>
      <family val="2"/>
    </font>
    <font>
      <i/>
      <sz val="11"/>
      <name val="Arial"/>
      <family val="2"/>
    </font>
    <font>
      <b/>
      <sz val="9"/>
      <color indexed="81"/>
      <name val="Tahoma"/>
      <family val="2"/>
    </font>
    <font>
      <i/>
      <sz val="11"/>
      <color theme="1"/>
      <name val="Arial"/>
      <family val="2"/>
    </font>
    <font>
      <b/>
      <sz val="9"/>
      <color indexed="81"/>
      <name val="Arial"/>
      <family val="2"/>
    </font>
    <font>
      <sz val="9"/>
      <color indexed="81"/>
      <name val="Arial"/>
      <family val="2"/>
    </font>
    <font>
      <b/>
      <sz val="13"/>
      <color theme="0"/>
      <name val="Arial"/>
      <family val="2"/>
    </font>
    <font>
      <u/>
      <sz val="11"/>
      <color theme="1"/>
      <name val="Arial"/>
      <family val="2"/>
    </font>
    <font>
      <sz val="13"/>
      <name val="Arial"/>
      <family val="2"/>
    </font>
    <font>
      <sz val="11"/>
      <color theme="1" tint="0.499984740745262"/>
      <name val="Arial"/>
      <family val="2"/>
    </font>
    <font>
      <sz val="11"/>
      <color theme="1"/>
      <name val="Arial"/>
    </font>
    <font>
      <u/>
      <sz val="11"/>
      <color theme="10"/>
      <name val="Arial"/>
      <family val="2"/>
    </font>
    <font>
      <b/>
      <u/>
      <sz val="11"/>
      <color theme="10"/>
      <name val="Arial"/>
      <family val="2"/>
    </font>
  </fonts>
  <fills count="20">
    <fill>
      <patternFill patternType="none"/>
    </fill>
    <fill>
      <patternFill patternType="gray125"/>
    </fill>
    <fill>
      <patternFill patternType="solid">
        <fgColor theme="0"/>
        <bgColor theme="0"/>
      </patternFill>
    </fill>
    <fill>
      <patternFill patternType="solid">
        <fgColor rgb="FF792B8B"/>
        <bgColor rgb="FF792B8B"/>
      </patternFill>
    </fill>
    <fill>
      <patternFill patternType="solid">
        <fgColor rgb="FFD9E2F3"/>
        <bgColor rgb="FFD9E2F3"/>
      </patternFill>
    </fill>
    <fill>
      <patternFill patternType="solid">
        <fgColor rgb="FFE7E6E6"/>
        <bgColor rgb="FFE7E6E6"/>
      </patternFill>
    </fill>
    <fill>
      <patternFill patternType="solid">
        <fgColor rgb="FFFFC000"/>
        <bgColor rgb="FFFFC000"/>
      </patternFill>
    </fill>
    <fill>
      <patternFill patternType="solid">
        <fgColor rgb="FF00B0F0"/>
        <bgColor rgb="FF00B0F0"/>
      </patternFill>
    </fill>
    <fill>
      <patternFill patternType="solid">
        <fgColor rgb="FF00B050"/>
        <bgColor rgb="FF00B050"/>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E598"/>
        <bgColor indexed="64"/>
      </patternFill>
    </fill>
    <fill>
      <patternFill patternType="solid">
        <fgColor theme="8" tint="0.59999389629810485"/>
        <bgColor rgb="FFD9E2F3"/>
      </patternFill>
    </fill>
    <fill>
      <patternFill patternType="solid">
        <fgColor theme="8" tint="0.79998168889431442"/>
        <bgColor rgb="FFD9E2F3"/>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FFE1FF"/>
        <bgColor indexed="64"/>
      </patternFill>
    </fill>
  </fills>
  <borders count="10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style="thin">
        <color indexed="64"/>
      </top>
      <bottom style="double">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double">
        <color indexed="64"/>
      </bottom>
      <diagonal/>
    </border>
    <border>
      <left style="thin">
        <color rgb="FF000000"/>
      </left>
      <right style="thin">
        <color rgb="FF000000"/>
      </right>
      <top style="medium">
        <color indexed="64"/>
      </top>
      <bottom style="medium">
        <color indexed="64"/>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double">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style="medium">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bottom/>
      <diagonal/>
    </border>
    <border>
      <left/>
      <right/>
      <top style="thin">
        <color theme="1" tint="0.499984740745262"/>
      </top>
      <bottom style="thin">
        <color theme="1" tint="0.499984740745262"/>
      </bottom>
      <diagonal/>
    </border>
    <border>
      <left style="medium">
        <color theme="1" tint="0.499984740745262"/>
      </left>
      <right/>
      <top/>
      <bottom/>
      <diagonal/>
    </border>
    <border>
      <left style="medium">
        <color theme="1" tint="0.499984740745262"/>
      </left>
      <right/>
      <top style="thin">
        <color theme="1" tint="0.499984740745262"/>
      </top>
      <bottom style="thin">
        <color theme="1" tint="0.499984740745262"/>
      </bottom>
      <diagonal/>
    </border>
    <border>
      <left/>
      <right style="thin">
        <color indexed="64"/>
      </right>
      <top/>
      <bottom/>
      <diagonal/>
    </border>
    <border>
      <left style="medium">
        <color indexed="64"/>
      </left>
      <right style="thin">
        <color theme="1" tint="0.499984740745262"/>
      </right>
      <top style="medium">
        <color indexed="64"/>
      </top>
      <bottom style="thin">
        <color theme="1"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right/>
      <top style="thin">
        <color theme="1" tint="0.499984740745262"/>
      </top>
      <bottom style="medium">
        <color indexed="64"/>
      </bottom>
      <diagonal/>
    </border>
    <border>
      <left style="medium">
        <color indexed="64"/>
      </left>
      <right/>
      <top style="medium">
        <color indexed="64"/>
      </top>
      <bottom style="thin">
        <color theme="1" tint="0.499984740745262"/>
      </bottom>
      <diagonal/>
    </border>
    <border>
      <left/>
      <right/>
      <top style="medium">
        <color indexed="64"/>
      </top>
      <bottom style="thin">
        <color theme="1" tint="0.499984740745262"/>
      </bottom>
      <diagonal/>
    </border>
    <border>
      <left style="medium">
        <color indexed="64"/>
      </left>
      <right/>
      <top style="thin">
        <color theme="1" tint="0.499984740745262"/>
      </top>
      <bottom style="thin">
        <color theme="1" tint="0.499984740745262"/>
      </bottom>
      <diagonal/>
    </border>
    <border>
      <left style="thin">
        <color indexed="64"/>
      </left>
      <right style="medium">
        <color indexed="64"/>
      </right>
      <top style="medium">
        <color indexed="64"/>
      </top>
      <bottom style="thin">
        <color theme="1" tint="0.499984740745262"/>
      </bottom>
      <diagonal/>
    </border>
    <border>
      <left style="thin">
        <color indexed="64"/>
      </left>
      <right style="medium">
        <color indexed="64"/>
      </right>
      <top style="thin">
        <color theme="1" tint="0.499984740745262"/>
      </top>
      <bottom style="thin">
        <color theme="1" tint="0.499984740745262"/>
      </bottom>
      <diagonal/>
    </border>
    <border>
      <left style="thin">
        <color indexed="64"/>
      </left>
      <right style="medium">
        <color indexed="64"/>
      </right>
      <top style="thin">
        <color theme="1" tint="0.499984740745262"/>
      </top>
      <bottom style="medium">
        <color indexed="64"/>
      </bottom>
      <diagonal/>
    </border>
    <border>
      <left style="medium">
        <color indexed="64"/>
      </left>
      <right/>
      <top style="thin">
        <color theme="1" tint="0.499984740745262"/>
      </top>
      <bottom style="medium">
        <color indexed="64"/>
      </bottom>
      <diagonal/>
    </border>
    <border>
      <left style="thin">
        <color indexed="64"/>
      </left>
      <right/>
      <top style="medium">
        <color indexed="64"/>
      </top>
      <bottom style="thin">
        <color theme="1" tint="0.499984740745262"/>
      </bottom>
      <diagonal/>
    </border>
    <border>
      <left style="thin">
        <color indexed="64"/>
      </left>
      <right/>
      <top style="thin">
        <color theme="1" tint="0.499984740745262"/>
      </top>
      <bottom style="thin">
        <color theme="1" tint="0.499984740745262"/>
      </bottom>
      <diagonal/>
    </border>
    <border>
      <left style="thin">
        <color indexed="64"/>
      </left>
      <right/>
      <top style="thin">
        <color theme="1" tint="0.499984740745262"/>
      </top>
      <bottom style="medium">
        <color indexed="64"/>
      </bottom>
      <diagonal/>
    </border>
    <border>
      <left style="thin">
        <color indexed="64"/>
      </left>
      <right style="thin">
        <color indexed="64"/>
      </right>
      <top style="medium">
        <color indexed="64"/>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indexed="64"/>
      </bottom>
      <diagonal/>
    </border>
    <border>
      <left style="medium">
        <color indexed="64"/>
      </left>
      <right style="medium">
        <color indexed="64"/>
      </right>
      <top style="medium">
        <color indexed="64"/>
      </top>
      <bottom style="thin">
        <color theme="1" tint="0.499984740745262"/>
      </bottom>
      <diagonal/>
    </border>
    <border>
      <left style="medium">
        <color indexed="64"/>
      </left>
      <right style="medium">
        <color indexed="64"/>
      </right>
      <top style="thin">
        <color theme="1" tint="0.499984740745262"/>
      </top>
      <bottom style="thin">
        <color theme="1" tint="0.499984740745262"/>
      </bottom>
      <diagonal/>
    </border>
    <border>
      <left style="medium">
        <color indexed="64"/>
      </left>
      <right style="medium">
        <color indexed="64"/>
      </right>
      <top style="thin">
        <color theme="1" tint="0.499984740745262"/>
      </top>
      <bottom style="medium">
        <color indexed="64"/>
      </bottom>
      <diagonal/>
    </border>
    <border>
      <left style="medium">
        <color theme="1" tint="0.499984740745262"/>
      </left>
      <right/>
      <top style="medium">
        <color indexed="64"/>
      </top>
      <bottom style="thin">
        <color theme="1" tint="0.499984740745262"/>
      </bottom>
      <diagonal/>
    </border>
    <border>
      <left style="medium">
        <color theme="1" tint="0.499984740745262"/>
      </left>
      <right/>
      <top/>
      <bottom style="medium">
        <color indexed="64"/>
      </bottom>
      <diagonal/>
    </border>
    <border>
      <left style="medium">
        <color indexed="64"/>
      </left>
      <right style="medium">
        <color indexed="64"/>
      </right>
      <top/>
      <bottom style="thin">
        <color theme="1" tint="0.499984740745262"/>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000000"/>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double">
        <color rgb="FF000000"/>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theme="1" tint="0.499984740745262"/>
      </right>
      <top style="thin">
        <color theme="1" tint="0.499984740745262"/>
      </top>
      <bottom style="medium">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medium">
        <color indexed="64"/>
      </bottom>
      <diagonal/>
    </border>
    <border>
      <left style="thin">
        <color rgb="FF000000"/>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s>
  <cellStyleXfs count="8">
    <xf numFmtId="0" fontId="0" fillId="0" borderId="0"/>
    <xf numFmtId="9" fontId="15" fillId="0" borderId="0" applyFont="0" applyFill="0" applyBorder="0" applyAlignment="0" applyProtection="0"/>
    <xf numFmtId="167" fontId="15" fillId="0" borderId="0" applyFont="0" applyFill="0" applyBorder="0" applyAlignment="0" applyProtection="0"/>
    <xf numFmtId="166" fontId="19" fillId="0" borderId="0" applyFont="0" applyFill="0" applyBorder="0" applyAlignment="0" applyProtection="0"/>
    <xf numFmtId="0" fontId="36" fillId="0" borderId="11"/>
    <xf numFmtId="167" fontId="15" fillId="0" borderId="11" applyFont="0" applyFill="0" applyBorder="0" applyAlignment="0" applyProtection="0"/>
    <xf numFmtId="9" fontId="15" fillId="0" borderId="11" applyFont="0" applyFill="0" applyBorder="0" applyAlignment="0" applyProtection="0"/>
    <xf numFmtId="0" fontId="37" fillId="0" borderId="0" applyNumberFormat="0" applyFill="0" applyBorder="0" applyAlignment="0" applyProtection="0"/>
  </cellStyleXfs>
  <cellXfs count="465">
    <xf numFmtId="0" fontId="0" fillId="0" borderId="0" xfId="0"/>
    <xf numFmtId="172" fontId="4" fillId="4" borderId="15" xfId="2" applyNumberFormat="1" applyFont="1" applyFill="1" applyBorder="1" applyAlignment="1" applyProtection="1">
      <alignment vertical="center" wrapText="1"/>
    </xf>
    <xf numFmtId="0" fontId="15" fillId="2" borderId="11" xfId="0" applyFont="1" applyFill="1" applyBorder="1" applyProtection="1">
      <protection locked="0"/>
    </xf>
    <xf numFmtId="0" fontId="15" fillId="0" borderId="5" xfId="0" applyFont="1" applyBorder="1" applyAlignment="1" applyProtection="1">
      <alignment vertical="center" wrapText="1"/>
      <protection locked="0"/>
    </xf>
    <xf numFmtId="172" fontId="15" fillId="0" borderId="5" xfId="2" applyNumberFormat="1" applyFont="1" applyBorder="1" applyAlignment="1" applyProtection="1">
      <alignment vertical="center" wrapText="1"/>
      <protection locked="0"/>
    </xf>
    <xf numFmtId="0" fontId="15" fillId="0" borderId="16" xfId="0" applyFont="1" applyBorder="1" applyAlignment="1" applyProtection="1">
      <alignment vertical="center" wrapText="1"/>
      <protection locked="0"/>
    </xf>
    <xf numFmtId="172" fontId="15" fillId="0" borderId="16" xfId="2" applyNumberFormat="1" applyFont="1" applyBorder="1" applyAlignment="1" applyProtection="1">
      <alignment vertical="center" wrapText="1"/>
      <protection locked="0"/>
    </xf>
    <xf numFmtId="172" fontId="15" fillId="0" borderId="6" xfId="2" applyNumberFormat="1" applyFont="1" applyBorder="1" applyAlignment="1" applyProtection="1">
      <alignment vertical="center" wrapText="1"/>
      <protection locked="0"/>
    </xf>
    <xf numFmtId="0" fontId="15" fillId="0" borderId="6" xfId="0" applyFont="1" applyBorder="1" applyAlignment="1" applyProtection="1">
      <alignment vertical="center" wrapText="1"/>
      <protection locked="0"/>
    </xf>
    <xf numFmtId="0" fontId="4" fillId="0" borderId="5" xfId="0" applyFont="1" applyBorder="1"/>
    <xf numFmtId="169" fontId="0" fillId="0" borderId="5" xfId="0" applyNumberFormat="1" applyBorder="1"/>
    <xf numFmtId="0" fontId="0" fillId="2" borderId="11" xfId="0" applyFill="1" applyBorder="1"/>
    <xf numFmtId="172" fontId="0" fillId="2" borderId="11" xfId="2" applyNumberFormat="1" applyFont="1" applyFill="1" applyBorder="1" applyProtection="1"/>
    <xf numFmtId="169" fontId="4" fillId="0" borderId="5" xfId="0" applyNumberFormat="1" applyFont="1" applyBorder="1"/>
    <xf numFmtId="0" fontId="0" fillId="0" borderId="12" xfId="0" applyBorder="1"/>
    <xf numFmtId="0" fontId="4" fillId="0" borderId="12" xfId="0" applyFont="1" applyBorder="1" applyAlignment="1">
      <alignment horizontal="center"/>
    </xf>
    <xf numFmtId="169" fontId="0" fillId="0" borderId="0" xfId="0" applyNumberFormat="1"/>
    <xf numFmtId="169" fontId="4" fillId="0" borderId="14" xfId="0" applyNumberFormat="1" applyFont="1" applyBorder="1" applyAlignment="1">
      <alignment horizontal="left"/>
    </xf>
    <xf numFmtId="169" fontId="4" fillId="0" borderId="14" xfId="0" applyNumberFormat="1" applyFont="1" applyBorder="1"/>
    <xf numFmtId="0" fontId="0" fillId="2" borderId="12" xfId="0" applyFill="1" applyBorder="1"/>
    <xf numFmtId="0" fontId="4" fillId="2" borderId="12" xfId="0" applyFont="1" applyFill="1" applyBorder="1" applyAlignment="1">
      <alignment horizontal="center"/>
    </xf>
    <xf numFmtId="171" fontId="4" fillId="2" borderId="5" xfId="0" applyNumberFormat="1" applyFont="1" applyFill="1" applyBorder="1"/>
    <xf numFmtId="171" fontId="0" fillId="2" borderId="5" xfId="0" applyNumberFormat="1" applyFill="1" applyBorder="1"/>
    <xf numFmtId="171" fontId="4" fillId="2" borderId="14" xfId="0" applyNumberFormat="1" applyFont="1" applyFill="1" applyBorder="1"/>
    <xf numFmtId="171" fontId="4" fillId="0" borderId="5" xfId="0" applyNumberFormat="1" applyFont="1" applyBorder="1"/>
    <xf numFmtId="171" fontId="0" fillId="0" borderId="5" xfId="0" applyNumberFormat="1" applyBorder="1"/>
    <xf numFmtId="171" fontId="0" fillId="0" borderId="6" xfId="0" applyNumberFormat="1" applyBorder="1"/>
    <xf numFmtId="171" fontId="4" fillId="2" borderId="21" xfId="0" applyNumberFormat="1" applyFont="1" applyFill="1" applyBorder="1"/>
    <xf numFmtId="10" fontId="0" fillId="0" borderId="5" xfId="0" applyNumberFormat="1" applyBorder="1"/>
    <xf numFmtId="0" fontId="4" fillId="0" borderId="0" xfId="0" applyFont="1" applyAlignment="1">
      <alignment horizontal="center"/>
    </xf>
    <xf numFmtId="0" fontId="0" fillId="0" borderId="0" xfId="0" applyAlignment="1">
      <alignment vertical="center" wrapText="1"/>
    </xf>
    <xf numFmtId="172" fontId="4" fillId="4" borderId="19" xfId="2" applyNumberFormat="1" applyFont="1" applyFill="1" applyBorder="1" applyAlignment="1" applyProtection="1">
      <alignment vertical="center" wrapText="1"/>
    </xf>
    <xf numFmtId="172" fontId="4" fillId="4" borderId="17" xfId="2" applyNumberFormat="1" applyFont="1" applyFill="1" applyBorder="1" applyAlignment="1" applyProtection="1">
      <alignment vertical="center" wrapText="1"/>
    </xf>
    <xf numFmtId="0" fontId="15" fillId="0" borderId="0" xfId="0" applyFont="1"/>
    <xf numFmtId="49" fontId="0" fillId="0" borderId="0" xfId="0" applyNumberFormat="1"/>
    <xf numFmtId="0" fontId="23" fillId="0" borderId="0" xfId="0" applyFont="1"/>
    <xf numFmtId="0" fontId="7" fillId="2" borderId="11" xfId="0" applyFont="1" applyFill="1" applyBorder="1"/>
    <xf numFmtId="0" fontId="8" fillId="2" borderId="11" xfId="0" applyFont="1" applyFill="1" applyBorder="1" applyAlignment="1">
      <alignment horizontal="center"/>
    </xf>
    <xf numFmtId="170" fontId="0" fillId="2" borderId="11" xfId="0" applyNumberFormat="1" applyFill="1" applyBorder="1"/>
    <xf numFmtId="2" fontId="15" fillId="0" borderId="38" xfId="0" applyNumberFormat="1" applyFont="1" applyBorder="1"/>
    <xf numFmtId="0" fontId="15" fillId="0" borderId="53" xfId="0" applyFont="1" applyBorder="1" applyAlignment="1">
      <alignment horizontal="center"/>
    </xf>
    <xf numFmtId="0" fontId="15" fillId="0" borderId="54" xfId="0" applyFont="1" applyBorder="1" applyAlignment="1">
      <alignment horizontal="center"/>
    </xf>
    <xf numFmtId="0" fontId="15" fillId="0" borderId="38" xfId="0" applyFont="1" applyBorder="1" applyAlignment="1">
      <alignment horizontal="center"/>
    </xf>
    <xf numFmtId="0" fontId="15" fillId="0" borderId="39" xfId="0" applyFont="1" applyBorder="1" applyAlignment="1">
      <alignment horizontal="center"/>
    </xf>
    <xf numFmtId="2" fontId="15" fillId="0" borderId="53" xfId="0" applyNumberFormat="1" applyFont="1" applyBorder="1" applyAlignment="1">
      <alignment horizontal="center"/>
    </xf>
    <xf numFmtId="2" fontId="15" fillId="0" borderId="54" xfId="0" applyNumberFormat="1" applyFont="1" applyBorder="1" applyAlignment="1">
      <alignment horizontal="center"/>
    </xf>
    <xf numFmtId="0" fontId="15" fillId="10" borderId="0" xfId="0" applyFont="1" applyFill="1"/>
    <xf numFmtId="0" fontId="2" fillId="10" borderId="0" xfId="0" applyFont="1" applyFill="1" applyAlignment="1">
      <alignment horizontal="center"/>
    </xf>
    <xf numFmtId="176" fontId="26" fillId="10" borderId="0" xfId="0" applyNumberFormat="1" applyFont="1" applyFill="1" applyAlignment="1">
      <alignment horizontal="center" vertical="center"/>
    </xf>
    <xf numFmtId="0" fontId="15" fillId="10" borderId="0" xfId="0" applyFont="1" applyFill="1" applyAlignment="1">
      <alignment horizontal="center" vertical="center"/>
    </xf>
    <xf numFmtId="0" fontId="26" fillId="12" borderId="61" xfId="0" applyFont="1" applyFill="1" applyBorder="1" applyAlignment="1">
      <alignment horizontal="center" vertical="center"/>
    </xf>
    <xf numFmtId="0" fontId="26" fillId="0" borderId="62" xfId="0" applyFont="1" applyBorder="1" applyAlignment="1">
      <alignment horizontal="center"/>
    </xf>
    <xf numFmtId="0" fontId="27" fillId="10" borderId="0" xfId="0" applyFont="1" applyFill="1"/>
    <xf numFmtId="0" fontId="29" fillId="10" borderId="0" xfId="0" applyFont="1" applyFill="1"/>
    <xf numFmtId="0" fontId="26" fillId="10" borderId="0" xfId="0" applyFont="1" applyFill="1"/>
    <xf numFmtId="175" fontId="2" fillId="0" borderId="57" xfId="0" applyNumberFormat="1" applyFont="1" applyBorder="1" applyAlignment="1">
      <alignment horizontal="center"/>
    </xf>
    <xf numFmtId="0" fontId="26" fillId="12" borderId="64" xfId="0" applyFont="1" applyFill="1" applyBorder="1" applyAlignment="1">
      <alignment horizontal="center" vertical="center"/>
    </xf>
    <xf numFmtId="0" fontId="26" fillId="12" borderId="65" xfId="0" applyFont="1" applyFill="1" applyBorder="1" applyAlignment="1">
      <alignment horizontal="center" vertical="center"/>
    </xf>
    <xf numFmtId="0" fontId="26" fillId="0" borderId="66" xfId="0" applyFont="1" applyBorder="1" applyAlignment="1">
      <alignment horizontal="center"/>
    </xf>
    <xf numFmtId="0" fontId="26" fillId="12" borderId="67" xfId="0" applyFont="1" applyFill="1" applyBorder="1" applyAlignment="1">
      <alignment horizontal="center"/>
    </xf>
    <xf numFmtId="175" fontId="2" fillId="13" borderId="68" xfId="0" applyNumberFormat="1" applyFont="1" applyFill="1" applyBorder="1" applyAlignment="1" applyProtection="1">
      <alignment horizontal="center" vertical="center"/>
      <protection locked="0"/>
    </xf>
    <xf numFmtId="9" fontId="4" fillId="0" borderId="69" xfId="1" applyFont="1" applyFill="1" applyBorder="1" applyAlignment="1" applyProtection="1">
      <alignment horizontal="center"/>
    </xf>
    <xf numFmtId="0" fontId="26" fillId="12" borderId="64" xfId="0" applyFont="1" applyFill="1" applyBorder="1" applyAlignment="1">
      <alignment horizontal="center"/>
    </xf>
    <xf numFmtId="0" fontId="26" fillId="0" borderId="70" xfId="0" applyFont="1" applyBorder="1" applyAlignment="1">
      <alignment horizontal="left"/>
    </xf>
    <xf numFmtId="0" fontId="26" fillId="12" borderId="71" xfId="0" applyFont="1" applyFill="1" applyBorder="1" applyAlignment="1">
      <alignment horizontal="center"/>
    </xf>
    <xf numFmtId="175" fontId="2" fillId="13" borderId="72" xfId="0" applyNumberFormat="1" applyFont="1" applyFill="1" applyBorder="1" applyAlignment="1" applyProtection="1">
      <alignment horizontal="center" vertical="center"/>
      <protection locked="0"/>
    </xf>
    <xf numFmtId="9" fontId="4" fillId="0" borderId="73" xfId="1" applyFont="1" applyFill="1" applyBorder="1" applyAlignment="1" applyProtection="1">
      <alignment horizontal="center"/>
    </xf>
    <xf numFmtId="0" fontId="26" fillId="12" borderId="74" xfId="0" applyFont="1" applyFill="1" applyBorder="1" applyAlignment="1">
      <alignment horizontal="center"/>
    </xf>
    <xf numFmtId="175" fontId="2" fillId="13" borderId="75" xfId="0" applyNumberFormat="1" applyFont="1" applyFill="1" applyBorder="1" applyAlignment="1" applyProtection="1">
      <alignment horizontal="center" vertical="center"/>
      <protection locked="0"/>
    </xf>
    <xf numFmtId="9" fontId="4" fillId="0" borderId="76" xfId="1" applyFont="1" applyFill="1" applyBorder="1" applyAlignment="1" applyProtection="1">
      <alignment horizontal="center"/>
    </xf>
    <xf numFmtId="0" fontId="26" fillId="12" borderId="77" xfId="0" applyFont="1" applyFill="1" applyBorder="1" applyAlignment="1">
      <alignment horizontal="center" vertical="center" wrapText="1"/>
    </xf>
    <xf numFmtId="1" fontId="27" fillId="0" borderId="78" xfId="0" applyNumberFormat="1" applyFont="1" applyBorder="1" applyAlignment="1">
      <alignment horizontal="center" vertical="center"/>
    </xf>
    <xf numFmtId="1" fontId="27" fillId="0" borderId="79" xfId="0" applyNumberFormat="1" applyFont="1" applyBorder="1" applyAlignment="1">
      <alignment horizontal="center" vertical="center"/>
    </xf>
    <xf numFmtId="0" fontId="26" fillId="12" borderId="74" xfId="0" applyFont="1" applyFill="1" applyBorder="1" applyAlignment="1">
      <alignment horizontal="center" vertical="center"/>
    </xf>
    <xf numFmtId="0" fontId="26" fillId="12" borderId="80" xfId="0" applyFont="1" applyFill="1" applyBorder="1" applyAlignment="1">
      <alignment horizontal="center" vertical="center" wrapText="1"/>
    </xf>
    <xf numFmtId="175" fontId="27" fillId="0" borderId="78" xfId="0" applyNumberFormat="1" applyFont="1" applyBorder="1" applyAlignment="1">
      <alignment horizontal="center" vertical="center"/>
    </xf>
    <xf numFmtId="175" fontId="27" fillId="0" borderId="79" xfId="0" applyNumberFormat="1" applyFont="1" applyBorder="1" applyAlignment="1">
      <alignment horizontal="center" vertical="center"/>
    </xf>
    <xf numFmtId="175" fontId="26" fillId="0" borderId="78" xfId="0" applyNumberFormat="1" applyFont="1" applyBorder="1" applyAlignment="1">
      <alignment horizontal="center" vertical="center"/>
    </xf>
    <xf numFmtId="175" fontId="26" fillId="0" borderId="82" xfId="0" applyNumberFormat="1" applyFont="1" applyBorder="1" applyAlignment="1">
      <alignment horizontal="center" vertical="center"/>
    </xf>
    <xf numFmtId="175" fontId="26" fillId="0" borderId="83" xfId="0" applyNumberFormat="1" applyFont="1" applyBorder="1" applyAlignment="1">
      <alignment horizontal="center" vertical="center"/>
    </xf>
    <xf numFmtId="175" fontId="26" fillId="0" borderId="84" xfId="0" applyNumberFormat="1" applyFont="1" applyBorder="1" applyAlignment="1">
      <alignment horizontal="center" vertical="center"/>
    </xf>
    <xf numFmtId="1" fontId="26" fillId="0" borderId="78" xfId="0" applyNumberFormat="1" applyFont="1" applyBorder="1" applyAlignment="1">
      <alignment horizontal="center" vertical="center"/>
    </xf>
    <xf numFmtId="1" fontId="26" fillId="0" borderId="82" xfId="0" applyNumberFormat="1" applyFont="1" applyBorder="1" applyAlignment="1">
      <alignment horizontal="center" vertical="center"/>
    </xf>
    <xf numFmtId="1" fontId="26" fillId="0" borderId="83" xfId="0" applyNumberFormat="1" applyFont="1" applyBorder="1" applyAlignment="1">
      <alignment horizontal="center" vertical="center"/>
    </xf>
    <xf numFmtId="1" fontId="26" fillId="0" borderId="84" xfId="0" applyNumberFormat="1" applyFont="1" applyBorder="1" applyAlignment="1">
      <alignment horizontal="center" vertical="center"/>
    </xf>
    <xf numFmtId="175" fontId="2" fillId="0" borderId="75" xfId="0" applyNumberFormat="1" applyFont="1" applyBorder="1" applyAlignment="1">
      <alignment horizontal="center"/>
    </xf>
    <xf numFmtId="175" fontId="2" fillId="0" borderId="76" xfId="0" applyNumberFormat="1" applyFont="1" applyBorder="1" applyAlignment="1">
      <alignment horizontal="center"/>
    </xf>
    <xf numFmtId="175" fontId="2" fillId="0" borderId="63" xfId="0" applyNumberFormat="1" applyFont="1" applyBorder="1" applyAlignment="1">
      <alignment horizontal="center"/>
    </xf>
    <xf numFmtId="165" fontId="26" fillId="0" borderId="59" xfId="0" applyNumberFormat="1" applyFont="1" applyBorder="1" applyAlignment="1">
      <alignment horizontal="center"/>
    </xf>
    <xf numFmtId="165" fontId="26" fillId="0" borderId="58" xfId="0" applyNumberFormat="1" applyFont="1" applyBorder="1" applyAlignment="1">
      <alignment horizontal="center"/>
    </xf>
    <xf numFmtId="165" fontId="26" fillId="0" borderId="81" xfId="0" applyNumberFormat="1" applyFont="1" applyBorder="1" applyAlignment="1">
      <alignment horizontal="center"/>
    </xf>
    <xf numFmtId="165" fontId="27" fillId="0" borderId="78" xfId="0" applyNumberFormat="1" applyFont="1" applyBorder="1" applyAlignment="1">
      <alignment horizontal="center" vertical="center"/>
    </xf>
    <xf numFmtId="165" fontId="27" fillId="0" borderId="79" xfId="0" applyNumberFormat="1" applyFont="1" applyBorder="1" applyAlignment="1">
      <alignment horizontal="center" vertical="center"/>
    </xf>
    <xf numFmtId="0" fontId="5" fillId="10" borderId="0" xfId="0" applyFont="1" applyFill="1"/>
    <xf numFmtId="0" fontId="5" fillId="0" borderId="0" xfId="0" applyFont="1"/>
    <xf numFmtId="172" fontId="15" fillId="11" borderId="12" xfId="2" applyNumberFormat="1" applyFont="1" applyFill="1" applyBorder="1" applyAlignment="1" applyProtection="1">
      <alignment vertical="center" wrapText="1"/>
    </xf>
    <xf numFmtId="172" fontId="15" fillId="11" borderId="17" xfId="2" applyNumberFormat="1" applyFont="1" applyFill="1" applyBorder="1" applyAlignment="1" applyProtection="1">
      <alignment vertical="center" wrapText="1"/>
    </xf>
    <xf numFmtId="172" fontId="15" fillId="11" borderId="18" xfId="2" applyNumberFormat="1" applyFont="1" applyFill="1" applyBorder="1" applyAlignment="1" applyProtection="1">
      <alignment vertical="center" wrapText="1"/>
    </xf>
    <xf numFmtId="172" fontId="15" fillId="11" borderId="19" xfId="2" applyNumberFormat="1" applyFont="1" applyFill="1" applyBorder="1" applyAlignment="1" applyProtection="1">
      <alignment vertical="center" wrapText="1"/>
    </xf>
    <xf numFmtId="172" fontId="4" fillId="15" borderId="15" xfId="2" applyNumberFormat="1" applyFont="1" applyFill="1" applyBorder="1" applyAlignment="1" applyProtection="1">
      <alignment vertical="center" wrapText="1"/>
    </xf>
    <xf numFmtId="172" fontId="4" fillId="11" borderId="9" xfId="2" applyNumberFormat="1" applyFont="1" applyFill="1" applyBorder="1" applyAlignment="1" applyProtection="1">
      <alignment vertical="center" wrapText="1"/>
    </xf>
    <xf numFmtId="0" fontId="26" fillId="0" borderId="66" xfId="0" applyFont="1" applyBorder="1" applyAlignment="1">
      <alignment horizontal="left"/>
    </xf>
    <xf numFmtId="1" fontId="27" fillId="0" borderId="11" xfId="0" applyNumberFormat="1" applyFont="1" applyBorder="1" applyAlignment="1">
      <alignment horizontal="center" vertical="center"/>
    </xf>
    <xf numFmtId="175" fontId="27" fillId="0" borderId="11" xfId="0" applyNumberFormat="1" applyFont="1" applyBorder="1" applyAlignment="1">
      <alignment horizontal="center" vertical="center"/>
    </xf>
    <xf numFmtId="165" fontId="27" fillId="0" borderId="11" xfId="0" applyNumberFormat="1" applyFont="1" applyBorder="1" applyAlignment="1">
      <alignment horizontal="center" vertical="center"/>
    </xf>
    <xf numFmtId="0" fontId="7" fillId="16" borderId="20" xfId="0" applyFont="1" applyFill="1" applyBorder="1" applyAlignment="1">
      <alignment horizontal="center"/>
    </xf>
    <xf numFmtId="0" fontId="35" fillId="17" borderId="20" xfId="0" applyFont="1" applyFill="1" applyBorder="1" applyAlignment="1">
      <alignment horizontal="center"/>
    </xf>
    <xf numFmtId="175" fontId="35" fillId="17" borderId="20" xfId="0" applyNumberFormat="1" applyFont="1" applyFill="1" applyBorder="1" applyAlignment="1">
      <alignment horizontal="center"/>
    </xf>
    <xf numFmtId="9" fontId="35" fillId="17" borderId="20" xfId="1" applyFont="1" applyFill="1" applyBorder="1" applyAlignment="1" applyProtection="1">
      <alignment horizontal="center"/>
    </xf>
    <xf numFmtId="0" fontId="7" fillId="16" borderId="20" xfId="0" applyFont="1" applyFill="1" applyBorder="1" applyAlignment="1">
      <alignment horizontal="center" vertical="center"/>
    </xf>
    <xf numFmtId="0" fontId="35" fillId="17" borderId="20" xfId="0" applyFont="1" applyFill="1" applyBorder="1" applyAlignment="1">
      <alignment horizontal="center" vertical="center"/>
    </xf>
    <xf numFmtId="0" fontId="29" fillId="10" borderId="0" xfId="0" applyFont="1" applyFill="1" applyAlignment="1">
      <alignment vertical="top" wrapText="1"/>
    </xf>
    <xf numFmtId="0" fontId="7" fillId="16" borderId="24" xfId="0" applyFont="1" applyFill="1" applyBorder="1" applyAlignment="1">
      <alignment horizontal="center" vertical="center"/>
    </xf>
    <xf numFmtId="165" fontId="35" fillId="17" borderId="20" xfId="0" applyNumberFormat="1" applyFont="1" applyFill="1" applyBorder="1" applyAlignment="1">
      <alignment horizontal="center"/>
    </xf>
    <xf numFmtId="172" fontId="15" fillId="0" borderId="12" xfId="2" applyNumberFormat="1" applyFont="1" applyBorder="1" applyAlignment="1" applyProtection="1">
      <alignment vertical="center" wrapText="1"/>
      <protection locked="0"/>
    </xf>
    <xf numFmtId="0" fontId="1" fillId="2" borderId="11" xfId="0" applyFont="1" applyFill="1" applyBorder="1" applyAlignment="1">
      <alignment vertical="center"/>
    </xf>
    <xf numFmtId="0" fontId="1" fillId="2" borderId="11" xfId="0" applyFont="1" applyFill="1" applyBorder="1" applyAlignment="1">
      <alignment horizontal="left" vertical="center"/>
    </xf>
    <xf numFmtId="0" fontId="0" fillId="2" borderId="11" xfId="0" applyFill="1" applyBorder="1" applyAlignment="1">
      <alignment vertical="center" wrapText="1"/>
    </xf>
    <xf numFmtId="0" fontId="5" fillId="2" borderId="11" xfId="0" applyFont="1" applyFill="1" applyBorder="1" applyAlignment="1">
      <alignment horizontal="left" vertical="center" wrapText="1"/>
    </xf>
    <xf numFmtId="0" fontId="6" fillId="2" borderId="11" xfId="0" applyFont="1" applyFill="1" applyBorder="1" applyAlignment="1">
      <alignment vertical="center"/>
    </xf>
    <xf numFmtId="0" fontId="6" fillId="2" borderId="11" xfId="0" applyFont="1" applyFill="1" applyBorder="1" applyAlignment="1">
      <alignment horizontal="left" vertical="center"/>
    </xf>
    <xf numFmtId="0" fontId="4" fillId="2" borderId="11" xfId="0" applyFont="1" applyFill="1" applyBorder="1"/>
    <xf numFmtId="0" fontId="4" fillId="5" borderId="11" xfId="0" applyFont="1" applyFill="1" applyBorder="1" applyAlignment="1">
      <alignment horizontal="center"/>
    </xf>
    <xf numFmtId="0" fontId="15" fillId="2" borderId="11" xfId="0" applyFont="1" applyFill="1" applyBorder="1"/>
    <xf numFmtId="9" fontId="0" fillId="2" borderId="11" xfId="0" applyNumberFormat="1" applyFill="1" applyBorder="1"/>
    <xf numFmtId="0" fontId="0" fillId="5" borderId="11" xfId="0" applyFill="1" applyBorder="1" applyAlignment="1">
      <alignment horizontal="center"/>
    </xf>
    <xf numFmtId="10" fontId="0" fillId="2" borderId="11" xfId="0" applyNumberFormat="1" applyFill="1" applyBorder="1"/>
    <xf numFmtId="10" fontId="4" fillId="2" borderId="11" xfId="0" applyNumberFormat="1" applyFont="1" applyFill="1" applyBorder="1"/>
    <xf numFmtId="169" fontId="0" fillId="2" borderId="11" xfId="0" applyNumberFormat="1" applyFill="1" applyBorder="1"/>
    <xf numFmtId="170" fontId="8" fillId="2" borderId="11" xfId="0" applyNumberFormat="1" applyFont="1" applyFill="1" applyBorder="1"/>
    <xf numFmtId="169" fontId="9" fillId="2" borderId="11" xfId="0" applyNumberFormat="1" applyFont="1" applyFill="1" applyBorder="1"/>
    <xf numFmtId="3" fontId="0" fillId="2" borderId="11" xfId="0" applyNumberFormat="1" applyFill="1" applyBorder="1"/>
    <xf numFmtId="171" fontId="0" fillId="2" borderId="11" xfId="0" applyNumberFormat="1" applyFill="1" applyBorder="1"/>
    <xf numFmtId="171" fontId="7" fillId="2" borderId="11" xfId="0" applyNumberFormat="1" applyFont="1" applyFill="1" applyBorder="1" applyAlignment="1">
      <alignment horizontal="left"/>
    </xf>
    <xf numFmtId="171" fontId="8" fillId="2" borderId="11" xfId="0" applyNumberFormat="1" applyFont="1" applyFill="1" applyBorder="1"/>
    <xf numFmtId="0" fontId="8" fillId="2" borderId="11" xfId="0" applyFont="1" applyFill="1" applyBorder="1"/>
    <xf numFmtId="0" fontId="2" fillId="0" borderId="11" xfId="0" applyFont="1" applyBorder="1" applyProtection="1">
      <protection locked="0"/>
    </xf>
    <xf numFmtId="0" fontId="4" fillId="0" borderId="86" xfId="0" applyFont="1" applyBorder="1" applyAlignment="1">
      <alignment horizontal="center"/>
    </xf>
    <xf numFmtId="169" fontId="0" fillId="0" borderId="87" xfId="0" applyNumberFormat="1" applyBorder="1"/>
    <xf numFmtId="169" fontId="4" fillId="0" borderId="88" xfId="0" applyNumberFormat="1" applyFont="1" applyBorder="1"/>
    <xf numFmtId="169" fontId="0" fillId="0" borderId="5" xfId="0" applyNumberFormat="1" applyBorder="1" applyProtection="1">
      <protection locked="0"/>
    </xf>
    <xf numFmtId="0" fontId="0" fillId="0" borderId="5" xfId="0" applyBorder="1" applyAlignment="1" applyProtection="1">
      <alignment horizontal="center"/>
      <protection locked="0"/>
    </xf>
    <xf numFmtId="0" fontId="24" fillId="2" borderId="11" xfId="0" applyFont="1" applyFill="1" applyBorder="1" applyProtection="1">
      <protection locked="0"/>
    </xf>
    <xf numFmtId="0" fontId="21" fillId="0" borderId="20" xfId="0" applyFont="1" applyBorder="1" applyProtection="1">
      <protection locked="0"/>
    </xf>
    <xf numFmtId="0" fontId="5" fillId="0" borderId="12" xfId="0" applyFont="1" applyBorder="1" applyAlignment="1" applyProtection="1">
      <alignment horizontal="left" vertical="center" wrapText="1"/>
      <protection locked="0"/>
    </xf>
    <xf numFmtId="0" fontId="5" fillId="0" borderId="5" xfId="0" applyFont="1" applyBorder="1" applyAlignment="1" applyProtection="1">
      <alignment horizontal="left" vertical="center" wrapText="1"/>
      <protection locked="0"/>
    </xf>
    <xf numFmtId="49" fontId="5" fillId="0" borderId="5" xfId="0" applyNumberFormat="1" applyFont="1" applyBorder="1" applyAlignment="1" applyProtection="1">
      <alignment horizontal="left" vertical="center" wrapText="1"/>
      <protection locked="0"/>
    </xf>
    <xf numFmtId="168" fontId="5" fillId="0" borderId="5" xfId="0" applyNumberFormat="1" applyFont="1" applyBorder="1" applyAlignment="1" applyProtection="1">
      <alignment horizontal="left" vertical="center" wrapText="1"/>
      <protection locked="0"/>
    </xf>
    <xf numFmtId="0" fontId="2" fillId="0" borderId="75" xfId="0" applyFont="1" applyBorder="1" applyAlignment="1" applyProtection="1">
      <alignment horizontal="center" vertical="center"/>
      <protection locked="0"/>
    </xf>
    <xf numFmtId="0" fontId="2" fillId="0" borderId="72" xfId="0" applyFont="1" applyBorder="1" applyAlignment="1" applyProtection="1">
      <alignment horizontal="center" vertical="center"/>
      <protection locked="0"/>
    </xf>
    <xf numFmtId="0" fontId="2" fillId="0" borderId="57" xfId="0" applyFont="1" applyBorder="1" applyAlignment="1" applyProtection="1">
      <alignment horizontal="center" vertical="center"/>
      <protection locked="0"/>
    </xf>
    <xf numFmtId="0" fontId="2" fillId="0" borderId="76" xfId="0" applyFont="1" applyBorder="1" applyAlignment="1" applyProtection="1">
      <alignment horizontal="center" vertical="center"/>
      <protection locked="0"/>
    </xf>
    <xf numFmtId="0" fontId="2" fillId="0" borderId="73" xfId="0" applyFont="1" applyBorder="1" applyAlignment="1" applyProtection="1">
      <alignment horizontal="center" vertical="center"/>
      <protection locked="0"/>
    </xf>
    <xf numFmtId="0" fontId="2" fillId="0" borderId="63" xfId="0" applyFont="1" applyBorder="1" applyAlignment="1" applyProtection="1">
      <alignment horizontal="center" vertical="center"/>
      <protection locked="0"/>
    </xf>
    <xf numFmtId="0" fontId="26" fillId="0" borderId="70" xfId="0" applyFont="1" applyBorder="1" applyAlignment="1">
      <alignment horizontal="center"/>
    </xf>
    <xf numFmtId="0" fontId="26" fillId="0" borderId="37" xfId="0" applyFont="1" applyBorder="1" applyAlignment="1">
      <alignment horizontal="left"/>
    </xf>
    <xf numFmtId="0" fontId="26" fillId="13" borderId="89" xfId="0" applyFont="1" applyFill="1" applyBorder="1" applyAlignment="1" applyProtection="1">
      <alignment horizontal="center" vertical="center"/>
      <protection locked="0"/>
    </xf>
    <xf numFmtId="0" fontId="26" fillId="13" borderId="90" xfId="0" applyFont="1" applyFill="1" applyBorder="1" applyAlignment="1" applyProtection="1">
      <alignment horizontal="center" vertical="center"/>
      <protection locked="0"/>
    </xf>
    <xf numFmtId="0" fontId="26" fillId="13" borderId="91" xfId="0" applyFont="1" applyFill="1" applyBorder="1" applyAlignment="1" applyProtection="1">
      <alignment horizontal="center" vertical="center"/>
      <protection locked="0"/>
    </xf>
    <xf numFmtId="0" fontId="26" fillId="12" borderId="32" xfId="0" applyFont="1" applyFill="1" applyBorder="1" applyAlignment="1">
      <alignment horizontal="left"/>
    </xf>
    <xf numFmtId="0" fontId="26" fillId="12" borderId="92" xfId="0" applyFont="1" applyFill="1" applyBorder="1" applyAlignment="1">
      <alignment horizontal="center" vertical="center"/>
    </xf>
    <xf numFmtId="175" fontId="2" fillId="0" borderId="72" xfId="0" applyNumberFormat="1" applyFont="1" applyBorder="1" applyAlignment="1" applyProtection="1">
      <alignment horizontal="center" vertical="center"/>
      <protection locked="0"/>
    </xf>
    <xf numFmtId="0" fontId="26" fillId="12" borderId="93" xfId="0" applyFont="1" applyFill="1" applyBorder="1" applyAlignment="1">
      <alignment horizontal="center" vertical="center"/>
    </xf>
    <xf numFmtId="175" fontId="2" fillId="0" borderId="68" xfId="0" applyNumberFormat="1" applyFont="1" applyBorder="1" applyAlignment="1" applyProtection="1">
      <alignment horizontal="center" vertical="center"/>
      <protection locked="0"/>
    </xf>
    <xf numFmtId="0" fontId="26" fillId="10" borderId="29" xfId="0" applyFont="1" applyFill="1" applyBorder="1"/>
    <xf numFmtId="175" fontId="2" fillId="0" borderId="73" xfId="0" applyNumberFormat="1" applyFont="1" applyBorder="1" applyAlignment="1" applyProtection="1">
      <alignment horizontal="center" vertical="center"/>
      <protection locked="0"/>
    </xf>
    <xf numFmtId="175" fontId="2" fillId="0" borderId="69" xfId="0" applyNumberFormat="1" applyFont="1" applyBorder="1" applyAlignment="1" applyProtection="1">
      <alignment horizontal="center" vertical="center"/>
      <protection locked="0"/>
    </xf>
    <xf numFmtId="0" fontId="26" fillId="12" borderId="67" xfId="0" applyFont="1" applyFill="1" applyBorder="1" applyAlignment="1">
      <alignment horizontal="center" vertical="center"/>
    </xf>
    <xf numFmtId="175" fontId="2" fillId="18" borderId="72" xfId="0" applyNumberFormat="1" applyFont="1" applyFill="1" applyBorder="1" applyAlignment="1" applyProtection="1">
      <alignment horizontal="center" vertical="center"/>
      <protection locked="0"/>
    </xf>
    <xf numFmtId="175" fontId="2" fillId="18" borderId="68" xfId="0" applyNumberFormat="1" applyFont="1" applyFill="1" applyBorder="1" applyAlignment="1" applyProtection="1">
      <alignment horizontal="center" vertical="center"/>
      <protection locked="0"/>
    </xf>
    <xf numFmtId="0" fontId="26" fillId="0" borderId="94" xfId="0" applyFont="1" applyBorder="1" applyAlignment="1">
      <alignment horizontal="center"/>
    </xf>
    <xf numFmtId="0" fontId="1" fillId="0" borderId="0" xfId="0" applyFont="1" applyAlignment="1">
      <alignment vertical="center"/>
    </xf>
    <xf numFmtId="0" fontId="16" fillId="2" borderId="11" xfId="0" applyFont="1" applyFill="1" applyBorder="1"/>
    <xf numFmtId="0" fontId="5" fillId="2" borderId="11" xfId="0" applyFont="1" applyFill="1" applyBorder="1" applyAlignment="1">
      <alignment vertical="center" wrapText="1"/>
    </xf>
    <xf numFmtId="0" fontId="15" fillId="2" borderId="11" xfId="0" applyFont="1" applyFill="1" applyBorder="1" applyAlignment="1">
      <alignment vertical="center" wrapText="1"/>
    </xf>
    <xf numFmtId="0" fontId="3" fillId="2" borderId="7"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0" fillId="2" borderId="25" xfId="0" applyFont="1" applyFill="1" applyBorder="1" applyAlignment="1">
      <alignment vertical="center" wrapText="1"/>
    </xf>
    <xf numFmtId="0" fontId="20" fillId="2" borderId="11" xfId="0" applyFont="1" applyFill="1" applyBorder="1" applyAlignment="1">
      <alignment vertical="center" wrapText="1"/>
    </xf>
    <xf numFmtId="0" fontId="15" fillId="2" borderId="11" xfId="0" applyFont="1" applyFill="1" applyBorder="1" applyAlignment="1">
      <alignment horizontal="left" wrapText="1"/>
    </xf>
    <xf numFmtId="0" fontId="4" fillId="14" borderId="6" xfId="0" applyFont="1" applyFill="1" applyBorder="1" applyAlignment="1">
      <alignment vertical="center" wrapText="1"/>
    </xf>
    <xf numFmtId="0" fontId="4" fillId="14" borderId="19" xfId="0" applyFont="1" applyFill="1" applyBorder="1" applyAlignment="1">
      <alignment horizontal="center" vertical="center" wrapText="1"/>
    </xf>
    <xf numFmtId="0" fontId="15" fillId="0" borderId="5" xfId="0" applyFont="1" applyBorder="1" applyAlignment="1">
      <alignment vertical="center" wrapText="1"/>
    </xf>
    <xf numFmtId="0" fontId="15" fillId="0" borderId="16" xfId="0" applyFont="1" applyBorder="1" applyAlignment="1">
      <alignment vertical="center" wrapText="1"/>
    </xf>
    <xf numFmtId="0" fontId="15" fillId="11" borderId="12" xfId="0" applyFont="1" applyFill="1" applyBorder="1" applyAlignment="1">
      <alignment vertical="center" wrapText="1"/>
    </xf>
    <xf numFmtId="0" fontId="15" fillId="11" borderId="17" xfId="0" applyFont="1" applyFill="1" applyBorder="1" applyAlignment="1">
      <alignment vertical="center" wrapText="1"/>
    </xf>
    <xf numFmtId="172" fontId="15" fillId="2" borderId="11" xfId="2" applyNumberFormat="1" applyFont="1" applyFill="1" applyBorder="1" applyAlignment="1" applyProtection="1">
      <alignment vertical="center" wrapText="1"/>
    </xf>
    <xf numFmtId="0" fontId="15" fillId="11" borderId="18" xfId="0" applyFont="1" applyFill="1" applyBorder="1" applyAlignment="1">
      <alignment vertical="center" wrapText="1"/>
    </xf>
    <xf numFmtId="0" fontId="15" fillId="11" borderId="5" xfId="0" applyFont="1" applyFill="1" applyBorder="1" applyAlignment="1">
      <alignment vertical="center" wrapText="1"/>
    </xf>
    <xf numFmtId="172" fontId="15" fillId="11" borderId="5" xfId="2" applyNumberFormat="1" applyFont="1" applyFill="1" applyBorder="1" applyAlignment="1" applyProtection="1">
      <alignment vertical="center" wrapText="1"/>
    </xf>
    <xf numFmtId="0" fontId="15" fillId="11" borderId="19" xfId="0" applyFont="1" applyFill="1" applyBorder="1" applyAlignment="1">
      <alignment vertical="center" wrapText="1"/>
    </xf>
    <xf numFmtId="0" fontId="4" fillId="4" borderId="15" xfId="0" applyFont="1" applyFill="1" applyBorder="1" applyAlignment="1">
      <alignment vertical="center" wrapText="1"/>
    </xf>
    <xf numFmtId="0" fontId="15" fillId="0" borderId="6" xfId="0" applyFont="1" applyBorder="1" applyAlignment="1">
      <alignment vertical="center" wrapText="1"/>
    </xf>
    <xf numFmtId="0" fontId="4" fillId="15" borderId="15" xfId="0" applyFont="1" applyFill="1" applyBorder="1" applyAlignment="1">
      <alignment vertical="center" wrapText="1"/>
    </xf>
    <xf numFmtId="0" fontId="15" fillId="2" borderId="11" xfId="0" applyFont="1" applyFill="1" applyBorder="1" applyAlignment="1">
      <alignment vertical="center"/>
    </xf>
    <xf numFmtId="0" fontId="4" fillId="14" borderId="9" xfId="0" applyFont="1" applyFill="1" applyBorder="1" applyAlignment="1">
      <alignment vertical="center" wrapText="1"/>
    </xf>
    <xf numFmtId="0" fontId="4" fillId="14" borderId="26" xfId="0" applyFont="1" applyFill="1" applyBorder="1" applyAlignment="1">
      <alignment horizontal="center" vertical="center" wrapText="1"/>
    </xf>
    <xf numFmtId="0" fontId="15" fillId="0" borderId="12" xfId="0" applyFont="1" applyBorder="1" applyAlignment="1">
      <alignment vertical="center" wrapText="1"/>
    </xf>
    <xf numFmtId="0" fontId="4" fillId="4" borderId="17" xfId="0" applyFont="1" applyFill="1" applyBorder="1" applyAlignment="1">
      <alignment vertical="center" wrapText="1"/>
    </xf>
    <xf numFmtId="0" fontId="4" fillId="11" borderId="9" xfId="0" applyFont="1" applyFill="1" applyBorder="1" applyAlignment="1">
      <alignment vertical="center" wrapText="1"/>
    </xf>
    <xf numFmtId="0" fontId="4" fillId="4" borderId="19" xfId="0" applyFont="1" applyFill="1" applyBorder="1" applyAlignment="1">
      <alignment vertical="center" wrapText="1"/>
    </xf>
    <xf numFmtId="0" fontId="15" fillId="0" borderId="52" xfId="0" applyFont="1" applyBorder="1"/>
    <xf numFmtId="0" fontId="15" fillId="0" borderId="55" xfId="0" applyFont="1" applyBorder="1"/>
    <xf numFmtId="172" fontId="15" fillId="0" borderId="23" xfId="0" applyNumberFormat="1" applyFont="1" applyBorder="1" applyAlignment="1">
      <alignment horizontal="center"/>
    </xf>
    <xf numFmtId="0" fontId="15" fillId="0" borderId="37" xfId="0" applyFont="1" applyBorder="1"/>
    <xf numFmtId="0" fontId="15" fillId="0" borderId="0" xfId="0" applyFont="1" applyAlignment="1">
      <alignment horizontal="center"/>
    </xf>
    <xf numFmtId="9" fontId="15" fillId="0" borderId="0" xfId="0" applyNumberFormat="1" applyFont="1"/>
    <xf numFmtId="0" fontId="0" fillId="0" borderId="0" xfId="0" applyAlignment="1">
      <alignment vertical="top"/>
    </xf>
    <xf numFmtId="0" fontId="15" fillId="0" borderId="0" xfId="0" applyFont="1" applyAlignment="1">
      <alignment vertical="top"/>
    </xf>
    <xf numFmtId="0" fontId="4" fillId="0" borderId="43" xfId="0" applyFont="1" applyBorder="1" applyAlignment="1">
      <alignment vertical="top"/>
    </xf>
    <xf numFmtId="0" fontId="4" fillId="0" borderId="44" xfId="0" applyFont="1" applyBorder="1" applyAlignment="1">
      <alignment horizontal="center" vertical="top"/>
    </xf>
    <xf numFmtId="0" fontId="4" fillId="0" borderId="45" xfId="0" applyFont="1" applyBorder="1" applyAlignment="1">
      <alignment horizontal="center" vertical="top"/>
    </xf>
    <xf numFmtId="0" fontId="4" fillId="0" borderId="43" xfId="0" applyFont="1" applyBorder="1" applyAlignment="1">
      <alignment horizontal="center" vertical="top"/>
    </xf>
    <xf numFmtId="173" fontId="4" fillId="0" borderId="44" xfId="0" applyNumberFormat="1" applyFont="1" applyBorder="1" applyAlignment="1">
      <alignment horizontal="center" vertical="top"/>
    </xf>
    <xf numFmtId="173" fontId="4" fillId="0" borderId="45" xfId="0" applyNumberFormat="1" applyFont="1" applyBorder="1" applyAlignment="1">
      <alignment horizontal="center" vertical="top"/>
    </xf>
    <xf numFmtId="0" fontId="4" fillId="0" borderId="40" xfId="0" applyFont="1" applyBorder="1" applyAlignment="1">
      <alignment vertical="top"/>
    </xf>
    <xf numFmtId="174" fontId="0" fillId="0" borderId="41" xfId="2" applyNumberFormat="1" applyFont="1" applyBorder="1" applyAlignment="1" applyProtection="1">
      <alignment horizontal="center" vertical="top"/>
    </xf>
    <xf numFmtId="167" fontId="0" fillId="0" borderId="41" xfId="0" applyNumberFormat="1" applyBorder="1" applyAlignment="1">
      <alignment horizontal="center" vertical="top"/>
    </xf>
    <xf numFmtId="174" fontId="0" fillId="0" borderId="41" xfId="0" applyNumberFormat="1" applyBorder="1" applyAlignment="1">
      <alignment horizontal="center" vertical="top"/>
    </xf>
    <xf numFmtId="174" fontId="0" fillId="0" borderId="42" xfId="0" applyNumberFormat="1" applyBorder="1" applyAlignment="1">
      <alignment horizontal="center" vertical="top"/>
    </xf>
    <xf numFmtId="0" fontId="4" fillId="0" borderId="40" xfId="0" applyFont="1" applyBorder="1" applyAlignment="1">
      <alignment horizontal="center" vertical="top"/>
    </xf>
    <xf numFmtId="9" fontId="0" fillId="0" borderId="41" xfId="0" applyNumberFormat="1" applyBorder="1" applyAlignment="1">
      <alignment horizontal="center" vertical="top"/>
    </xf>
    <xf numFmtId="9" fontId="0" fillId="0" borderId="42" xfId="0" applyNumberFormat="1" applyBorder="1" applyAlignment="1">
      <alignment horizontal="center" vertical="top"/>
    </xf>
    <xf numFmtId="9" fontId="0" fillId="0" borderId="0" xfId="0" applyNumberFormat="1" applyAlignment="1">
      <alignment vertical="top"/>
    </xf>
    <xf numFmtId="0" fontId="4" fillId="0" borderId="27" xfId="0" applyFont="1" applyBorder="1" applyAlignment="1">
      <alignment vertical="top"/>
    </xf>
    <xf numFmtId="166" fontId="0" fillId="0" borderId="20" xfId="3" applyFont="1" applyBorder="1" applyAlignment="1" applyProtection="1">
      <alignment horizontal="center" vertical="top"/>
    </xf>
    <xf numFmtId="167" fontId="0" fillId="0" borderId="20" xfId="0" applyNumberFormat="1" applyBorder="1" applyAlignment="1">
      <alignment horizontal="center" vertical="top"/>
    </xf>
    <xf numFmtId="174" fontId="0" fillId="0" borderId="20" xfId="0" applyNumberFormat="1" applyBorder="1" applyAlignment="1">
      <alignment horizontal="center" vertical="top"/>
    </xf>
    <xf numFmtId="174" fontId="0" fillId="0" borderId="28" xfId="0" applyNumberFormat="1" applyBorder="1" applyAlignment="1">
      <alignment horizontal="center" vertical="top"/>
    </xf>
    <xf numFmtId="0" fontId="4" fillId="0" borderId="27" xfId="0" applyFont="1" applyBorder="1" applyAlignment="1">
      <alignment horizontal="center" vertical="top"/>
    </xf>
    <xf numFmtId="9" fontId="0" fillId="0" borderId="20" xfId="1" applyFont="1" applyBorder="1" applyAlignment="1" applyProtection="1">
      <alignment horizontal="center" vertical="top"/>
    </xf>
    <xf numFmtId="9" fontId="0" fillId="0" borderId="28" xfId="1" applyFont="1" applyBorder="1" applyAlignment="1" applyProtection="1">
      <alignment horizontal="center" vertical="top"/>
    </xf>
    <xf numFmtId="166" fontId="0" fillId="0" borderId="20" xfId="0" applyNumberFormat="1" applyBorder="1" applyAlignment="1">
      <alignment horizontal="center" vertical="top"/>
    </xf>
    <xf numFmtId="9" fontId="0" fillId="0" borderId="28" xfId="0" applyNumberFormat="1" applyBorder="1" applyAlignment="1">
      <alignment horizontal="center" vertical="top"/>
    </xf>
    <xf numFmtId="9" fontId="0" fillId="0" borderId="20" xfId="0" applyNumberFormat="1" applyBorder="1" applyAlignment="1">
      <alignment horizontal="center" vertical="top"/>
    </xf>
    <xf numFmtId="0" fontId="4" fillId="0" borderId="29" xfId="0" applyFont="1" applyBorder="1" applyAlignment="1">
      <alignment vertical="top"/>
    </xf>
    <xf numFmtId="166" fontId="0" fillId="0" borderId="30" xfId="3" applyFont="1" applyBorder="1" applyAlignment="1" applyProtection="1">
      <alignment horizontal="center" vertical="top"/>
    </xf>
    <xf numFmtId="167" fontId="0" fillId="0" borderId="30" xfId="0" applyNumberFormat="1" applyBorder="1" applyAlignment="1">
      <alignment horizontal="center" vertical="top"/>
    </xf>
    <xf numFmtId="166" fontId="0" fillId="0" borderId="30" xfId="0" applyNumberFormat="1" applyBorder="1" applyAlignment="1">
      <alignment horizontal="center" vertical="top"/>
    </xf>
    <xf numFmtId="174" fontId="0" fillId="0" borderId="31" xfId="0" applyNumberFormat="1" applyBorder="1" applyAlignment="1">
      <alignment horizontal="center" vertical="top"/>
    </xf>
    <xf numFmtId="174" fontId="0" fillId="0" borderId="0" xfId="0" applyNumberFormat="1" applyAlignment="1">
      <alignment vertical="top"/>
    </xf>
    <xf numFmtId="166" fontId="0" fillId="0" borderId="0" xfId="0" applyNumberFormat="1" applyAlignment="1">
      <alignment vertical="top"/>
    </xf>
    <xf numFmtId="0" fontId="4" fillId="0" borderId="29" xfId="0" applyFont="1" applyBorder="1" applyAlignment="1">
      <alignment horizontal="center" vertical="top"/>
    </xf>
    <xf numFmtId="9" fontId="0" fillId="0" borderId="30" xfId="1" applyFont="1" applyBorder="1" applyAlignment="1" applyProtection="1">
      <alignment horizontal="center" vertical="top"/>
    </xf>
    <xf numFmtId="9" fontId="0" fillId="0" borderId="30" xfId="0" applyNumberFormat="1" applyBorder="1" applyAlignment="1">
      <alignment horizontal="center" vertical="top"/>
    </xf>
    <xf numFmtId="9" fontId="0" fillId="0" borderId="31" xfId="0" applyNumberFormat="1" applyBorder="1" applyAlignment="1">
      <alignment horizontal="center" vertical="top"/>
    </xf>
    <xf numFmtId="0" fontId="4" fillId="0" borderId="11" xfId="0" applyFont="1" applyBorder="1" applyAlignment="1">
      <alignment horizontal="center" vertical="top"/>
    </xf>
    <xf numFmtId="9" fontId="0" fillId="0" borderId="11" xfId="1" applyFont="1" applyBorder="1" applyAlignment="1" applyProtection="1">
      <alignment horizontal="center" vertical="top"/>
    </xf>
    <xf numFmtId="9" fontId="0" fillId="0" borderId="11" xfId="0" applyNumberFormat="1" applyBorder="1" applyAlignment="1">
      <alignment horizontal="center" vertical="top"/>
    </xf>
    <xf numFmtId="0" fontId="4" fillId="0" borderId="32" xfId="0" applyFont="1" applyBorder="1" applyAlignment="1">
      <alignment vertical="top"/>
    </xf>
    <xf numFmtId="49" fontId="0" fillId="0" borderId="33" xfId="0" applyNumberFormat="1" applyBorder="1" applyAlignment="1">
      <alignment horizontal="right" vertical="top"/>
    </xf>
    <xf numFmtId="0" fontId="0" fillId="0" borderId="34" xfId="0" applyBorder="1" applyAlignment="1">
      <alignment vertical="top"/>
    </xf>
    <xf numFmtId="0" fontId="4" fillId="0" borderId="35" xfId="0" applyFont="1" applyBorder="1" applyAlignment="1">
      <alignment vertical="top"/>
    </xf>
    <xf numFmtId="14" fontId="0" fillId="0" borderId="11" xfId="0" applyNumberFormat="1" applyBorder="1" applyAlignment="1">
      <alignment horizontal="right" vertical="top"/>
    </xf>
    <xf numFmtId="0" fontId="0" fillId="0" borderId="36" xfId="0" applyBorder="1" applyAlignment="1">
      <alignment vertical="top"/>
    </xf>
    <xf numFmtId="0" fontId="0" fillId="0" borderId="11" xfId="0" applyBorder="1" applyAlignment="1">
      <alignment vertical="top"/>
    </xf>
    <xf numFmtId="0" fontId="15" fillId="0" borderId="36" xfId="0" applyFont="1" applyBorder="1" applyAlignment="1">
      <alignment vertical="top"/>
    </xf>
    <xf numFmtId="9" fontId="0" fillId="0" borderId="11" xfId="1" applyFont="1" applyBorder="1" applyAlignment="1" applyProtection="1">
      <alignment vertical="top"/>
    </xf>
    <xf numFmtId="0" fontId="4" fillId="0" borderId="37" xfId="0" applyFont="1" applyBorder="1" applyAlignment="1">
      <alignment vertical="top"/>
    </xf>
    <xf numFmtId="9" fontId="0" fillId="0" borderId="38" xfId="1" applyFont="1" applyBorder="1" applyAlignment="1" applyProtection="1">
      <alignment vertical="top"/>
    </xf>
    <xf numFmtId="0" fontId="0" fillId="0" borderId="39" xfId="0" applyBorder="1" applyAlignment="1">
      <alignment vertical="top"/>
    </xf>
    <xf numFmtId="0" fontId="29" fillId="0" borderId="0" xfId="0" applyFont="1" applyAlignment="1">
      <alignment vertical="top"/>
    </xf>
    <xf numFmtId="0" fontId="4" fillId="0" borderId="44" xfId="0" applyFont="1" applyBorder="1" applyAlignment="1">
      <alignment vertical="top"/>
    </xf>
    <xf numFmtId="0" fontId="4" fillId="0" borderId="45" xfId="0" applyFont="1" applyBorder="1" applyAlignment="1">
      <alignment vertical="top"/>
    </xf>
    <xf numFmtId="167" fontId="0" fillId="0" borderId="41" xfId="2" applyFont="1" applyBorder="1" applyAlignment="1" applyProtection="1">
      <alignment vertical="top"/>
    </xf>
    <xf numFmtId="0" fontId="0" fillId="0" borderId="41" xfId="0" applyBorder="1" applyAlignment="1">
      <alignment vertical="top"/>
    </xf>
    <xf numFmtId="0" fontId="0" fillId="0" borderId="42" xfId="0" applyBorder="1" applyAlignment="1">
      <alignment vertical="top"/>
    </xf>
    <xf numFmtId="167" fontId="15" fillId="0" borderId="20" xfId="2" applyFont="1" applyBorder="1" applyAlignment="1" applyProtection="1">
      <alignment vertical="top"/>
    </xf>
    <xf numFmtId="0" fontId="15" fillId="0" borderId="20" xfId="0" applyFont="1" applyBorder="1" applyAlignment="1">
      <alignment vertical="top"/>
    </xf>
    <xf numFmtId="0" fontId="15" fillId="0" borderId="28" xfId="0" applyFont="1" applyBorder="1" applyAlignment="1">
      <alignment vertical="top"/>
    </xf>
    <xf numFmtId="167" fontId="15" fillId="0" borderId="28" xfId="2" applyFont="1" applyBorder="1" applyAlignment="1" applyProtection="1">
      <alignment vertical="top"/>
    </xf>
    <xf numFmtId="167" fontId="0" fillId="0" borderId="20" xfId="0" applyNumberFormat="1" applyBorder="1" applyAlignment="1">
      <alignment vertical="top"/>
    </xf>
    <xf numFmtId="0" fontId="0" fillId="0" borderId="20" xfId="0" applyBorder="1" applyAlignment="1">
      <alignment vertical="top"/>
    </xf>
    <xf numFmtId="0" fontId="0" fillId="0" borderId="28" xfId="0" applyBorder="1" applyAlignment="1">
      <alignment vertical="top"/>
    </xf>
    <xf numFmtId="167" fontId="4" fillId="0" borderId="27" xfId="2" applyFont="1" applyBorder="1" applyAlignment="1" applyProtection="1">
      <alignment vertical="top"/>
    </xf>
    <xf numFmtId="167" fontId="0" fillId="0" borderId="20" xfId="2" applyFont="1" applyBorder="1" applyAlignment="1" applyProtection="1">
      <alignment vertical="top"/>
    </xf>
    <xf numFmtId="167" fontId="0" fillId="0" borderId="28" xfId="2" applyFont="1" applyBorder="1" applyAlignment="1" applyProtection="1">
      <alignment vertical="top"/>
    </xf>
    <xf numFmtId="167" fontId="4" fillId="0" borderId="27" xfId="2" applyFont="1" applyBorder="1" applyAlignment="1" applyProtection="1">
      <alignment vertical="top" wrapText="1"/>
    </xf>
    <xf numFmtId="167" fontId="4" fillId="0" borderId="29" xfId="2" applyFont="1" applyBorder="1" applyAlignment="1" applyProtection="1">
      <alignment vertical="top"/>
    </xf>
    <xf numFmtId="167" fontId="0" fillId="0" borderId="30" xfId="2" applyFont="1" applyBorder="1" applyAlignment="1" applyProtection="1">
      <alignment vertical="top"/>
    </xf>
    <xf numFmtId="167" fontId="0" fillId="0" borderId="31" xfId="2" applyFont="1" applyBorder="1" applyAlignment="1" applyProtection="1">
      <alignment vertical="top"/>
    </xf>
    <xf numFmtId="167" fontId="0" fillId="0" borderId="0" xfId="0" applyNumberFormat="1" applyAlignment="1">
      <alignment vertical="top"/>
    </xf>
    <xf numFmtId="0" fontId="15" fillId="0" borderId="95" xfId="0" applyFont="1" applyBorder="1" applyAlignment="1">
      <alignment vertical="center" wrapText="1"/>
    </xf>
    <xf numFmtId="172" fontId="15" fillId="0" borderId="95" xfId="2" applyNumberFormat="1" applyFont="1" applyBorder="1" applyAlignment="1" applyProtection="1">
      <alignment vertical="center" wrapText="1"/>
      <protection locked="0"/>
    </xf>
    <xf numFmtId="0" fontId="15" fillId="0" borderId="95" xfId="0" applyFont="1" applyBorder="1" applyAlignment="1" applyProtection="1">
      <alignment vertical="center" wrapText="1"/>
      <protection locked="0"/>
    </xf>
    <xf numFmtId="0" fontId="15" fillId="0" borderId="96" xfId="0" applyFont="1" applyBorder="1" applyAlignment="1">
      <alignment vertical="center" wrapText="1"/>
    </xf>
    <xf numFmtId="172" fontId="15" fillId="0" borderId="96" xfId="2" applyNumberFormat="1" applyFont="1" applyBorder="1" applyAlignment="1" applyProtection="1">
      <alignment vertical="center" wrapText="1"/>
      <protection locked="0"/>
    </xf>
    <xf numFmtId="0" fontId="15" fillId="0" borderId="96" xfId="0" applyFont="1" applyBorder="1" applyAlignment="1" applyProtection="1">
      <alignment vertical="center" wrapText="1"/>
      <protection locked="0"/>
    </xf>
    <xf numFmtId="0" fontId="0" fillId="2" borderId="11" xfId="4" applyFont="1" applyFill="1"/>
    <xf numFmtId="0" fontId="0" fillId="0" borderId="11" xfId="4" applyFont="1"/>
    <xf numFmtId="0" fontId="1" fillId="2" borderId="11" xfId="4" applyFont="1" applyFill="1" applyAlignment="1">
      <alignment vertical="center"/>
    </xf>
    <xf numFmtId="0" fontId="1" fillId="2" borderId="11" xfId="4" applyFont="1" applyFill="1" applyAlignment="1">
      <alignment horizontal="left" vertical="center"/>
    </xf>
    <xf numFmtId="0" fontId="0" fillId="2" borderId="11" xfId="4" applyFont="1" applyFill="1" applyAlignment="1">
      <alignment vertical="center" wrapText="1"/>
    </xf>
    <xf numFmtId="0" fontId="0" fillId="0" borderId="11" xfId="4" applyFont="1" applyAlignment="1">
      <alignment vertical="center" wrapText="1"/>
    </xf>
    <xf numFmtId="0" fontId="5" fillId="2" borderId="11" xfId="4" applyFont="1" applyFill="1" applyAlignment="1">
      <alignment horizontal="left" vertical="center" wrapText="1"/>
    </xf>
    <xf numFmtId="0" fontId="6" fillId="2" borderId="11" xfId="4" applyFont="1" applyFill="1" applyAlignment="1">
      <alignment vertical="center"/>
    </xf>
    <xf numFmtId="0" fontId="6" fillId="2" borderId="11" xfId="4" applyFont="1" applyFill="1" applyAlignment="1">
      <alignment horizontal="left" vertical="center"/>
    </xf>
    <xf numFmtId="0" fontId="4" fillId="0" borderId="5" xfId="4" applyFont="1" applyBorder="1"/>
    <xf numFmtId="169" fontId="0" fillId="0" borderId="5" xfId="4" applyNumberFormat="1" applyFont="1" applyBorder="1" applyProtection="1">
      <protection locked="0"/>
    </xf>
    <xf numFmtId="0" fontId="4" fillId="2" borderId="11" xfId="4" applyFont="1" applyFill="1"/>
    <xf numFmtId="0" fontId="4" fillId="0" borderId="11" xfId="4" applyFont="1" applyAlignment="1">
      <alignment horizontal="center"/>
    </xf>
    <xf numFmtId="0" fontId="4" fillId="5" borderId="11" xfId="4" applyFont="1" applyFill="1" applyAlignment="1">
      <alignment horizontal="center"/>
    </xf>
    <xf numFmtId="0" fontId="15" fillId="2" borderId="11" xfId="4" applyFont="1" applyFill="1"/>
    <xf numFmtId="0" fontId="0" fillId="0" borderId="5" xfId="4" applyFont="1" applyBorder="1" applyAlignment="1" applyProtection="1">
      <alignment horizontal="center"/>
      <protection locked="0"/>
    </xf>
    <xf numFmtId="0" fontId="0" fillId="5" borderId="11" xfId="4" applyFont="1" applyFill="1" applyAlignment="1">
      <alignment horizontal="center"/>
    </xf>
    <xf numFmtId="10" fontId="0" fillId="2" borderId="11" xfId="4" applyNumberFormat="1" applyFont="1" applyFill="1"/>
    <xf numFmtId="0" fontId="7" fillId="2" borderId="11" xfId="4" applyFont="1" applyFill="1"/>
    <xf numFmtId="0" fontId="8" fillId="2" borderId="11" xfId="4" applyFont="1" applyFill="1" applyAlignment="1">
      <alignment horizontal="center"/>
    </xf>
    <xf numFmtId="10" fontId="15" fillId="2" borderId="11" xfId="4" applyNumberFormat="1" applyFont="1" applyFill="1"/>
    <xf numFmtId="170" fontId="0" fillId="2" borderId="11" xfId="4" applyNumberFormat="1" applyFont="1" applyFill="1"/>
    <xf numFmtId="10" fontId="0" fillId="0" borderId="5" xfId="4" applyNumberFormat="1" applyFont="1" applyBorder="1"/>
    <xf numFmtId="169" fontId="0" fillId="0" borderId="5" xfId="4" applyNumberFormat="1" applyFont="1" applyBorder="1"/>
    <xf numFmtId="172" fontId="0" fillId="2" borderId="11" xfId="5" applyNumberFormat="1" applyFont="1" applyFill="1" applyBorder="1"/>
    <xf numFmtId="169" fontId="4" fillId="0" borderId="5" xfId="4" applyNumberFormat="1" applyFont="1" applyBorder="1"/>
    <xf numFmtId="170" fontId="8" fillId="2" borderId="11" xfId="4" applyNumberFormat="1" applyFont="1" applyFill="1"/>
    <xf numFmtId="169" fontId="9" fillId="2" borderId="11" xfId="4" applyNumberFormat="1" applyFont="1" applyFill="1"/>
    <xf numFmtId="0" fontId="0" fillId="0" borderId="12" xfId="4" applyFont="1" applyBorder="1"/>
    <xf numFmtId="0" fontId="4" fillId="0" borderId="12" xfId="4" applyFont="1" applyBorder="1" applyAlignment="1">
      <alignment horizontal="center"/>
    </xf>
    <xf numFmtId="169" fontId="0" fillId="2" borderId="11" xfId="4" applyNumberFormat="1" applyFont="1" applyFill="1"/>
    <xf numFmtId="169" fontId="0" fillId="0" borderId="11" xfId="4" applyNumberFormat="1" applyFont="1"/>
    <xf numFmtId="169" fontId="4" fillId="0" borderId="14" xfId="4" applyNumberFormat="1" applyFont="1" applyBorder="1" applyAlignment="1">
      <alignment horizontal="left"/>
    </xf>
    <xf numFmtId="169" fontId="4" fillId="0" borderId="14" xfId="4" applyNumberFormat="1" applyFont="1" applyBorder="1"/>
    <xf numFmtId="3" fontId="0" fillId="2" borderId="11" xfId="4" applyNumberFormat="1" applyFont="1" applyFill="1"/>
    <xf numFmtId="0" fontId="0" fillId="2" borderId="12" xfId="4" applyFont="1" applyFill="1" applyBorder="1"/>
    <xf numFmtId="0" fontId="4" fillId="2" borderId="12" xfId="4" applyFont="1" applyFill="1" applyBorder="1" applyAlignment="1">
      <alignment horizontal="center"/>
    </xf>
    <xf numFmtId="171" fontId="0" fillId="2" borderId="11" xfId="4" applyNumberFormat="1" applyFont="1" applyFill="1"/>
    <xf numFmtId="171" fontId="4" fillId="2" borderId="5" xfId="4" applyNumberFormat="1" applyFont="1" applyFill="1" applyBorder="1"/>
    <xf numFmtId="171" fontId="0" fillId="2" borderId="5" xfId="4" applyNumberFormat="1" applyFont="1" applyFill="1" applyBorder="1"/>
    <xf numFmtId="171" fontId="0" fillId="0" borderId="5" xfId="4" applyNumberFormat="1" applyFont="1" applyBorder="1"/>
    <xf numFmtId="171" fontId="4" fillId="2" borderId="14" xfId="4" applyNumberFormat="1" applyFont="1" applyFill="1" applyBorder="1"/>
    <xf numFmtId="171" fontId="4" fillId="0" borderId="5" xfId="4" applyNumberFormat="1" applyFont="1" applyBorder="1"/>
    <xf numFmtId="171" fontId="7" fillId="2" borderId="11" xfId="4" applyNumberFormat="1" applyFont="1" applyFill="1" applyAlignment="1">
      <alignment horizontal="left"/>
    </xf>
    <xf numFmtId="171" fontId="8" fillId="2" borderId="11" xfId="4" applyNumberFormat="1" applyFont="1" applyFill="1"/>
    <xf numFmtId="0" fontId="8" fillId="2" borderId="11" xfId="4" applyFont="1" applyFill="1"/>
    <xf numFmtId="0" fontId="8" fillId="0" borderId="11" xfId="4" applyFont="1"/>
    <xf numFmtId="164" fontId="0" fillId="0" borderId="5" xfId="4" applyNumberFormat="1" applyFont="1" applyBorder="1"/>
    <xf numFmtId="169" fontId="8" fillId="0" borderId="11" xfId="4" applyNumberFormat="1" applyFont="1"/>
    <xf numFmtId="164" fontId="4" fillId="0" borderId="15" xfId="4" applyNumberFormat="1" applyFont="1" applyBorder="1"/>
    <xf numFmtId="169" fontId="17" fillId="0" borderId="11" xfId="4" applyNumberFormat="1" applyFont="1"/>
    <xf numFmtId="0" fontId="17" fillId="2" borderId="11" xfId="4" applyFont="1" applyFill="1"/>
    <xf numFmtId="0" fontId="17" fillId="0" borderId="11" xfId="4" applyFont="1"/>
    <xf numFmtId="171" fontId="17" fillId="2" borderId="11" xfId="4" applyNumberFormat="1" applyFont="1" applyFill="1"/>
    <xf numFmtId="169" fontId="4" fillId="0" borderId="11" xfId="4" applyNumberFormat="1" applyFont="1"/>
    <xf numFmtId="169" fontId="4" fillId="9" borderId="11" xfId="4" applyNumberFormat="1" applyFont="1" applyFill="1"/>
    <xf numFmtId="169" fontId="15" fillId="0" borderId="11" xfId="4" applyNumberFormat="1" applyFont="1"/>
    <xf numFmtId="0" fontId="4" fillId="0" borderId="86" xfId="4" applyFont="1" applyBorder="1" applyAlignment="1">
      <alignment horizontal="center"/>
    </xf>
    <xf numFmtId="164" fontId="0" fillId="0" borderId="87" xfId="4" applyNumberFormat="1" applyFont="1" applyBorder="1"/>
    <xf numFmtId="164" fontId="4" fillId="0" borderId="97" xfId="4" applyNumberFormat="1" applyFont="1" applyBorder="1"/>
    <xf numFmtId="0" fontId="4" fillId="0" borderId="20" xfId="4" applyFont="1" applyBorder="1"/>
    <xf numFmtId="169" fontId="0" fillId="0" borderId="20" xfId="4" applyNumberFormat="1" applyFont="1" applyBorder="1" applyProtection="1">
      <protection locked="0"/>
    </xf>
    <xf numFmtId="0" fontId="4" fillId="0" borderId="95" xfId="0" applyFont="1" applyBorder="1"/>
    <xf numFmtId="169" fontId="0" fillId="0" borderId="95" xfId="0" applyNumberFormat="1" applyBorder="1" applyProtection="1">
      <protection locked="0"/>
    </xf>
    <xf numFmtId="169" fontId="0" fillId="0" borderId="95" xfId="0" applyNumberFormat="1" applyBorder="1"/>
    <xf numFmtId="169" fontId="0" fillId="0" borderId="87" xfId="4" applyNumberFormat="1" applyFont="1" applyBorder="1"/>
    <xf numFmtId="169" fontId="4" fillId="0" borderId="88" xfId="4" applyNumberFormat="1" applyFont="1" applyBorder="1"/>
    <xf numFmtId="0" fontId="2" fillId="0" borderId="11" xfId="0" applyFont="1" applyBorder="1"/>
    <xf numFmtId="172" fontId="15" fillId="19" borderId="12" xfId="2" applyNumberFormat="1" applyFont="1" applyFill="1" applyBorder="1" applyAlignment="1" applyProtection="1">
      <alignment vertical="center" wrapText="1"/>
      <protection locked="0"/>
    </xf>
    <xf numFmtId="172" fontId="15" fillId="19" borderId="5" xfId="2" applyNumberFormat="1" applyFont="1" applyFill="1" applyBorder="1" applyAlignment="1" applyProtection="1">
      <alignment vertical="center" wrapText="1"/>
      <protection locked="0"/>
    </xf>
    <xf numFmtId="172" fontId="15" fillId="19" borderId="16" xfId="2" applyNumberFormat="1" applyFont="1" applyFill="1" applyBorder="1" applyAlignment="1" applyProtection="1">
      <alignment vertical="center" wrapText="1"/>
      <protection locked="0"/>
    </xf>
    <xf numFmtId="172" fontId="15" fillId="19" borderId="95" xfId="2" applyNumberFormat="1" applyFont="1" applyFill="1" applyBorder="1" applyAlignment="1" applyProtection="1">
      <alignment vertical="center" wrapText="1"/>
      <protection locked="0"/>
    </xf>
    <xf numFmtId="172" fontId="15" fillId="19" borderId="96" xfId="2" applyNumberFormat="1" applyFont="1" applyFill="1" applyBorder="1" applyAlignment="1" applyProtection="1">
      <alignment vertical="center" wrapText="1"/>
      <protection locked="0"/>
    </xf>
    <xf numFmtId="172" fontId="15" fillId="19" borderId="6" xfId="2" applyNumberFormat="1" applyFont="1" applyFill="1" applyBorder="1" applyAlignment="1" applyProtection="1">
      <alignment vertical="center" wrapText="1"/>
      <protection locked="0"/>
    </xf>
    <xf numFmtId="9" fontId="4" fillId="2" borderId="11" xfId="4" applyNumberFormat="1" applyFont="1" applyFill="1"/>
    <xf numFmtId="10" fontId="4" fillId="2" borderId="11" xfId="4" applyNumberFormat="1" applyFont="1" applyFill="1"/>
    <xf numFmtId="0" fontId="15" fillId="0" borderId="11" xfId="0" applyFont="1" applyBorder="1"/>
    <xf numFmtId="10" fontId="15" fillId="2" borderId="11" xfId="1" applyNumberFormat="1" applyFont="1" applyFill="1" applyBorder="1"/>
    <xf numFmtId="10" fontId="15" fillId="0" borderId="0" xfId="1" applyNumberFormat="1" applyFont="1" applyProtection="1"/>
    <xf numFmtId="10" fontId="0" fillId="0" borderId="0" xfId="0" applyNumberFormat="1" applyAlignment="1">
      <alignment vertical="top"/>
    </xf>
    <xf numFmtId="172" fontId="4" fillId="11" borderId="9" xfId="2" applyNumberFormat="1" applyFont="1" applyFill="1" applyBorder="1" applyAlignment="1" applyProtection="1">
      <alignment vertical="center" wrapText="1"/>
      <protection locked="0"/>
    </xf>
    <xf numFmtId="172" fontId="4" fillId="4" borderId="19" xfId="2" applyNumberFormat="1" applyFont="1" applyFill="1" applyBorder="1" applyAlignment="1" applyProtection="1">
      <alignment vertical="center" wrapText="1"/>
      <protection locked="0"/>
    </xf>
    <xf numFmtId="172" fontId="4" fillId="4" borderId="15" xfId="2" applyNumberFormat="1" applyFont="1" applyFill="1" applyBorder="1" applyAlignment="1" applyProtection="1">
      <alignment vertical="center" wrapText="1"/>
      <protection locked="0"/>
    </xf>
    <xf numFmtId="0" fontId="26" fillId="18" borderId="27" xfId="0" applyFont="1" applyFill="1" applyBorder="1" applyProtection="1">
      <protection locked="0"/>
    </xf>
    <xf numFmtId="0" fontId="4" fillId="0" borderId="44" xfId="0" applyFont="1" applyBorder="1" applyAlignment="1">
      <alignment horizontal="center" vertical="top" wrapText="1"/>
    </xf>
    <xf numFmtId="167" fontId="4" fillId="0" borderId="99" xfId="2" applyFont="1" applyBorder="1" applyAlignment="1" applyProtection="1">
      <alignment vertical="top" wrapText="1"/>
    </xf>
    <xf numFmtId="167" fontId="0" fillId="0" borderId="98" xfId="2" applyFont="1" applyBorder="1" applyAlignment="1" applyProtection="1">
      <alignment vertical="top"/>
    </xf>
    <xf numFmtId="0" fontId="4" fillId="0" borderId="43" xfId="0" applyFont="1" applyBorder="1" applyAlignment="1">
      <alignment vertical="top" wrapText="1"/>
    </xf>
    <xf numFmtId="0" fontId="4" fillId="0" borderId="40" xfId="0" applyFont="1" applyBorder="1" applyAlignment="1">
      <alignment vertical="top" wrapText="1"/>
    </xf>
    <xf numFmtId="0" fontId="4" fillId="0" borderId="27" xfId="0" applyFont="1" applyBorder="1" applyAlignment="1">
      <alignment vertical="top" wrapText="1"/>
    </xf>
    <xf numFmtId="167" fontId="4" fillId="0" borderId="29" xfId="2" applyFont="1" applyBorder="1" applyAlignment="1" applyProtection="1">
      <alignment vertical="top" wrapText="1"/>
    </xf>
    <xf numFmtId="177" fontId="0" fillId="0" borderId="11" xfId="0" applyNumberFormat="1" applyBorder="1" applyAlignment="1">
      <alignment horizontal="right" vertical="top"/>
    </xf>
    <xf numFmtId="0" fontId="4" fillId="2" borderId="22" xfId="0" applyFont="1" applyFill="1" applyBorder="1" applyAlignment="1">
      <alignment horizontal="center"/>
    </xf>
    <xf numFmtId="0" fontId="4" fillId="2" borderId="23" xfId="0" applyFont="1" applyFill="1" applyBorder="1" applyAlignment="1">
      <alignment horizontal="center"/>
    </xf>
    <xf numFmtId="0" fontId="4" fillId="2" borderId="24" xfId="0" applyFont="1" applyFill="1" applyBorder="1" applyAlignment="1">
      <alignment horizontal="center"/>
    </xf>
    <xf numFmtId="0" fontId="4" fillId="0" borderId="23" xfId="0" applyFont="1" applyBorder="1" applyAlignment="1">
      <alignment horizontal="center"/>
    </xf>
    <xf numFmtId="0" fontId="4" fillId="0" borderId="24" xfId="0" applyFont="1" applyBorder="1" applyAlignment="1">
      <alignment horizontal="center"/>
    </xf>
    <xf numFmtId="0" fontId="1" fillId="3" borderId="11" xfId="0" applyFont="1" applyFill="1" applyBorder="1" applyAlignment="1">
      <alignment horizontal="left" vertical="center"/>
    </xf>
    <xf numFmtId="0" fontId="3" fillId="0" borderId="1" xfId="0" applyFont="1" applyBorder="1" applyAlignment="1">
      <alignment horizontal="left" vertical="center" wrapText="1"/>
    </xf>
    <xf numFmtId="0" fontId="3" fillId="0" borderId="25" xfId="0" applyFont="1" applyBorder="1" applyAlignment="1">
      <alignment horizontal="left" vertical="center" wrapText="1"/>
    </xf>
    <xf numFmtId="0" fontId="6" fillId="3" borderId="11" xfId="0" applyFont="1" applyFill="1" applyBorder="1" applyAlignment="1">
      <alignment horizontal="left" vertical="center"/>
    </xf>
    <xf numFmtId="0" fontId="4" fillId="0" borderId="22" xfId="0" applyFont="1" applyBorder="1" applyAlignment="1">
      <alignment horizontal="center" vertical="top"/>
    </xf>
    <xf numFmtId="0" fontId="4" fillId="0" borderId="23" xfId="0" applyFont="1" applyBorder="1" applyAlignment="1">
      <alignment horizontal="center" vertical="top"/>
    </xf>
    <xf numFmtId="0" fontId="4" fillId="0" borderId="24" xfId="0" applyFont="1" applyBorder="1" applyAlignment="1">
      <alignment horizontal="center" vertical="top"/>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38" fillId="0" borderId="23" xfId="7" applyFont="1" applyBorder="1" applyAlignment="1">
      <alignment horizontal="center"/>
    </xf>
    <xf numFmtId="0" fontId="38" fillId="0" borderId="24" xfId="7" applyFont="1" applyBorder="1" applyAlignment="1">
      <alignment horizontal="center"/>
    </xf>
    <xf numFmtId="0" fontId="1" fillId="3" borderId="11" xfId="0" applyFont="1" applyFill="1" applyBorder="1" applyAlignment="1" applyProtection="1">
      <alignment horizontal="left" vertical="center"/>
      <protection locked="0"/>
    </xf>
    <xf numFmtId="0" fontId="32" fillId="3" borderId="11" xfId="0" applyFont="1" applyFill="1" applyBorder="1" applyAlignment="1" applyProtection="1">
      <alignment horizontal="left" vertical="center"/>
      <protection locked="0"/>
    </xf>
    <xf numFmtId="0" fontId="4" fillId="0" borderId="46" xfId="0" applyFont="1" applyBorder="1" applyAlignment="1" applyProtection="1">
      <alignment horizontal="left" vertical="top" wrapText="1"/>
      <protection locked="0"/>
    </xf>
    <xf numFmtId="0" fontId="4" fillId="0" borderId="47" xfId="0" applyFont="1" applyBorder="1" applyAlignment="1" applyProtection="1">
      <alignment horizontal="left" vertical="top" wrapText="1"/>
      <protection locked="0"/>
    </xf>
    <xf numFmtId="0" fontId="4" fillId="0" borderId="48" xfId="0" applyFont="1" applyBorder="1" applyAlignment="1" applyProtection="1">
      <alignment horizontal="left" vertical="top" wrapText="1"/>
      <protection locked="0"/>
    </xf>
    <xf numFmtId="0" fontId="4" fillId="0" borderId="56"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60" xfId="0" applyFont="1" applyBorder="1" applyAlignment="1" applyProtection="1">
      <alignment horizontal="left" vertical="top" wrapText="1"/>
      <protection locked="0"/>
    </xf>
    <xf numFmtId="0" fontId="4" fillId="0" borderId="49" xfId="0" applyFont="1" applyBorder="1" applyAlignment="1" applyProtection="1">
      <alignment horizontal="left" vertical="top" wrapText="1"/>
      <protection locked="0"/>
    </xf>
    <xf numFmtId="0" fontId="4" fillId="0" borderId="50" xfId="0" applyFont="1" applyBorder="1" applyAlignment="1" applyProtection="1">
      <alignment horizontal="left" vertical="top" wrapText="1"/>
      <protection locked="0"/>
    </xf>
    <xf numFmtId="0" fontId="4" fillId="0" borderId="51" xfId="0" applyFont="1" applyBorder="1" applyAlignment="1" applyProtection="1">
      <alignment horizontal="left" vertical="top" wrapText="1"/>
      <protection locked="0"/>
    </xf>
    <xf numFmtId="0" fontId="26" fillId="10" borderId="0" xfId="0" applyFont="1" applyFill="1" applyAlignment="1">
      <alignment horizontal="left" wrapText="1"/>
    </xf>
    <xf numFmtId="0" fontId="15" fillId="0" borderId="1" xfId="0" applyFont="1" applyBorder="1" applyAlignment="1">
      <alignment horizontal="left" vertical="center" wrapText="1"/>
    </xf>
    <xf numFmtId="0" fontId="4" fillId="8" borderId="20" xfId="0" applyFont="1" applyFill="1" applyBorder="1" applyAlignment="1">
      <alignment horizontal="left"/>
    </xf>
    <xf numFmtId="0" fontId="4" fillId="0" borderId="7" xfId="0" applyFont="1" applyBorder="1" applyAlignment="1">
      <alignment horizontal="left"/>
    </xf>
    <xf numFmtId="0" fontId="4" fillId="7" borderId="20" xfId="0" applyFont="1" applyFill="1" applyBorder="1" applyAlignment="1">
      <alignment horizontal="left"/>
    </xf>
    <xf numFmtId="0" fontId="24" fillId="2" borderId="11" xfId="0" applyFont="1" applyFill="1" applyBorder="1" applyAlignment="1">
      <alignment horizontal="center" wrapText="1"/>
    </xf>
    <xf numFmtId="0" fontId="4" fillId="6" borderId="56" xfId="0" applyFont="1" applyFill="1" applyBorder="1" applyAlignment="1">
      <alignment horizontal="left"/>
    </xf>
    <xf numFmtId="0" fontId="4" fillId="6" borderId="11" xfId="0" applyFont="1" applyFill="1" applyBorder="1" applyAlignment="1">
      <alignment horizontal="left"/>
    </xf>
    <xf numFmtId="0" fontId="4" fillId="0" borderId="1" xfId="0" applyFont="1" applyBorder="1" applyAlignment="1">
      <alignment horizontal="left" vertical="top" wrapText="1"/>
    </xf>
    <xf numFmtId="0" fontId="2" fillId="0" borderId="10" xfId="0" applyFont="1" applyBorder="1" applyAlignment="1">
      <alignment vertical="top"/>
    </xf>
    <xf numFmtId="0" fontId="2" fillId="0" borderId="2" xfId="0" applyFont="1" applyBorder="1" applyAlignment="1">
      <alignment vertical="top"/>
    </xf>
    <xf numFmtId="0" fontId="4" fillId="0" borderId="25" xfId="0" applyFont="1" applyBorder="1" applyAlignment="1">
      <alignment horizontal="left" vertical="top" wrapText="1"/>
    </xf>
    <xf numFmtId="0" fontId="2" fillId="0" borderId="11" xfId="0" applyFont="1" applyBorder="1" applyAlignment="1">
      <alignment vertical="top"/>
    </xf>
    <xf numFmtId="0" fontId="2" fillId="0" borderId="85" xfId="0" applyFont="1" applyBorder="1" applyAlignment="1">
      <alignment vertical="top"/>
    </xf>
    <xf numFmtId="0" fontId="2" fillId="0" borderId="3" xfId="0" applyFont="1" applyBorder="1" applyAlignment="1">
      <alignment vertical="top"/>
    </xf>
    <xf numFmtId="0" fontId="2" fillId="0" borderId="13" xfId="0" applyFont="1" applyBorder="1" applyAlignment="1">
      <alignment vertical="top"/>
    </xf>
    <xf numFmtId="0" fontId="2" fillId="0" borderId="4" xfId="0" applyFont="1" applyBorder="1" applyAlignment="1">
      <alignment vertical="top"/>
    </xf>
    <xf numFmtId="0" fontId="29" fillId="0" borderId="11" xfId="0" applyFont="1" applyBorder="1" applyAlignment="1">
      <alignment horizontal="left" vertical="top" wrapText="1"/>
    </xf>
    <xf numFmtId="0" fontId="29" fillId="0" borderId="38" xfId="0" applyFont="1" applyBorder="1" applyAlignment="1">
      <alignment horizontal="left" vertical="top" wrapText="1"/>
    </xf>
    <xf numFmtId="0" fontId="29" fillId="0" borderId="11" xfId="0" applyFont="1" applyBorder="1" applyAlignment="1">
      <alignment horizontal="left" wrapText="1"/>
    </xf>
    <xf numFmtId="0" fontId="29" fillId="0" borderId="38" xfId="0" applyFont="1" applyBorder="1" applyAlignment="1">
      <alignment horizontal="left" wrapText="1"/>
    </xf>
    <xf numFmtId="0" fontId="6" fillId="3" borderId="11" xfId="4" applyFont="1" applyFill="1" applyAlignment="1">
      <alignment horizontal="left" vertical="center"/>
    </xf>
    <xf numFmtId="0" fontId="4" fillId="7" borderId="20" xfId="4" applyFont="1" applyFill="1" applyBorder="1" applyAlignment="1">
      <alignment horizontal="left"/>
    </xf>
    <xf numFmtId="0" fontId="4" fillId="8" borderId="20" xfId="4" applyFont="1" applyFill="1" applyBorder="1" applyAlignment="1">
      <alignment horizontal="left"/>
    </xf>
    <xf numFmtId="0" fontId="1" fillId="3" borderId="11" xfId="4" applyFont="1" applyFill="1" applyAlignment="1">
      <alignment horizontal="left" vertical="center"/>
    </xf>
    <xf numFmtId="0" fontId="15" fillId="0" borderId="1" xfId="4" applyFont="1" applyBorder="1" applyAlignment="1">
      <alignment horizontal="left" vertical="top" wrapText="1"/>
    </xf>
    <xf numFmtId="0" fontId="2" fillId="0" borderId="10" xfId="4" applyFont="1" applyBorder="1" applyAlignment="1">
      <alignment vertical="top"/>
    </xf>
    <xf numFmtId="0" fontId="2" fillId="0" borderId="2" xfId="4" applyFont="1" applyBorder="1" applyAlignment="1">
      <alignment vertical="top"/>
    </xf>
    <xf numFmtId="0" fontId="2" fillId="0" borderId="3" xfId="4" applyFont="1" applyBorder="1" applyAlignment="1">
      <alignment vertical="top"/>
    </xf>
    <xf numFmtId="0" fontId="2" fillId="0" borderId="13" xfId="4" applyFont="1" applyBorder="1" applyAlignment="1">
      <alignment vertical="top"/>
    </xf>
    <xf numFmtId="0" fontId="2" fillId="0" borderId="4" xfId="4" applyFont="1" applyBorder="1" applyAlignment="1">
      <alignment vertical="top"/>
    </xf>
    <xf numFmtId="0" fontId="4" fillId="0" borderId="20" xfId="4" applyFont="1" applyBorder="1" applyAlignment="1">
      <alignment horizontal="left"/>
    </xf>
    <xf numFmtId="0" fontId="24" fillId="2" borderId="11" xfId="4" applyFont="1" applyFill="1" applyAlignment="1">
      <alignment horizontal="center" wrapText="1"/>
    </xf>
    <xf numFmtId="0" fontId="4" fillId="6" borderId="22" xfId="4" applyFont="1" applyFill="1" applyBorder="1" applyAlignment="1">
      <alignment horizontal="left"/>
    </xf>
    <xf numFmtId="0" fontId="4" fillId="6" borderId="23" xfId="4" applyFont="1" applyFill="1" applyBorder="1" applyAlignment="1">
      <alignment horizontal="left"/>
    </xf>
    <xf numFmtId="0" fontId="4" fillId="6" borderId="24" xfId="4" applyFont="1" applyFill="1" applyBorder="1" applyAlignment="1">
      <alignment horizontal="left"/>
    </xf>
    <xf numFmtId="0" fontId="32" fillId="3" borderId="11" xfId="4" applyFont="1" applyFill="1" applyAlignment="1">
      <alignment horizontal="left" vertical="center"/>
    </xf>
    <xf numFmtId="0" fontId="4" fillId="6" borderId="56" xfId="4" applyFont="1" applyFill="1" applyBorder="1" applyAlignment="1">
      <alignment horizontal="left"/>
    </xf>
    <xf numFmtId="0" fontId="4" fillId="6" borderId="11" xfId="4" applyFont="1" applyFill="1" applyAlignment="1">
      <alignment horizontal="left"/>
    </xf>
    <xf numFmtId="0" fontId="15" fillId="0" borderId="1" xfId="4" applyFont="1" applyBorder="1" applyAlignment="1">
      <alignment horizontal="left" vertical="center" wrapText="1"/>
    </xf>
    <xf numFmtId="0" fontId="2" fillId="0" borderId="11" xfId="0" applyFont="1" applyBorder="1" applyAlignment="1"/>
    <xf numFmtId="0" fontId="2" fillId="0" borderId="10" xfId="0" applyFont="1" applyBorder="1" applyAlignment="1"/>
    <xf numFmtId="0" fontId="2" fillId="0" borderId="2" xfId="0" applyFont="1" applyBorder="1" applyAlignment="1"/>
    <xf numFmtId="0" fontId="2" fillId="0" borderId="85" xfId="0" applyFont="1" applyBorder="1" applyAlignment="1"/>
    <xf numFmtId="0" fontId="2" fillId="0" borderId="3" xfId="0" applyFont="1" applyBorder="1" applyAlignment="1"/>
    <xf numFmtId="0" fontId="2" fillId="0" borderId="13" xfId="0" applyFont="1" applyBorder="1" applyAlignment="1"/>
    <xf numFmtId="0" fontId="2" fillId="0" borderId="4" xfId="0" applyFont="1" applyBorder="1" applyAlignment="1"/>
    <xf numFmtId="0" fontId="2" fillId="0" borderId="8" xfId="0" applyFont="1" applyBorder="1" applyAlignment="1"/>
    <xf numFmtId="0" fontId="2" fillId="0" borderId="20" xfId="0" applyFont="1" applyBorder="1" applyAlignment="1"/>
    <xf numFmtId="0" fontId="2" fillId="0" borderId="11" xfId="4" applyFont="1" applyAlignment="1"/>
    <xf numFmtId="0" fontId="2" fillId="0" borderId="20" xfId="4" applyFont="1" applyBorder="1" applyAlignment="1"/>
    <xf numFmtId="0" fontId="2" fillId="0" borderId="10" xfId="4" applyFont="1" applyBorder="1" applyAlignment="1"/>
    <xf numFmtId="0" fontId="2" fillId="0" borderId="2" xfId="4" applyFont="1" applyBorder="1" applyAlignment="1"/>
    <xf numFmtId="0" fontId="2" fillId="0" borderId="3" xfId="4" applyFont="1" applyBorder="1" applyAlignment="1"/>
    <xf numFmtId="0" fontId="2" fillId="0" borderId="13" xfId="4" applyFont="1" applyBorder="1" applyAlignment="1"/>
    <xf numFmtId="0" fontId="2" fillId="0" borderId="4" xfId="4" applyFont="1" applyBorder="1" applyAlignment="1"/>
    <xf numFmtId="0" fontId="34" fillId="0" borderId="11" xfId="4" applyFont="1" applyAlignment="1"/>
  </cellXfs>
  <cellStyles count="8">
    <cellStyle name="Comma" xfId="2" builtinId="3"/>
    <cellStyle name="Comma 2" xfId="5" xr:uid="{97A4C27B-D26C-4981-B710-84CEF2D34457}"/>
    <cellStyle name="Currency" xfId="3" builtinId="4"/>
    <cellStyle name="Hyperlink" xfId="7" builtinId="8"/>
    <cellStyle name="Normal" xfId="0" builtinId="0"/>
    <cellStyle name="Normal 2" xfId="4" xr:uid="{703F14A3-F848-48EB-B998-00D17D2878B8}"/>
    <cellStyle name="Per cent" xfId="1" builtinId="5"/>
    <cellStyle name="Percent 2" xfId="6" xr:uid="{767D6B94-E326-46F5-8534-7A7508B43A45}"/>
  </cellStyles>
  <dxfs count="7">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E1FF"/>
      <color rgb="FFFFFFFF"/>
      <color rgb="FFFFE598"/>
      <color rgb="FFF7E1FF"/>
      <color rgb="FFB800B8"/>
      <color rgb="FF800080"/>
      <color rgb="FFB658CC"/>
      <color rgb="FF792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go.innovateuk.ukri.org/Loan_Finance_Guid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Z1035"/>
  <sheetViews>
    <sheetView showGridLines="0" tabSelected="1" zoomScale="80" zoomScaleNormal="80" workbookViewId="0"/>
  </sheetViews>
  <sheetFormatPr defaultColWidth="12.625" defaultRowHeight="15" customHeight="1"/>
  <cols>
    <col min="1" max="1" width="2.75" style="33" customWidth="1"/>
    <col min="2" max="2" width="35.625" style="33" customWidth="1"/>
    <col min="3" max="3" width="11" style="33" customWidth="1"/>
    <col min="4" max="4" width="11.125" style="33" customWidth="1"/>
    <col min="5" max="10" width="10.5" style="33" customWidth="1"/>
    <col min="11" max="14" width="11.375" style="33" bestFit="1" customWidth="1"/>
    <col min="15" max="15" width="12.125" style="33" customWidth="1"/>
    <col min="16" max="16" width="5.875" style="33" customWidth="1"/>
    <col min="17" max="22" width="9.375" style="33" hidden="1" customWidth="1"/>
    <col min="23" max="26" width="9.375" style="33" customWidth="1"/>
    <col min="27" max="16384" width="12.625" style="33"/>
  </cols>
  <sheetData>
    <row r="1" spans="1:26" ht="6.75" customHeight="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row>
    <row r="2" spans="1:26" ht="32.25" customHeight="1">
      <c r="A2" s="123"/>
      <c r="B2" s="386" t="s">
        <v>0</v>
      </c>
      <c r="C2" s="448"/>
      <c r="D2" s="448"/>
      <c r="E2" s="448"/>
      <c r="F2" s="448"/>
      <c r="G2" s="448"/>
      <c r="H2" s="448"/>
      <c r="I2" s="448"/>
      <c r="J2" s="448"/>
      <c r="K2" s="448"/>
      <c r="L2" s="448"/>
      <c r="M2" s="448"/>
      <c r="N2" s="448"/>
      <c r="O2" s="448"/>
      <c r="P2" s="115"/>
      <c r="Q2" s="171"/>
      <c r="R2" s="171"/>
      <c r="S2" s="171"/>
      <c r="T2" s="171"/>
      <c r="U2" s="171"/>
      <c r="V2" s="171"/>
    </row>
    <row r="3" spans="1:26" ht="6" customHeight="1">
      <c r="A3" s="172"/>
      <c r="B3" s="123"/>
      <c r="C3" s="123"/>
      <c r="D3" s="123"/>
      <c r="E3" s="123"/>
      <c r="F3" s="123"/>
      <c r="G3" s="123"/>
      <c r="H3" s="123"/>
      <c r="I3" s="123"/>
      <c r="J3" s="123"/>
      <c r="K3" s="123"/>
      <c r="L3" s="123"/>
      <c r="M3" s="123"/>
      <c r="N3" s="123"/>
      <c r="O3" s="123"/>
      <c r="P3" s="123"/>
      <c r="Q3" s="123"/>
      <c r="R3" s="123"/>
      <c r="S3" s="123"/>
      <c r="T3" s="123"/>
      <c r="U3" s="123"/>
      <c r="V3" s="123"/>
      <c r="W3" s="123"/>
      <c r="X3" s="123"/>
      <c r="Y3" s="123"/>
      <c r="Z3" s="123"/>
    </row>
    <row r="4" spans="1:26" ht="14.1">
      <c r="A4" s="123"/>
      <c r="B4" s="387" t="s">
        <v>1</v>
      </c>
      <c r="C4" s="449"/>
      <c r="D4" s="449"/>
      <c r="E4" s="449"/>
      <c r="F4" s="449"/>
      <c r="G4" s="449"/>
      <c r="H4" s="449"/>
      <c r="I4" s="449"/>
      <c r="J4" s="449"/>
      <c r="K4" s="449"/>
      <c r="L4" s="449"/>
      <c r="M4" s="449"/>
      <c r="N4" s="449"/>
      <c r="O4" s="450"/>
      <c r="P4" s="123"/>
    </row>
    <row r="5" spans="1:26" ht="14.1">
      <c r="A5" s="123"/>
      <c r="B5" s="388"/>
      <c r="C5" s="448"/>
      <c r="D5" s="448"/>
      <c r="E5" s="448"/>
      <c r="F5" s="448"/>
      <c r="G5" s="448"/>
      <c r="H5" s="448"/>
      <c r="I5" s="448"/>
      <c r="J5" s="448"/>
      <c r="K5" s="448"/>
      <c r="L5" s="448"/>
      <c r="M5" s="448"/>
      <c r="N5" s="448"/>
      <c r="O5" s="451"/>
      <c r="P5" s="123"/>
    </row>
    <row r="6" spans="1:26" ht="14.1">
      <c r="A6" s="123"/>
      <c r="B6" s="388"/>
      <c r="C6" s="448"/>
      <c r="D6" s="448"/>
      <c r="E6" s="448"/>
      <c r="F6" s="448"/>
      <c r="G6" s="448"/>
      <c r="H6" s="448"/>
      <c r="I6" s="448"/>
      <c r="J6" s="448"/>
      <c r="K6" s="448"/>
      <c r="L6" s="448"/>
      <c r="M6" s="448"/>
      <c r="N6" s="448"/>
      <c r="O6" s="451"/>
      <c r="P6" s="123"/>
    </row>
    <row r="7" spans="1:26" ht="14.1">
      <c r="A7" s="123"/>
      <c r="B7" s="388"/>
      <c r="C7" s="448"/>
      <c r="D7" s="448"/>
      <c r="E7" s="448"/>
      <c r="F7" s="448"/>
      <c r="G7" s="448"/>
      <c r="H7" s="448"/>
      <c r="I7" s="448"/>
      <c r="J7" s="448"/>
      <c r="K7" s="448"/>
      <c r="L7" s="448"/>
      <c r="M7" s="448"/>
      <c r="N7" s="448"/>
      <c r="O7" s="451"/>
      <c r="P7" s="123"/>
    </row>
    <row r="8" spans="1:26" ht="14.1">
      <c r="A8" s="123"/>
      <c r="B8" s="388"/>
      <c r="C8" s="448"/>
      <c r="D8" s="448"/>
      <c r="E8" s="448"/>
      <c r="F8" s="448"/>
      <c r="G8" s="448"/>
      <c r="H8" s="448"/>
      <c r="I8" s="448"/>
      <c r="J8" s="448"/>
      <c r="K8" s="448"/>
      <c r="L8" s="448"/>
      <c r="M8" s="448"/>
      <c r="N8" s="448"/>
      <c r="O8" s="451"/>
      <c r="P8" s="123"/>
    </row>
    <row r="9" spans="1:26" ht="14.1">
      <c r="A9" s="123"/>
      <c r="B9" s="388"/>
      <c r="C9" s="448"/>
      <c r="D9" s="448"/>
      <c r="E9" s="448"/>
      <c r="F9" s="448"/>
      <c r="G9" s="448"/>
      <c r="H9" s="448"/>
      <c r="I9" s="448"/>
      <c r="J9" s="448"/>
      <c r="K9" s="448"/>
      <c r="L9" s="448"/>
      <c r="M9" s="448"/>
      <c r="N9" s="448"/>
      <c r="O9" s="451"/>
      <c r="P9" s="123"/>
    </row>
    <row r="10" spans="1:26" ht="14.1">
      <c r="A10" s="123"/>
      <c r="B10" s="388"/>
      <c r="C10" s="448"/>
      <c r="D10" s="448"/>
      <c r="E10" s="448"/>
      <c r="F10" s="448"/>
      <c r="G10" s="448"/>
      <c r="H10" s="448"/>
      <c r="I10" s="448"/>
      <c r="J10" s="448"/>
      <c r="K10" s="448"/>
      <c r="L10" s="448"/>
      <c r="M10" s="448"/>
      <c r="N10" s="448"/>
      <c r="O10" s="451"/>
      <c r="P10" s="123"/>
    </row>
    <row r="11" spans="1:26" ht="14.1">
      <c r="A11" s="123"/>
      <c r="B11" s="388"/>
      <c r="C11" s="448"/>
      <c r="D11" s="448"/>
      <c r="E11" s="448"/>
      <c r="F11" s="448"/>
      <c r="G11" s="448"/>
      <c r="H11" s="448"/>
      <c r="I11" s="448"/>
      <c r="J11" s="448"/>
      <c r="K11" s="448"/>
      <c r="L11" s="448"/>
      <c r="M11" s="448"/>
      <c r="N11" s="448"/>
      <c r="O11" s="451"/>
      <c r="P11" s="123"/>
    </row>
    <row r="12" spans="1:26" ht="14.1">
      <c r="A12" s="123"/>
      <c r="B12" s="388"/>
      <c r="C12" s="448"/>
      <c r="D12" s="448"/>
      <c r="E12" s="448"/>
      <c r="F12" s="448"/>
      <c r="G12" s="448"/>
      <c r="H12" s="448"/>
      <c r="I12" s="448"/>
      <c r="J12" s="448"/>
      <c r="K12" s="448"/>
      <c r="L12" s="448"/>
      <c r="M12" s="448"/>
      <c r="N12" s="448"/>
      <c r="O12" s="451"/>
      <c r="P12" s="123"/>
    </row>
    <row r="13" spans="1:26" ht="14.1">
      <c r="A13" s="123"/>
      <c r="B13" s="388"/>
      <c r="C13" s="448"/>
      <c r="D13" s="448"/>
      <c r="E13" s="448"/>
      <c r="F13" s="448"/>
      <c r="G13" s="448"/>
      <c r="H13" s="448"/>
      <c r="I13" s="448"/>
      <c r="J13" s="448"/>
      <c r="K13" s="448"/>
      <c r="L13" s="448"/>
      <c r="M13" s="448"/>
      <c r="N13" s="448"/>
      <c r="O13" s="451"/>
      <c r="P13" s="123"/>
    </row>
    <row r="14" spans="1:26" ht="14.1">
      <c r="A14" s="123"/>
      <c r="B14" s="388"/>
      <c r="C14" s="448"/>
      <c r="D14" s="448"/>
      <c r="E14" s="448"/>
      <c r="F14" s="448"/>
      <c r="G14" s="448"/>
      <c r="H14" s="448"/>
      <c r="I14" s="448"/>
      <c r="J14" s="448"/>
      <c r="K14" s="448"/>
      <c r="L14" s="448"/>
      <c r="M14" s="448"/>
      <c r="N14" s="448"/>
      <c r="O14" s="451"/>
      <c r="P14" s="123"/>
    </row>
    <row r="15" spans="1:26" ht="18.95" customHeight="1">
      <c r="A15" s="173"/>
      <c r="B15" s="452"/>
      <c r="C15" s="453"/>
      <c r="D15" s="453"/>
      <c r="E15" s="448"/>
      <c r="F15" s="448"/>
      <c r="G15" s="448"/>
      <c r="H15" s="448"/>
      <c r="I15" s="448"/>
      <c r="J15" s="448"/>
      <c r="K15" s="448"/>
      <c r="L15" s="448"/>
      <c r="M15" s="448"/>
      <c r="N15" s="448"/>
      <c r="O15" s="454"/>
      <c r="P15" s="123"/>
    </row>
    <row r="16" spans="1:26" ht="14.1">
      <c r="A16" s="173"/>
      <c r="B16" s="118"/>
      <c r="C16" s="118"/>
      <c r="D16" s="118"/>
      <c r="E16" s="393" t="s">
        <v>2</v>
      </c>
      <c r="F16" s="394"/>
      <c r="G16" s="394"/>
      <c r="H16" s="394"/>
      <c r="I16" s="394"/>
      <c r="J16" s="395" t="s">
        <v>3</v>
      </c>
      <c r="K16" s="395"/>
      <c r="L16" s="395"/>
      <c r="M16" s="395"/>
      <c r="N16" s="396"/>
      <c r="O16" s="123"/>
      <c r="P16" s="123"/>
      <c r="Q16" s="123"/>
      <c r="R16" s="123"/>
      <c r="S16" s="123"/>
      <c r="T16" s="123"/>
      <c r="U16" s="123"/>
      <c r="V16" s="123"/>
      <c r="W16" s="123"/>
      <c r="X16" s="123"/>
      <c r="Y16" s="123"/>
      <c r="Z16" s="123"/>
    </row>
    <row r="17" spans="1:26" ht="14.1">
      <c r="A17" s="174"/>
      <c r="B17" s="175" t="s">
        <v>4</v>
      </c>
      <c r="C17" s="143"/>
      <c r="D17" s="176"/>
      <c r="E17" s="176"/>
      <c r="F17" s="176"/>
      <c r="G17" s="176"/>
      <c r="H17" s="176"/>
      <c r="I17" s="176"/>
      <c r="J17" s="176"/>
      <c r="K17" s="176"/>
      <c r="L17" s="176"/>
      <c r="M17" s="123"/>
      <c r="N17" s="123"/>
      <c r="O17" s="123"/>
      <c r="P17" s="123"/>
      <c r="Q17" s="123"/>
      <c r="R17" s="123"/>
      <c r="S17" s="123"/>
      <c r="T17" s="123"/>
      <c r="U17" s="123"/>
      <c r="V17" s="123"/>
      <c r="W17" s="123"/>
      <c r="X17" s="123"/>
      <c r="Y17" s="123"/>
      <c r="Z17" s="123"/>
    </row>
    <row r="18" spans="1:26" ht="14.1">
      <c r="A18" s="174"/>
      <c r="B18" s="177" t="s">
        <v>5</v>
      </c>
      <c r="C18" s="144"/>
      <c r="D18" s="176"/>
      <c r="E18" s="176"/>
      <c r="F18" s="176"/>
      <c r="G18" s="176"/>
      <c r="H18" s="176"/>
      <c r="I18" s="176"/>
      <c r="J18" s="176"/>
      <c r="K18" s="176"/>
      <c r="L18" s="176"/>
      <c r="M18" s="123"/>
      <c r="N18" s="123"/>
      <c r="O18" s="123"/>
      <c r="P18" s="123"/>
      <c r="Q18" s="123"/>
      <c r="R18" s="123"/>
      <c r="S18" s="123"/>
      <c r="T18" s="123"/>
      <c r="U18" s="123"/>
      <c r="V18" s="123"/>
      <c r="W18" s="123"/>
      <c r="X18" s="123"/>
      <c r="Y18" s="123"/>
      <c r="Z18" s="123"/>
    </row>
    <row r="19" spans="1:26" ht="13.5" hidden="1" customHeight="1">
      <c r="A19" s="174"/>
      <c r="B19" s="177" t="s">
        <v>6</v>
      </c>
      <c r="C19" s="145" t="e">
        <f>Sheet1!D2&amp;"/"&amp;Sheet1!E2&amp;"/"&amp;'1. Business Financials'!C20</f>
        <v>#N/A</v>
      </c>
      <c r="D19" s="178"/>
      <c r="E19" s="179"/>
      <c r="F19" s="179"/>
      <c r="G19" s="179"/>
      <c r="H19" s="179"/>
      <c r="I19" s="179"/>
      <c r="J19" s="176"/>
      <c r="K19" s="176"/>
      <c r="L19" s="176"/>
      <c r="M19" s="123"/>
      <c r="N19" s="123"/>
      <c r="O19" s="123"/>
      <c r="P19" s="123"/>
      <c r="Q19" s="123"/>
      <c r="R19" s="123"/>
      <c r="S19" s="123"/>
      <c r="T19" s="123"/>
      <c r="U19" s="123"/>
      <c r="V19" s="123"/>
      <c r="W19" s="123"/>
      <c r="X19" s="123"/>
      <c r="Y19" s="123"/>
      <c r="Z19" s="123"/>
    </row>
    <row r="20" spans="1:26" ht="14.1" hidden="1" customHeight="1">
      <c r="A20" s="174"/>
      <c r="B20" s="177" t="s">
        <v>7</v>
      </c>
      <c r="C20" s="146" t="e">
        <f>RIGHT(C21,4)+Sheet1!E3</f>
        <v>#VALUE!</v>
      </c>
      <c r="D20" s="176"/>
      <c r="E20" s="176"/>
      <c r="F20" s="176"/>
      <c r="G20" s="176"/>
      <c r="H20" s="176"/>
      <c r="I20" s="176"/>
      <c r="J20" s="176"/>
      <c r="K20" s="176"/>
      <c r="L20" s="176"/>
      <c r="M20" s="123"/>
      <c r="N20" s="123"/>
      <c r="O20" s="123"/>
      <c r="P20" s="123"/>
      <c r="Q20" s="123"/>
      <c r="R20" s="123"/>
      <c r="S20" s="123"/>
      <c r="T20" s="123"/>
      <c r="U20" s="123"/>
      <c r="V20" s="123"/>
      <c r="W20" s="123"/>
      <c r="X20" s="123"/>
      <c r="Y20" s="123"/>
      <c r="Z20" s="123"/>
    </row>
    <row r="21" spans="1:26" ht="13.5" customHeight="1">
      <c r="A21" s="174"/>
      <c r="B21" s="177" t="s">
        <v>8</v>
      </c>
      <c r="C21" s="146"/>
      <c r="D21" s="176"/>
      <c r="E21" s="176"/>
      <c r="F21" s="176"/>
      <c r="G21" s="176"/>
      <c r="H21" s="176"/>
      <c r="I21" s="176"/>
      <c r="J21" s="176"/>
      <c r="K21" s="176"/>
      <c r="L21" s="176"/>
      <c r="M21" s="123"/>
      <c r="N21" s="123"/>
      <c r="O21" s="123"/>
      <c r="P21" s="123"/>
      <c r="Q21" s="123"/>
      <c r="R21" s="123"/>
      <c r="S21" s="123"/>
      <c r="T21" s="123"/>
      <c r="U21" s="123"/>
      <c r="V21" s="123"/>
      <c r="W21" s="123"/>
      <c r="X21" s="123"/>
      <c r="Y21" s="123"/>
      <c r="Z21" s="123"/>
    </row>
    <row r="22" spans="1:26" ht="14.1">
      <c r="A22" s="174"/>
      <c r="B22" s="177" t="s">
        <v>9</v>
      </c>
      <c r="C22" s="147"/>
      <c r="D22" s="176"/>
      <c r="E22" s="176"/>
      <c r="F22" s="176"/>
      <c r="G22" s="176"/>
      <c r="H22" s="176"/>
      <c r="I22" s="176"/>
      <c r="J22" s="176"/>
      <c r="K22" s="176"/>
      <c r="L22" s="176"/>
      <c r="M22" s="123"/>
      <c r="N22" s="123"/>
      <c r="O22" s="123"/>
      <c r="P22" s="123"/>
      <c r="Q22" s="123"/>
      <c r="R22" s="123"/>
      <c r="S22" s="123"/>
      <c r="T22" s="123"/>
      <c r="U22" s="123"/>
      <c r="V22" s="123"/>
      <c r="W22" s="123"/>
      <c r="X22" s="123"/>
      <c r="Y22" s="123"/>
      <c r="Z22" s="123"/>
    </row>
    <row r="23" spans="1:26" ht="14.1">
      <c r="A23" s="180"/>
      <c r="B23" s="180"/>
      <c r="C23" s="180"/>
      <c r="D23" s="180"/>
      <c r="E23" s="180"/>
      <c r="F23" s="180"/>
      <c r="G23" s="180"/>
      <c r="H23" s="180"/>
      <c r="I23" s="180"/>
      <c r="J23" s="180"/>
      <c r="K23" s="180"/>
      <c r="L23" s="180"/>
      <c r="M23" s="123"/>
      <c r="N23" s="123"/>
      <c r="O23" s="123"/>
      <c r="P23" s="123"/>
      <c r="Q23" s="123"/>
      <c r="R23" s="123"/>
      <c r="S23" s="123"/>
      <c r="T23" s="123"/>
      <c r="U23" s="123"/>
      <c r="V23" s="123"/>
      <c r="W23" s="123"/>
      <c r="X23" s="123"/>
      <c r="Y23" s="123"/>
      <c r="Z23" s="123"/>
    </row>
    <row r="24" spans="1:26" ht="18">
      <c r="A24" s="123"/>
      <c r="B24" s="389" t="s">
        <v>10</v>
      </c>
      <c r="C24" s="448"/>
      <c r="D24" s="448"/>
      <c r="E24" s="448"/>
      <c r="F24" s="448"/>
      <c r="G24" s="448"/>
      <c r="H24" s="448"/>
      <c r="I24" s="448"/>
      <c r="J24" s="448"/>
      <c r="K24" s="448"/>
      <c r="L24" s="448"/>
      <c r="M24" s="448"/>
      <c r="N24" s="448"/>
      <c r="O24" s="448"/>
      <c r="P24" s="123"/>
    </row>
    <row r="25" spans="1:26" ht="6" customHeight="1">
      <c r="A25" s="123"/>
      <c r="B25" s="121"/>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spans="1:26" ht="17.45" customHeight="1">
      <c r="A26" s="123"/>
      <c r="B26" s="121"/>
      <c r="C26" s="390" t="s">
        <v>11</v>
      </c>
      <c r="D26" s="391"/>
      <c r="E26" s="392"/>
      <c r="F26" s="390" t="s">
        <v>12</v>
      </c>
      <c r="G26" s="391"/>
      <c r="H26" s="391"/>
      <c r="I26" s="391"/>
      <c r="J26" s="391"/>
      <c r="K26" s="391"/>
      <c r="L26" s="391"/>
      <c r="M26" s="391"/>
      <c r="N26" s="391"/>
      <c r="O26" s="392"/>
      <c r="P26" s="123"/>
      <c r="Q26" s="123"/>
      <c r="R26" s="123"/>
      <c r="S26" s="123"/>
      <c r="T26" s="123"/>
      <c r="U26" s="123"/>
      <c r="V26" s="123"/>
      <c r="W26" s="123"/>
      <c r="X26" s="123"/>
      <c r="Y26" s="123"/>
      <c r="Z26" s="123"/>
    </row>
    <row r="27" spans="1:26" ht="14.1">
      <c r="A27" s="123"/>
      <c r="B27" s="181" t="s">
        <v>13</v>
      </c>
      <c r="C27" s="182" t="str">
        <f>IFERROR("FY"&amp;C20-3,"")</f>
        <v/>
      </c>
      <c r="D27" s="182" t="str">
        <f>IFERROR("FY"&amp;C20-2,"")</f>
        <v/>
      </c>
      <c r="E27" s="182" t="str">
        <f>IFERROR("FY"&amp;C20-1,"")</f>
        <v/>
      </c>
      <c r="F27" s="182" t="str">
        <f>IFERROR("FY"&amp;C20,"")</f>
        <v/>
      </c>
      <c r="G27" s="182" t="str">
        <f>IFERROR("FY"&amp;C20+1,"")</f>
        <v/>
      </c>
      <c r="H27" s="182" t="str">
        <f>IFERROR("FY"&amp;C20+2,"")</f>
        <v/>
      </c>
      <c r="I27" s="182" t="str">
        <f>IFERROR("FY"&amp;C20+3,"")</f>
        <v/>
      </c>
      <c r="J27" s="182" t="str">
        <f>IFERROR("FY"&amp;C20+4,"")</f>
        <v/>
      </c>
      <c r="K27" s="182" t="str">
        <f>IFERROR("FY"&amp;C20+5,"")</f>
        <v/>
      </c>
      <c r="L27" s="182" t="str">
        <f>IFERROR("FY"&amp;C20+6,"")</f>
        <v/>
      </c>
      <c r="M27" s="182" t="str">
        <f>IFERROR("FY"&amp;C20+7,"")</f>
        <v/>
      </c>
      <c r="N27" s="182" t="str">
        <f>IFERROR("FY"&amp;C20+8,"")</f>
        <v/>
      </c>
      <c r="O27" s="182" t="str">
        <f>IFERROR("FY"&amp;C20+9,"")</f>
        <v/>
      </c>
      <c r="P27" s="123"/>
    </row>
    <row r="28" spans="1:26" ht="14.1">
      <c r="A28" s="123"/>
      <c r="B28" s="183" t="s">
        <v>14</v>
      </c>
      <c r="C28" s="358"/>
      <c r="D28" s="358"/>
      <c r="E28" s="358"/>
      <c r="F28" s="4">
        <f>'2. Sales Assumptions'!G50</f>
        <v>0</v>
      </c>
      <c r="G28" s="4">
        <f>'2. Sales Assumptions'!G51</f>
        <v>0</v>
      </c>
      <c r="H28" s="4">
        <f>'2. Sales Assumptions'!G52</f>
        <v>0</v>
      </c>
      <c r="I28" s="4">
        <f>'2. Sales Assumptions'!G53</f>
        <v>0</v>
      </c>
      <c r="J28" s="4">
        <f>'2. Sales Assumptions'!G54</f>
        <v>0</v>
      </c>
      <c r="K28" s="4">
        <f>'2. Sales Assumptions'!G55</f>
        <v>0</v>
      </c>
      <c r="L28" s="4">
        <f>'2. Sales Assumptions'!G56</f>
        <v>0</v>
      </c>
      <c r="M28" s="4">
        <f>'2. Sales Assumptions'!G57</f>
        <v>0</v>
      </c>
      <c r="N28" s="4">
        <f>'2. Sales Assumptions'!G58</f>
        <v>0</v>
      </c>
      <c r="O28" s="4">
        <f>'2. Sales Assumptions'!G59</f>
        <v>0</v>
      </c>
      <c r="P28" s="123"/>
    </row>
    <row r="29" spans="1:26" ht="14.45" thickBot="1">
      <c r="A29" s="123"/>
      <c r="B29" s="184" t="s">
        <v>15</v>
      </c>
      <c r="C29" s="359"/>
      <c r="D29" s="359"/>
      <c r="E29" s="359"/>
      <c r="F29" s="6"/>
      <c r="G29" s="6"/>
      <c r="H29" s="6"/>
      <c r="I29" s="6"/>
      <c r="J29" s="6"/>
      <c r="K29" s="6"/>
      <c r="L29" s="6"/>
      <c r="M29" s="5"/>
      <c r="N29" s="5"/>
      <c r="O29" s="5"/>
      <c r="P29" s="123"/>
    </row>
    <row r="30" spans="1:26" ht="14.1">
      <c r="A30" s="123"/>
      <c r="B30" s="185" t="s">
        <v>16</v>
      </c>
      <c r="C30" s="95">
        <f>C28+C29</f>
        <v>0</v>
      </c>
      <c r="D30" s="95">
        <f t="shared" ref="D30:O30" si="0">D28+D29</f>
        <v>0</v>
      </c>
      <c r="E30" s="95">
        <f t="shared" si="0"/>
        <v>0</v>
      </c>
      <c r="F30" s="95">
        <f t="shared" si="0"/>
        <v>0</v>
      </c>
      <c r="G30" s="95">
        <f>G28+G29</f>
        <v>0</v>
      </c>
      <c r="H30" s="95">
        <f t="shared" si="0"/>
        <v>0</v>
      </c>
      <c r="I30" s="95">
        <f t="shared" si="0"/>
        <v>0</v>
      </c>
      <c r="J30" s="95">
        <f t="shared" si="0"/>
        <v>0</v>
      </c>
      <c r="K30" s="95">
        <f t="shared" si="0"/>
        <v>0</v>
      </c>
      <c r="L30" s="95">
        <f t="shared" si="0"/>
        <v>0</v>
      </c>
      <c r="M30" s="95">
        <f t="shared" si="0"/>
        <v>0</v>
      </c>
      <c r="N30" s="95">
        <f t="shared" si="0"/>
        <v>0</v>
      </c>
      <c r="O30" s="95">
        <f t="shared" si="0"/>
        <v>0</v>
      </c>
      <c r="P30" s="123"/>
    </row>
    <row r="31" spans="1:26" ht="14.45" thickBot="1">
      <c r="A31" s="123"/>
      <c r="B31" s="184" t="s">
        <v>17</v>
      </c>
      <c r="C31" s="359"/>
      <c r="D31" s="359"/>
      <c r="E31" s="359"/>
      <c r="F31" s="6">
        <f>'2. Sales Assumptions'!G66</f>
        <v>0</v>
      </c>
      <c r="G31" s="6">
        <f>'2. Sales Assumptions'!G67</f>
        <v>0</v>
      </c>
      <c r="H31" s="6">
        <f>'2. Sales Assumptions'!G68</f>
        <v>0</v>
      </c>
      <c r="I31" s="6">
        <f>'2. Sales Assumptions'!G69</f>
        <v>0</v>
      </c>
      <c r="J31" s="6">
        <f>'2. Sales Assumptions'!G70</f>
        <v>0</v>
      </c>
      <c r="K31" s="6">
        <f>'2. Sales Assumptions'!G71</f>
        <v>0</v>
      </c>
      <c r="L31" s="6">
        <f>'2. Sales Assumptions'!G72</f>
        <v>0</v>
      </c>
      <c r="M31" s="6">
        <f>'2. Sales Assumptions'!G73</f>
        <v>0</v>
      </c>
      <c r="N31" s="6">
        <f>'2. Sales Assumptions'!G74</f>
        <v>0</v>
      </c>
      <c r="O31" s="6">
        <f>'2. Sales Assumptions'!G75</f>
        <v>0</v>
      </c>
      <c r="P31" s="123"/>
    </row>
    <row r="32" spans="1:26" ht="14.1">
      <c r="A32" s="123"/>
      <c r="B32" s="185" t="s">
        <v>18</v>
      </c>
      <c r="C32" s="95">
        <f>C30-C31</f>
        <v>0</v>
      </c>
      <c r="D32" s="95">
        <f t="shared" ref="D32:O32" si="1">D30-D31</f>
        <v>0</v>
      </c>
      <c r="E32" s="95">
        <f t="shared" si="1"/>
        <v>0</v>
      </c>
      <c r="F32" s="95">
        <f t="shared" si="1"/>
        <v>0</v>
      </c>
      <c r="G32" s="95">
        <f>G30-G31</f>
        <v>0</v>
      </c>
      <c r="H32" s="95">
        <f t="shared" si="1"/>
        <v>0</v>
      </c>
      <c r="I32" s="95">
        <f t="shared" si="1"/>
        <v>0</v>
      </c>
      <c r="J32" s="95">
        <f t="shared" si="1"/>
        <v>0</v>
      </c>
      <c r="K32" s="95">
        <f t="shared" si="1"/>
        <v>0</v>
      </c>
      <c r="L32" s="95">
        <f t="shared" si="1"/>
        <v>0</v>
      </c>
      <c r="M32" s="95">
        <f t="shared" si="1"/>
        <v>0</v>
      </c>
      <c r="N32" s="95">
        <f t="shared" si="1"/>
        <v>0</v>
      </c>
      <c r="O32" s="95">
        <f t="shared" si="1"/>
        <v>0</v>
      </c>
      <c r="P32" s="123"/>
    </row>
    <row r="33" spans="1:26" ht="14.45" thickBot="1">
      <c r="A33" s="123"/>
      <c r="B33" s="184" t="s">
        <v>19</v>
      </c>
      <c r="C33" s="359"/>
      <c r="D33" s="359"/>
      <c r="E33" s="359"/>
      <c r="F33" s="6"/>
      <c r="G33" s="6"/>
      <c r="H33" s="6"/>
      <c r="I33" s="6"/>
      <c r="J33" s="6"/>
      <c r="K33" s="6"/>
      <c r="L33" s="6"/>
      <c r="M33" s="5"/>
      <c r="N33" s="5"/>
      <c r="O33" s="5"/>
      <c r="P33" s="123"/>
    </row>
    <row r="34" spans="1:26" ht="14.1">
      <c r="A34" s="123"/>
      <c r="B34" s="185" t="s">
        <v>20</v>
      </c>
      <c r="C34" s="95">
        <f>C32-C33</f>
        <v>0</v>
      </c>
      <c r="D34" s="95">
        <f t="shared" ref="D34:O34" si="2">D32-D33</f>
        <v>0</v>
      </c>
      <c r="E34" s="95">
        <f t="shared" si="2"/>
        <v>0</v>
      </c>
      <c r="F34" s="95">
        <f t="shared" si="2"/>
        <v>0</v>
      </c>
      <c r="G34" s="95">
        <f>G32-G33</f>
        <v>0</v>
      </c>
      <c r="H34" s="95">
        <f t="shared" si="2"/>
        <v>0</v>
      </c>
      <c r="I34" s="95">
        <f t="shared" si="2"/>
        <v>0</v>
      </c>
      <c r="J34" s="95">
        <f t="shared" si="2"/>
        <v>0</v>
      </c>
      <c r="K34" s="95">
        <f t="shared" si="2"/>
        <v>0</v>
      </c>
      <c r="L34" s="95">
        <f t="shared" si="2"/>
        <v>0</v>
      </c>
      <c r="M34" s="95">
        <f t="shared" si="2"/>
        <v>0</v>
      </c>
      <c r="N34" s="95">
        <f t="shared" si="2"/>
        <v>0</v>
      </c>
      <c r="O34" s="95">
        <f t="shared" si="2"/>
        <v>0</v>
      </c>
      <c r="P34" s="123"/>
    </row>
    <row r="35" spans="1:26" ht="14.1">
      <c r="A35" s="123"/>
      <c r="B35" s="185" t="s">
        <v>21</v>
      </c>
      <c r="C35" s="95">
        <v>0</v>
      </c>
      <c r="D35" s="95">
        <v>0</v>
      </c>
      <c r="E35" s="95">
        <v>0</v>
      </c>
      <c r="F35" s="95">
        <f>IFERROR('4. Innovation Loans Calcs'!G13,0)</f>
        <v>0</v>
      </c>
      <c r="G35" s="95">
        <f>IFERROR('4. Innovation Loans Calcs'!G14,0)</f>
        <v>0</v>
      </c>
      <c r="H35" s="95">
        <f>IFERROR('4. Innovation Loans Calcs'!G15,0)</f>
        <v>0</v>
      </c>
      <c r="I35" s="95">
        <f>IFERROR('4. Innovation Loans Calcs'!G16,0)</f>
        <v>0</v>
      </c>
      <c r="J35" s="95">
        <f>IFERROR('4. Innovation Loans Calcs'!G17,0)</f>
        <v>0</v>
      </c>
      <c r="K35" s="95">
        <f>IFERROR('4. Innovation Loans Calcs'!G18,0)</f>
        <v>0</v>
      </c>
      <c r="L35" s="95">
        <f>IFERROR('4. Innovation Loans Calcs'!G19,0)</f>
        <v>0</v>
      </c>
      <c r="M35" s="95">
        <f>IFERROR('4. Innovation Loans Calcs'!G20,0)</f>
        <v>0</v>
      </c>
      <c r="N35" s="95">
        <f>IFERROR('4. Innovation Loans Calcs'!G21,0)</f>
        <v>0</v>
      </c>
      <c r="O35" s="95">
        <f>IFERROR('4. Innovation Loans Calcs'!G22,0)</f>
        <v>0</v>
      </c>
      <c r="P35" s="123"/>
    </row>
    <row r="36" spans="1:26" ht="14.1">
      <c r="A36" s="123"/>
      <c r="B36" s="183" t="s">
        <v>22</v>
      </c>
      <c r="C36" s="358"/>
      <c r="D36" s="358"/>
      <c r="E36" s="358"/>
      <c r="F36" s="4"/>
      <c r="G36" s="4"/>
      <c r="H36" s="4"/>
      <c r="I36" s="4"/>
      <c r="J36" s="4"/>
      <c r="K36" s="4"/>
      <c r="L36" s="4"/>
      <c r="M36" s="3"/>
      <c r="N36" s="3"/>
      <c r="O36" s="3"/>
      <c r="P36" s="123"/>
    </row>
    <row r="37" spans="1:26" ht="14.1">
      <c r="A37" s="123"/>
      <c r="B37" s="183" t="s">
        <v>23</v>
      </c>
      <c r="C37" s="358"/>
      <c r="D37" s="358"/>
      <c r="E37" s="358"/>
      <c r="F37" s="4"/>
      <c r="G37" s="4"/>
      <c r="H37" s="4"/>
      <c r="I37" s="4"/>
      <c r="J37" s="4"/>
      <c r="K37" s="4"/>
      <c r="L37" s="4"/>
      <c r="M37" s="3"/>
      <c r="N37" s="3"/>
      <c r="O37" s="3"/>
      <c r="P37" s="123"/>
    </row>
    <row r="38" spans="1:26" ht="14.45" thickBot="1">
      <c r="A38" s="123"/>
      <c r="B38" s="184" t="s">
        <v>24</v>
      </c>
      <c r="C38" s="359"/>
      <c r="D38" s="359"/>
      <c r="E38" s="359"/>
      <c r="F38" s="6"/>
      <c r="G38" s="6"/>
      <c r="H38" s="6"/>
      <c r="I38" s="6"/>
      <c r="J38" s="6"/>
      <c r="K38" s="6"/>
      <c r="L38" s="6"/>
      <c r="M38" s="5"/>
      <c r="N38" s="5"/>
      <c r="O38" s="5"/>
      <c r="P38" s="123"/>
    </row>
    <row r="39" spans="1:26" ht="14.45" thickBot="1">
      <c r="A39" s="123"/>
      <c r="B39" s="186" t="s">
        <v>25</v>
      </c>
      <c r="C39" s="96">
        <f>C34-C35-C36-C37-C38</f>
        <v>0</v>
      </c>
      <c r="D39" s="96">
        <f t="shared" ref="D39:O39" si="3">D34-D35-D36-D37-D38</f>
        <v>0</v>
      </c>
      <c r="E39" s="96">
        <f t="shared" si="3"/>
        <v>0</v>
      </c>
      <c r="F39" s="96">
        <f t="shared" si="3"/>
        <v>0</v>
      </c>
      <c r="G39" s="96">
        <f t="shared" si="3"/>
        <v>0</v>
      </c>
      <c r="H39" s="96">
        <f t="shared" si="3"/>
        <v>0</v>
      </c>
      <c r="I39" s="96">
        <f t="shared" si="3"/>
        <v>0</v>
      </c>
      <c r="J39" s="96">
        <f t="shared" si="3"/>
        <v>0</v>
      </c>
      <c r="K39" s="96">
        <f t="shared" si="3"/>
        <v>0</v>
      </c>
      <c r="L39" s="96">
        <f t="shared" si="3"/>
        <v>0</v>
      </c>
      <c r="M39" s="96">
        <f t="shared" si="3"/>
        <v>0</v>
      </c>
      <c r="N39" s="96">
        <f t="shared" si="3"/>
        <v>0</v>
      </c>
      <c r="O39" s="96">
        <f t="shared" si="3"/>
        <v>0</v>
      </c>
      <c r="P39" s="123"/>
    </row>
    <row r="40" spans="1:26" ht="8.25" customHeight="1" thickTop="1">
      <c r="A40" s="123"/>
      <c r="B40" s="174"/>
      <c r="C40" s="187"/>
      <c r="D40" s="187"/>
      <c r="E40" s="187"/>
      <c r="F40" s="187"/>
      <c r="G40" s="187"/>
      <c r="H40" s="187"/>
      <c r="I40" s="187"/>
      <c r="J40" s="187"/>
      <c r="K40" s="187"/>
      <c r="L40" s="187"/>
      <c r="M40" s="174"/>
      <c r="N40" s="174"/>
      <c r="O40" s="174"/>
      <c r="P40" s="123"/>
      <c r="Q40" s="123"/>
      <c r="R40" s="123"/>
      <c r="S40" s="123"/>
      <c r="T40" s="123"/>
      <c r="U40" s="123"/>
      <c r="V40" s="123"/>
      <c r="W40" s="123"/>
      <c r="X40" s="123"/>
      <c r="Y40" s="123"/>
      <c r="Z40" s="123"/>
    </row>
    <row r="41" spans="1:26" ht="14.1">
      <c r="A41" s="123"/>
      <c r="B41" s="183" t="s">
        <v>26</v>
      </c>
      <c r="C41" s="358"/>
      <c r="D41" s="358"/>
      <c r="E41" s="358"/>
      <c r="F41" s="4"/>
      <c r="G41" s="4"/>
      <c r="H41" s="4"/>
      <c r="I41" s="4"/>
      <c r="J41" s="4"/>
      <c r="K41" s="4"/>
      <c r="L41" s="4"/>
      <c r="M41" s="4"/>
      <c r="N41" s="3"/>
      <c r="O41" s="3"/>
      <c r="P41" s="123"/>
    </row>
    <row r="42" spans="1:26" ht="14.1">
      <c r="A42" s="123"/>
      <c r="B42" s="183" t="s">
        <v>27</v>
      </c>
      <c r="C42" s="358"/>
      <c r="D42" s="358"/>
      <c r="E42" s="358"/>
      <c r="F42" s="4"/>
      <c r="G42" s="4"/>
      <c r="H42" s="4"/>
      <c r="I42" s="4"/>
      <c r="J42" s="4"/>
      <c r="K42" s="4"/>
      <c r="L42" s="4"/>
      <c r="M42" s="4"/>
      <c r="N42" s="3"/>
      <c r="O42" s="3"/>
      <c r="P42" s="123"/>
    </row>
    <row r="43" spans="1:26" ht="14.1">
      <c r="A43" s="123"/>
      <c r="B43" s="183" t="s">
        <v>28</v>
      </c>
      <c r="C43" s="358"/>
      <c r="D43" s="358"/>
      <c r="E43" s="358"/>
      <c r="F43" s="4"/>
      <c r="G43" s="4"/>
      <c r="H43" s="4"/>
      <c r="I43" s="4"/>
      <c r="J43" s="4"/>
      <c r="K43" s="4"/>
      <c r="L43" s="4"/>
      <c r="M43" s="4"/>
      <c r="N43" s="3"/>
      <c r="O43" s="3"/>
      <c r="P43" s="123"/>
    </row>
    <row r="44" spans="1:26" ht="14.1">
      <c r="A44" s="123"/>
      <c r="B44" s="183" t="s">
        <v>29</v>
      </c>
      <c r="C44" s="358"/>
      <c r="D44" s="358"/>
      <c r="E44" s="358"/>
      <c r="F44" s="4"/>
      <c r="G44" s="4"/>
      <c r="H44" s="4"/>
      <c r="I44" s="4"/>
      <c r="J44" s="4"/>
      <c r="K44" s="4"/>
      <c r="L44" s="4"/>
      <c r="M44" s="4"/>
      <c r="N44" s="3"/>
      <c r="O44" s="3"/>
      <c r="P44" s="123"/>
    </row>
    <row r="45" spans="1:26" ht="15.75" customHeight="1" thickBot="1">
      <c r="A45" s="123"/>
      <c r="B45" s="184" t="s">
        <v>30</v>
      </c>
      <c r="C45" s="359"/>
      <c r="D45" s="359"/>
      <c r="E45" s="359"/>
      <c r="F45" s="6"/>
      <c r="G45" s="6"/>
      <c r="H45" s="6"/>
      <c r="I45" s="6"/>
      <c r="J45" s="6"/>
      <c r="K45" s="6"/>
      <c r="L45" s="6"/>
      <c r="M45" s="5"/>
      <c r="N45" s="5"/>
      <c r="O45" s="5"/>
      <c r="P45" s="123"/>
    </row>
    <row r="46" spans="1:26" ht="15.75" customHeight="1" thickBot="1">
      <c r="A46" s="123"/>
      <c r="B46" s="188" t="s">
        <v>31</v>
      </c>
      <c r="C46" s="97">
        <f>C42+C43+C44+C45</f>
        <v>0</v>
      </c>
      <c r="D46" s="97">
        <f t="shared" ref="D46:O46" si="4">D42+D43+D44+D45</f>
        <v>0</v>
      </c>
      <c r="E46" s="97">
        <f t="shared" si="4"/>
        <v>0</v>
      </c>
      <c r="F46" s="97">
        <f t="shared" si="4"/>
        <v>0</v>
      </c>
      <c r="G46" s="97">
        <f>G42+G43+G44+G45</f>
        <v>0</v>
      </c>
      <c r="H46" s="97">
        <f t="shared" si="4"/>
        <v>0</v>
      </c>
      <c r="I46" s="97">
        <f t="shared" si="4"/>
        <v>0</v>
      </c>
      <c r="J46" s="97">
        <f t="shared" si="4"/>
        <v>0</v>
      </c>
      <c r="K46" s="97">
        <f t="shared" si="4"/>
        <v>0</v>
      </c>
      <c r="L46" s="97">
        <f t="shared" si="4"/>
        <v>0</v>
      </c>
      <c r="M46" s="97">
        <f t="shared" si="4"/>
        <v>0</v>
      </c>
      <c r="N46" s="97">
        <f t="shared" si="4"/>
        <v>0</v>
      </c>
      <c r="O46" s="97">
        <f t="shared" si="4"/>
        <v>0</v>
      </c>
      <c r="P46" s="123"/>
    </row>
    <row r="47" spans="1:26" ht="15.75" customHeight="1">
      <c r="A47" s="123"/>
      <c r="B47" s="185" t="s">
        <v>32</v>
      </c>
      <c r="C47" s="95">
        <f>C41+C46</f>
        <v>0</v>
      </c>
      <c r="D47" s="95">
        <f t="shared" ref="D47:O47" si="5">D41+D46</f>
        <v>0</v>
      </c>
      <c r="E47" s="95">
        <f t="shared" si="5"/>
        <v>0</v>
      </c>
      <c r="F47" s="95">
        <f t="shared" si="5"/>
        <v>0</v>
      </c>
      <c r="G47" s="95">
        <f>G41+G46</f>
        <v>0</v>
      </c>
      <c r="H47" s="95">
        <f t="shared" si="5"/>
        <v>0</v>
      </c>
      <c r="I47" s="95">
        <f t="shared" si="5"/>
        <v>0</v>
      </c>
      <c r="J47" s="95">
        <f t="shared" si="5"/>
        <v>0</v>
      </c>
      <c r="K47" s="95">
        <f t="shared" si="5"/>
        <v>0</v>
      </c>
      <c r="L47" s="95">
        <f t="shared" si="5"/>
        <v>0</v>
      </c>
      <c r="M47" s="95">
        <f t="shared" si="5"/>
        <v>0</v>
      </c>
      <c r="N47" s="95">
        <f t="shared" si="5"/>
        <v>0</v>
      </c>
      <c r="O47" s="95">
        <f t="shared" si="5"/>
        <v>0</v>
      </c>
      <c r="P47" s="123"/>
    </row>
    <row r="48" spans="1:26" ht="15.75" customHeight="1">
      <c r="A48" s="123"/>
      <c r="B48" s="183" t="s">
        <v>33</v>
      </c>
      <c r="C48" s="358"/>
      <c r="D48" s="358"/>
      <c r="E48" s="358"/>
      <c r="F48" s="4"/>
      <c r="G48" s="4"/>
      <c r="H48" s="4"/>
      <c r="I48" s="4"/>
      <c r="J48" s="4"/>
      <c r="K48" s="4"/>
      <c r="L48" s="4"/>
      <c r="M48" s="4"/>
      <c r="N48" s="3"/>
      <c r="O48" s="3"/>
      <c r="P48" s="123"/>
    </row>
    <row r="49" spans="1:26" ht="15.75" customHeight="1">
      <c r="A49" s="123"/>
      <c r="B49" s="183" t="s">
        <v>34</v>
      </c>
      <c r="C49" s="358"/>
      <c r="D49" s="358"/>
      <c r="E49" s="358"/>
      <c r="F49" s="4"/>
      <c r="G49" s="4"/>
      <c r="H49" s="4"/>
      <c r="I49" s="4"/>
      <c r="J49" s="4"/>
      <c r="K49" s="4"/>
      <c r="L49" s="4"/>
      <c r="M49" s="3"/>
      <c r="N49" s="3"/>
      <c r="O49" s="3"/>
      <c r="P49" s="123"/>
    </row>
    <row r="50" spans="1:26" ht="15.75" customHeight="1" thickBot="1">
      <c r="A50" s="123"/>
      <c r="B50" s="184" t="s">
        <v>35</v>
      </c>
      <c r="C50" s="359"/>
      <c r="D50" s="359"/>
      <c r="E50" s="359"/>
      <c r="F50" s="6"/>
      <c r="G50" s="6"/>
      <c r="H50" s="6"/>
      <c r="I50" s="6"/>
      <c r="J50" s="6"/>
      <c r="K50" s="6"/>
      <c r="L50" s="6"/>
      <c r="M50" s="5"/>
      <c r="N50" s="5"/>
      <c r="O50" s="5"/>
      <c r="P50" s="123"/>
    </row>
    <row r="51" spans="1:26" ht="15.75" customHeight="1">
      <c r="A51" s="123"/>
      <c r="B51" s="185" t="s">
        <v>36</v>
      </c>
      <c r="C51" s="95">
        <f>C48+C49+C50</f>
        <v>0</v>
      </c>
      <c r="D51" s="95">
        <f t="shared" ref="D51:O51" si="6">D48+D49+D50</f>
        <v>0</v>
      </c>
      <c r="E51" s="95">
        <f t="shared" si="6"/>
        <v>0</v>
      </c>
      <c r="F51" s="95">
        <f t="shared" si="6"/>
        <v>0</v>
      </c>
      <c r="G51" s="95">
        <f>G48+G49+G50</f>
        <v>0</v>
      </c>
      <c r="H51" s="95">
        <f t="shared" si="6"/>
        <v>0</v>
      </c>
      <c r="I51" s="95">
        <f t="shared" si="6"/>
        <v>0</v>
      </c>
      <c r="J51" s="95">
        <f t="shared" si="6"/>
        <v>0</v>
      </c>
      <c r="K51" s="95">
        <f t="shared" si="6"/>
        <v>0</v>
      </c>
      <c r="L51" s="95">
        <f t="shared" si="6"/>
        <v>0</v>
      </c>
      <c r="M51" s="95">
        <f t="shared" si="6"/>
        <v>0</v>
      </c>
      <c r="N51" s="95">
        <f t="shared" si="6"/>
        <v>0</v>
      </c>
      <c r="O51" s="95">
        <f t="shared" si="6"/>
        <v>0</v>
      </c>
      <c r="P51" s="123"/>
    </row>
    <row r="52" spans="1:26" ht="15.75" customHeight="1">
      <c r="A52" s="123"/>
      <c r="B52" s="183" t="s">
        <v>37</v>
      </c>
      <c r="C52" s="358"/>
      <c r="D52" s="358"/>
      <c r="E52" s="358"/>
      <c r="F52" s="4"/>
      <c r="G52" s="4"/>
      <c r="H52" s="4"/>
      <c r="I52" s="4"/>
      <c r="J52" s="4"/>
      <c r="K52" s="4"/>
      <c r="L52" s="4"/>
      <c r="M52" s="3"/>
      <c r="N52" s="3"/>
      <c r="O52" s="3"/>
      <c r="P52" s="123"/>
    </row>
    <row r="53" spans="1:26" ht="15.75" customHeight="1">
      <c r="A53" s="123"/>
      <c r="B53" s="183" t="s">
        <v>38</v>
      </c>
      <c r="C53" s="358"/>
      <c r="D53" s="358"/>
      <c r="E53" s="358"/>
      <c r="F53" s="4"/>
      <c r="G53" s="4"/>
      <c r="H53" s="4"/>
      <c r="I53" s="4"/>
      <c r="J53" s="4"/>
      <c r="K53" s="4"/>
      <c r="L53" s="4"/>
      <c r="M53" s="3"/>
      <c r="N53" s="3"/>
      <c r="O53" s="3"/>
      <c r="P53" s="123"/>
    </row>
    <row r="54" spans="1:26" ht="15.75" customHeight="1">
      <c r="A54" s="123"/>
      <c r="B54" s="189" t="s">
        <v>39</v>
      </c>
      <c r="C54" s="190"/>
      <c r="D54" s="190"/>
      <c r="E54" s="190"/>
      <c r="F54" s="190">
        <f>IFERROR('4. Innovation Loans Calcs'!C13,0)</f>
        <v>0</v>
      </c>
      <c r="G54" s="190">
        <f>IFERROR('4. Innovation Loans Calcs'!C14,0)</f>
        <v>0</v>
      </c>
      <c r="H54" s="190">
        <f>IFERROR('4. Innovation Loans Calcs'!C15,0)</f>
        <v>0</v>
      </c>
      <c r="I54" s="190">
        <f>IFERROR('4. Innovation Loans Calcs'!C16,0)</f>
        <v>0</v>
      </c>
      <c r="J54" s="190">
        <f>IFERROR('4. Innovation Loans Calcs'!C17,0)</f>
        <v>0</v>
      </c>
      <c r="K54" s="190">
        <f>IFERROR('4. Innovation Loans Calcs'!C18,0)</f>
        <v>0</v>
      </c>
      <c r="L54" s="190">
        <f>IFERROR('4. Innovation Loans Calcs'!C19,0)</f>
        <v>0</v>
      </c>
      <c r="M54" s="190">
        <f>IFERROR('4. Innovation Loans Calcs'!C20,0)</f>
        <v>0</v>
      </c>
      <c r="N54" s="190">
        <f>IFERROR('4. Innovation Loans Calcs'!C21,0)</f>
        <v>0</v>
      </c>
      <c r="O54" s="190">
        <f>IFERROR('4. Innovation Loans Calcs'!C22,0)</f>
        <v>0</v>
      </c>
      <c r="P54" s="123"/>
    </row>
    <row r="55" spans="1:26" ht="15.75" customHeight="1" thickBot="1">
      <c r="A55" s="123"/>
      <c r="B55" s="184" t="s">
        <v>40</v>
      </c>
      <c r="C55" s="359"/>
      <c r="D55" s="359"/>
      <c r="E55" s="359"/>
      <c r="F55" s="6"/>
      <c r="G55" s="6"/>
      <c r="H55" s="6"/>
      <c r="I55" s="6"/>
      <c r="J55" s="6"/>
      <c r="K55" s="6"/>
      <c r="L55" s="6"/>
      <c r="M55" s="5"/>
      <c r="N55" s="5"/>
      <c r="O55" s="5"/>
      <c r="P55" s="123"/>
    </row>
    <row r="56" spans="1:26" ht="15.75" customHeight="1">
      <c r="A56" s="123"/>
      <c r="B56" s="191" t="s">
        <v>41</v>
      </c>
      <c r="C56" s="98">
        <f>C51+C52+C53+C54+C55</f>
        <v>0</v>
      </c>
      <c r="D56" s="98">
        <f t="shared" ref="D56:O56" si="7">D51+D52+D53+D54+D55</f>
        <v>0</v>
      </c>
      <c r="E56" s="98">
        <f t="shared" si="7"/>
        <v>0</v>
      </c>
      <c r="F56" s="98">
        <f t="shared" si="7"/>
        <v>0</v>
      </c>
      <c r="G56" s="98">
        <f t="shared" si="7"/>
        <v>0</v>
      </c>
      <c r="H56" s="98">
        <f t="shared" si="7"/>
        <v>0</v>
      </c>
      <c r="I56" s="98">
        <f t="shared" si="7"/>
        <v>0</v>
      </c>
      <c r="J56" s="98">
        <f t="shared" si="7"/>
        <v>0</v>
      </c>
      <c r="K56" s="98">
        <f t="shared" si="7"/>
        <v>0</v>
      </c>
      <c r="L56" s="98">
        <f t="shared" si="7"/>
        <v>0</v>
      </c>
      <c r="M56" s="98">
        <f t="shared" si="7"/>
        <v>0</v>
      </c>
      <c r="N56" s="98">
        <f t="shared" si="7"/>
        <v>0</v>
      </c>
      <c r="O56" s="98">
        <f t="shared" si="7"/>
        <v>0</v>
      </c>
      <c r="P56" s="123"/>
    </row>
    <row r="57" spans="1:26" ht="15.75" customHeight="1" thickBot="1">
      <c r="A57" s="123"/>
      <c r="B57" s="192" t="s">
        <v>42</v>
      </c>
      <c r="C57" s="99">
        <f t="shared" ref="C57:O57" si="8">C47-C56</f>
        <v>0</v>
      </c>
      <c r="D57" s="99">
        <f t="shared" si="8"/>
        <v>0</v>
      </c>
      <c r="E57" s="99">
        <f t="shared" si="8"/>
        <v>0</v>
      </c>
      <c r="F57" s="1">
        <f t="shared" si="8"/>
        <v>0</v>
      </c>
      <c r="G57" s="1">
        <f t="shared" si="8"/>
        <v>0</v>
      </c>
      <c r="H57" s="1">
        <f t="shared" si="8"/>
        <v>0</v>
      </c>
      <c r="I57" s="1">
        <f t="shared" si="8"/>
        <v>0</v>
      </c>
      <c r="J57" s="1">
        <f t="shared" si="8"/>
        <v>0</v>
      </c>
      <c r="K57" s="1">
        <f t="shared" si="8"/>
        <v>0</v>
      </c>
      <c r="L57" s="1">
        <f t="shared" si="8"/>
        <v>0</v>
      </c>
      <c r="M57" s="1">
        <f t="shared" si="8"/>
        <v>0</v>
      </c>
      <c r="N57" s="1">
        <f t="shared" si="8"/>
        <v>0</v>
      </c>
      <c r="O57" s="1">
        <f t="shared" si="8"/>
        <v>0</v>
      </c>
      <c r="P57" s="123"/>
    </row>
    <row r="58" spans="1:26" ht="8.25" customHeight="1" thickTop="1">
      <c r="A58" s="123"/>
      <c r="B58" s="174"/>
      <c r="C58" s="174"/>
      <c r="D58" s="174"/>
      <c r="E58" s="174"/>
      <c r="F58" s="174"/>
      <c r="G58" s="174"/>
      <c r="H58" s="174"/>
      <c r="I58" s="174"/>
      <c r="J58" s="174"/>
      <c r="K58" s="174"/>
      <c r="L58" s="174"/>
      <c r="M58" s="174"/>
      <c r="N58" s="174"/>
      <c r="O58" s="174"/>
      <c r="P58" s="123"/>
      <c r="Q58" s="123"/>
      <c r="R58" s="123"/>
      <c r="S58" s="123"/>
      <c r="T58" s="123"/>
      <c r="U58" s="123"/>
      <c r="V58" s="123"/>
      <c r="W58" s="123"/>
      <c r="X58" s="123"/>
      <c r="Y58" s="123"/>
      <c r="Z58" s="123"/>
    </row>
    <row r="59" spans="1:26" ht="27.95">
      <c r="A59" s="123"/>
      <c r="B59" s="183" t="s">
        <v>43</v>
      </c>
      <c r="C59" s="358"/>
      <c r="D59" s="358"/>
      <c r="E59" s="358"/>
      <c r="F59" s="4"/>
      <c r="G59" s="4"/>
      <c r="H59" s="4"/>
      <c r="I59" s="4"/>
      <c r="J59" s="4"/>
      <c r="K59" s="4"/>
      <c r="L59" s="4"/>
      <c r="M59" s="4"/>
      <c r="N59" s="3"/>
      <c r="O59" s="3"/>
      <c r="P59" s="123"/>
    </row>
    <row r="60" spans="1:26" ht="15.75" customHeight="1">
      <c r="A60" s="123"/>
      <c r="B60" s="183" t="s">
        <v>44</v>
      </c>
      <c r="C60" s="358"/>
      <c r="D60" s="358"/>
      <c r="E60" s="4">
        <f>D60+E39</f>
        <v>0</v>
      </c>
      <c r="F60" s="4">
        <f>E60+F39</f>
        <v>0</v>
      </c>
      <c r="G60" s="4">
        <f t="shared" ref="G60:O60" si="9">F60+G39</f>
        <v>0</v>
      </c>
      <c r="H60" s="4">
        <f t="shared" si="9"/>
        <v>0</v>
      </c>
      <c r="I60" s="4">
        <f t="shared" si="9"/>
        <v>0</v>
      </c>
      <c r="J60" s="4">
        <f t="shared" si="9"/>
        <v>0</v>
      </c>
      <c r="K60" s="4">
        <f t="shared" si="9"/>
        <v>0</v>
      </c>
      <c r="L60" s="4">
        <f t="shared" si="9"/>
        <v>0</v>
      </c>
      <c r="M60" s="4">
        <f t="shared" si="9"/>
        <v>0</v>
      </c>
      <c r="N60" s="4">
        <f t="shared" si="9"/>
        <v>0</v>
      </c>
      <c r="O60" s="4">
        <f t="shared" si="9"/>
        <v>0</v>
      </c>
      <c r="P60" s="123"/>
    </row>
    <row r="61" spans="1:26" ht="15.75" customHeight="1">
      <c r="A61" s="123"/>
      <c r="B61" s="193" t="s">
        <v>45</v>
      </c>
      <c r="C61" s="362"/>
      <c r="D61" s="362"/>
      <c r="E61" s="362"/>
      <c r="F61" s="7"/>
      <c r="G61" s="7"/>
      <c r="H61" s="7"/>
      <c r="I61" s="7"/>
      <c r="J61" s="7"/>
      <c r="K61" s="7"/>
      <c r="L61" s="7"/>
      <c r="M61" s="8"/>
      <c r="N61" s="8"/>
      <c r="O61" s="8"/>
      <c r="P61" s="123"/>
    </row>
    <row r="62" spans="1:26" ht="15.75" customHeight="1" thickBot="1">
      <c r="A62" s="123"/>
      <c r="B62" s="194" t="s">
        <v>46</v>
      </c>
      <c r="C62" s="99">
        <f t="shared" ref="C62:O62" si="10">SUM(C59:C61)</f>
        <v>0</v>
      </c>
      <c r="D62" s="99">
        <f>SUM(D59:D61)</f>
        <v>0</v>
      </c>
      <c r="E62" s="99">
        <f t="shared" si="10"/>
        <v>0</v>
      </c>
      <c r="F62" s="99">
        <f t="shared" si="10"/>
        <v>0</v>
      </c>
      <c r="G62" s="1">
        <f t="shared" si="10"/>
        <v>0</v>
      </c>
      <c r="H62" s="1">
        <f t="shared" si="10"/>
        <v>0</v>
      </c>
      <c r="I62" s="1">
        <f t="shared" si="10"/>
        <v>0</v>
      </c>
      <c r="J62" s="1">
        <f t="shared" si="10"/>
        <v>0</v>
      </c>
      <c r="K62" s="1">
        <f t="shared" si="10"/>
        <v>0</v>
      </c>
      <c r="L62" s="1">
        <f t="shared" si="10"/>
        <v>0</v>
      </c>
      <c r="M62" s="1">
        <f t="shared" si="10"/>
        <v>0</v>
      </c>
      <c r="N62" s="1">
        <f t="shared" si="10"/>
        <v>0</v>
      </c>
      <c r="O62" s="1">
        <f t="shared" si="10"/>
        <v>0</v>
      </c>
      <c r="P62" s="123"/>
    </row>
    <row r="63" spans="1:26" ht="15.75" customHeight="1" thickTop="1">
      <c r="A63" s="123"/>
      <c r="B63" s="195"/>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row>
    <row r="64" spans="1:26" ht="15.75" customHeight="1">
      <c r="A64" s="123"/>
      <c r="B64" s="389" t="s">
        <v>47</v>
      </c>
      <c r="C64" s="448"/>
      <c r="D64" s="448"/>
      <c r="E64" s="448"/>
      <c r="F64" s="448"/>
      <c r="G64" s="448"/>
      <c r="H64" s="448"/>
      <c r="I64" s="448"/>
      <c r="J64" s="448"/>
      <c r="K64" s="448"/>
      <c r="L64" s="448"/>
      <c r="M64" s="448"/>
      <c r="N64" s="448"/>
      <c r="O64" s="448"/>
      <c r="P64" s="123"/>
    </row>
    <row r="65" spans="1:26" ht="6" customHeight="1">
      <c r="A65" s="123"/>
      <c r="B65" s="121"/>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row>
    <row r="66" spans="1:26" ht="16.5" customHeight="1">
      <c r="A66" s="123"/>
      <c r="B66" s="121"/>
      <c r="C66" s="381" t="s">
        <v>11</v>
      </c>
      <c r="D66" s="384"/>
      <c r="E66" s="385"/>
      <c r="F66" s="381" t="s">
        <v>12</v>
      </c>
      <c r="G66" s="382"/>
      <c r="H66" s="382"/>
      <c r="I66" s="382"/>
      <c r="J66" s="382"/>
      <c r="K66" s="382"/>
      <c r="L66" s="382"/>
      <c r="M66" s="382"/>
      <c r="N66" s="382"/>
      <c r="O66" s="383"/>
      <c r="P66" s="123"/>
      <c r="Q66" s="123"/>
      <c r="R66" s="123"/>
      <c r="S66" s="123"/>
      <c r="T66" s="123"/>
      <c r="U66" s="123"/>
      <c r="V66" s="123"/>
      <c r="W66" s="123"/>
      <c r="X66" s="123"/>
      <c r="Y66" s="123"/>
      <c r="Z66" s="123"/>
    </row>
    <row r="67" spans="1:26" ht="14.45" thickBot="1">
      <c r="A67" s="123"/>
      <c r="B67" s="196" t="s">
        <v>13</v>
      </c>
      <c r="C67" s="197" t="str">
        <f t="shared" ref="C67:E67" si="11">C27</f>
        <v/>
      </c>
      <c r="D67" s="197" t="str">
        <f t="shared" si="11"/>
        <v/>
      </c>
      <c r="E67" s="197" t="str">
        <f t="shared" si="11"/>
        <v/>
      </c>
      <c r="F67" s="197" t="str">
        <f t="shared" ref="F67:O67" si="12">F27</f>
        <v/>
      </c>
      <c r="G67" s="197" t="str">
        <f t="shared" si="12"/>
        <v/>
      </c>
      <c r="H67" s="197" t="str">
        <f t="shared" si="12"/>
        <v/>
      </c>
      <c r="I67" s="197" t="str">
        <f t="shared" si="12"/>
        <v/>
      </c>
      <c r="J67" s="197" t="str">
        <f t="shared" si="12"/>
        <v/>
      </c>
      <c r="K67" s="197" t="str">
        <f t="shared" si="12"/>
        <v/>
      </c>
      <c r="L67" s="197" t="str">
        <f t="shared" si="12"/>
        <v/>
      </c>
      <c r="M67" s="197" t="str">
        <f t="shared" si="12"/>
        <v/>
      </c>
      <c r="N67" s="197" t="str">
        <f t="shared" si="12"/>
        <v/>
      </c>
      <c r="O67" s="197" t="str">
        <f t="shared" si="12"/>
        <v/>
      </c>
      <c r="P67" s="123"/>
    </row>
    <row r="68" spans="1:26" ht="15.75" customHeight="1">
      <c r="A68" s="123"/>
      <c r="B68" s="198" t="s">
        <v>48</v>
      </c>
      <c r="C68" s="357"/>
      <c r="D68" s="357"/>
      <c r="E68" s="357"/>
      <c r="F68" s="114">
        <f>E43+F28-F43</f>
        <v>0</v>
      </c>
      <c r="G68" s="114">
        <f t="shared" ref="G68:O68" si="13">F43+G28-G43</f>
        <v>0</v>
      </c>
      <c r="H68" s="114">
        <f t="shared" si="13"/>
        <v>0</v>
      </c>
      <c r="I68" s="114">
        <f t="shared" si="13"/>
        <v>0</v>
      </c>
      <c r="J68" s="114">
        <f t="shared" si="13"/>
        <v>0</v>
      </c>
      <c r="K68" s="114">
        <f t="shared" si="13"/>
        <v>0</v>
      </c>
      <c r="L68" s="114">
        <f t="shared" si="13"/>
        <v>0</v>
      </c>
      <c r="M68" s="114">
        <f t="shared" si="13"/>
        <v>0</v>
      </c>
      <c r="N68" s="114"/>
      <c r="O68" s="114">
        <f t="shared" si="13"/>
        <v>0</v>
      </c>
      <c r="P68" s="123"/>
    </row>
    <row r="69" spans="1:26" ht="15.75" customHeight="1">
      <c r="A69" s="123"/>
      <c r="B69" s="183" t="s">
        <v>15</v>
      </c>
      <c r="C69" s="358"/>
      <c r="D69" s="358"/>
      <c r="E69" s="358"/>
      <c r="F69" s="4"/>
      <c r="G69" s="4"/>
      <c r="H69" s="4"/>
      <c r="I69" s="4"/>
      <c r="J69" s="4"/>
      <c r="K69" s="4"/>
      <c r="L69" s="4"/>
      <c r="M69" s="3"/>
      <c r="N69" s="3"/>
      <c r="O69" s="3"/>
      <c r="P69" s="123"/>
    </row>
    <row r="70" spans="1:26" ht="15.75" customHeight="1">
      <c r="A70" s="123"/>
      <c r="B70" s="183" t="s">
        <v>49</v>
      </c>
      <c r="C70" s="358"/>
      <c r="D70" s="358"/>
      <c r="E70" s="358"/>
      <c r="F70" s="4"/>
      <c r="G70" s="4"/>
      <c r="H70" s="4"/>
      <c r="I70" s="4"/>
      <c r="J70" s="4"/>
      <c r="K70" s="4"/>
      <c r="L70" s="4"/>
      <c r="M70" s="3"/>
      <c r="N70" s="3"/>
      <c r="O70" s="3"/>
      <c r="P70" s="123"/>
    </row>
    <row r="71" spans="1:26" ht="15.75" customHeight="1">
      <c r="A71" s="123"/>
      <c r="B71" s="189" t="s">
        <v>50</v>
      </c>
      <c r="C71" s="190">
        <v>0</v>
      </c>
      <c r="D71" s="190">
        <v>0</v>
      </c>
      <c r="E71" s="190">
        <v>0</v>
      </c>
      <c r="F71" s="190">
        <f>IFERROR('4. Innovation Loans Calcs'!F13,0)</f>
        <v>0</v>
      </c>
      <c r="G71" s="190">
        <f>IFERROR('4. Innovation Loans Calcs'!F14,0)</f>
        <v>0</v>
      </c>
      <c r="H71" s="190">
        <f>IFERROR('4. Innovation Loans Calcs'!F15,0)</f>
        <v>0</v>
      </c>
      <c r="I71" s="190">
        <f>IFERROR('4. Innovation Loans Calcs'!F16,0)</f>
        <v>0</v>
      </c>
      <c r="J71" s="190">
        <f>IFERROR('4. Innovation Loans Calcs'!F17,0)</f>
        <v>0</v>
      </c>
      <c r="K71" s="190">
        <f>IFERROR('4. Innovation Loans Calcs'!F18,0)</f>
        <v>0</v>
      </c>
      <c r="L71" s="190">
        <f>IFERROR('4. Innovation Loans Calcs'!F19,0)</f>
        <v>0</v>
      </c>
      <c r="M71" s="190">
        <f>IFERROR('4. Innovation Loans Calcs'!F20,0)</f>
        <v>0</v>
      </c>
      <c r="N71" s="190">
        <f>IFERROR('4. Innovation Loans Calcs'!F21,0)</f>
        <v>0</v>
      </c>
      <c r="O71" s="190">
        <f>IFERROR('4. Innovation Loans Calcs'!F22,0)</f>
        <v>0</v>
      </c>
      <c r="P71" s="123"/>
    </row>
    <row r="72" spans="1:26" ht="15.75" customHeight="1" thickBot="1">
      <c r="A72" s="123"/>
      <c r="B72" s="199" t="s">
        <v>51</v>
      </c>
      <c r="C72" s="32">
        <f t="shared" ref="C72:O72" si="14">SUM(C68:C71)</f>
        <v>0</v>
      </c>
      <c r="D72" s="32">
        <f t="shared" si="14"/>
        <v>0</v>
      </c>
      <c r="E72" s="32">
        <f t="shared" si="14"/>
        <v>0</v>
      </c>
      <c r="F72" s="32">
        <f t="shared" si="14"/>
        <v>0</v>
      </c>
      <c r="G72" s="32">
        <f t="shared" si="14"/>
        <v>0</v>
      </c>
      <c r="H72" s="32">
        <f t="shared" si="14"/>
        <v>0</v>
      </c>
      <c r="I72" s="32">
        <f t="shared" si="14"/>
        <v>0</v>
      </c>
      <c r="J72" s="32">
        <f t="shared" si="14"/>
        <v>0</v>
      </c>
      <c r="K72" s="32">
        <f t="shared" si="14"/>
        <v>0</v>
      </c>
      <c r="L72" s="32">
        <f t="shared" si="14"/>
        <v>0</v>
      </c>
      <c r="M72" s="32">
        <f t="shared" si="14"/>
        <v>0</v>
      </c>
      <c r="N72" s="32">
        <f t="shared" si="14"/>
        <v>0</v>
      </c>
      <c r="O72" s="32">
        <f t="shared" si="14"/>
        <v>0</v>
      </c>
      <c r="P72" s="123"/>
    </row>
    <row r="73" spans="1:26" ht="8.25" customHeight="1" thickTop="1">
      <c r="A73" s="123"/>
      <c r="B73" s="174"/>
      <c r="C73" s="356"/>
      <c r="E73" s="356"/>
      <c r="F73" s="187"/>
      <c r="G73" s="187"/>
      <c r="H73" s="187"/>
      <c r="I73" s="187"/>
      <c r="J73" s="187"/>
      <c r="K73" s="187"/>
      <c r="L73" s="187"/>
      <c r="M73" s="174"/>
      <c r="N73" s="174"/>
      <c r="O73" s="174"/>
      <c r="P73" s="123"/>
      <c r="Q73" s="123"/>
      <c r="R73" s="123"/>
      <c r="S73" s="123"/>
      <c r="T73" s="123"/>
      <c r="U73" s="123"/>
      <c r="V73" s="123"/>
      <c r="W73" s="123"/>
      <c r="X73" s="123"/>
      <c r="Y73" s="123"/>
      <c r="Z73" s="123"/>
    </row>
    <row r="74" spans="1:26" ht="15.75" customHeight="1">
      <c r="A74" s="123"/>
      <c r="B74" s="183" t="s">
        <v>52</v>
      </c>
      <c r="C74" s="358"/>
      <c r="D74" s="358"/>
      <c r="E74" s="358"/>
      <c r="F74" s="4">
        <f>E48+F31-F48-E44+F44</f>
        <v>0</v>
      </c>
      <c r="G74" s="4">
        <f t="shared" ref="G74:O74" si="15">F48+G31-G48-F44+G44</f>
        <v>0</v>
      </c>
      <c r="H74" s="4">
        <f t="shared" si="15"/>
        <v>0</v>
      </c>
      <c r="I74" s="4">
        <f t="shared" si="15"/>
        <v>0</v>
      </c>
      <c r="J74" s="4">
        <f t="shared" si="15"/>
        <v>0</v>
      </c>
      <c r="K74" s="4">
        <f t="shared" si="15"/>
        <v>0</v>
      </c>
      <c r="L74" s="4">
        <f t="shared" si="15"/>
        <v>0</v>
      </c>
      <c r="M74" s="4">
        <f t="shared" si="15"/>
        <v>0</v>
      </c>
      <c r="N74" s="4"/>
      <c r="O74" s="4">
        <f t="shared" si="15"/>
        <v>0</v>
      </c>
      <c r="P74" s="123"/>
    </row>
    <row r="75" spans="1:26" ht="15.75" customHeight="1">
      <c r="A75" s="123"/>
      <c r="B75" s="183" t="s">
        <v>19</v>
      </c>
      <c r="C75" s="358"/>
      <c r="D75" s="358"/>
      <c r="E75" s="358"/>
      <c r="F75" s="4">
        <f>F33</f>
        <v>0</v>
      </c>
      <c r="G75" s="4">
        <f t="shared" ref="G75:N75" si="16">G33</f>
        <v>0</v>
      </c>
      <c r="H75" s="4">
        <f t="shared" si="16"/>
        <v>0</v>
      </c>
      <c r="I75" s="4">
        <f t="shared" si="16"/>
        <v>0</v>
      </c>
      <c r="J75" s="4">
        <f t="shared" si="16"/>
        <v>0</v>
      </c>
      <c r="K75" s="4">
        <f t="shared" si="16"/>
        <v>0</v>
      </c>
      <c r="L75" s="4">
        <f t="shared" si="16"/>
        <v>0</v>
      </c>
      <c r="M75" s="4">
        <f t="shared" si="16"/>
        <v>0</v>
      </c>
      <c r="N75" s="4">
        <f t="shared" si="16"/>
        <v>0</v>
      </c>
      <c r="O75" s="3"/>
      <c r="P75" s="123"/>
    </row>
    <row r="76" spans="1:26" ht="15.75" customHeight="1">
      <c r="A76" s="123"/>
      <c r="B76" s="183" t="s">
        <v>53</v>
      </c>
      <c r="C76" s="358"/>
      <c r="D76" s="358"/>
      <c r="E76" s="358"/>
      <c r="F76" s="4"/>
      <c r="G76" s="4"/>
      <c r="H76" s="4"/>
      <c r="I76" s="4"/>
      <c r="J76" s="4"/>
      <c r="K76" s="4"/>
      <c r="L76" s="4"/>
      <c r="M76" s="3"/>
      <c r="N76" s="3"/>
      <c r="O76" s="3"/>
      <c r="P76" s="123"/>
    </row>
    <row r="77" spans="1:26" ht="15.75" customHeight="1">
      <c r="A77" s="123"/>
      <c r="B77" s="189" t="s">
        <v>54</v>
      </c>
      <c r="C77" s="190">
        <v>0</v>
      </c>
      <c r="D77" s="190">
        <v>0</v>
      </c>
      <c r="E77" s="190">
        <v>0</v>
      </c>
      <c r="F77" s="190">
        <f>IFERROR('4. Innovation Loans Calcs'!D13,0)</f>
        <v>0</v>
      </c>
      <c r="G77" s="190">
        <f>IFERROR('4. Innovation Loans Calcs'!D14,0)</f>
        <v>0</v>
      </c>
      <c r="H77" s="190">
        <f>IFERROR('4. Innovation Loans Calcs'!D15,0)</f>
        <v>0</v>
      </c>
      <c r="I77" s="190">
        <f>IFERROR('4. Innovation Loans Calcs'!D16,0)</f>
        <v>0</v>
      </c>
      <c r="J77" s="190">
        <f>IFERROR('4. Innovation Loans Calcs'!D17,0)</f>
        <v>0</v>
      </c>
      <c r="K77" s="190">
        <f>IFERROR('4. Innovation Loans Calcs'!D18,0)</f>
        <v>0</v>
      </c>
      <c r="L77" s="190">
        <f>IFERROR('4. Innovation Loans Calcs'!D19,0)</f>
        <v>0</v>
      </c>
      <c r="M77" s="190">
        <f>IFERROR('4. Innovation Loans Calcs'!D20,0)</f>
        <v>0</v>
      </c>
      <c r="N77" s="190">
        <f>IFERROR('4. Innovation Loans Calcs'!D21,0)</f>
        <v>0</v>
      </c>
      <c r="O77" s="190">
        <f>IFERROR('4. Innovation Loans Calcs'!D22,0)</f>
        <v>0</v>
      </c>
      <c r="P77" s="123"/>
    </row>
    <row r="78" spans="1:26" ht="15.75" customHeight="1">
      <c r="A78" s="123"/>
      <c r="B78" s="183" t="s">
        <v>55</v>
      </c>
      <c r="C78" s="358"/>
      <c r="D78" s="358"/>
      <c r="E78" s="358"/>
      <c r="F78" s="4"/>
      <c r="G78" s="4"/>
      <c r="H78" s="4"/>
      <c r="I78" s="4"/>
      <c r="J78" s="4"/>
      <c r="K78" s="4"/>
      <c r="L78" s="4"/>
      <c r="M78" s="3"/>
      <c r="N78" s="3"/>
      <c r="O78" s="3"/>
      <c r="P78" s="123"/>
    </row>
    <row r="79" spans="1:26" ht="15.75" customHeight="1">
      <c r="A79" s="123"/>
      <c r="B79" s="189" t="s">
        <v>56</v>
      </c>
      <c r="C79" s="190">
        <v>0</v>
      </c>
      <c r="D79" s="190">
        <v>0</v>
      </c>
      <c r="E79" s="190">
        <v>0</v>
      </c>
      <c r="F79" s="190">
        <f>IFERROR('4. Innovation Loans Calcs'!E13,0)</f>
        <v>0</v>
      </c>
      <c r="G79" s="190">
        <f>IFERROR('4. Innovation Loans Calcs'!E14,0)</f>
        <v>0</v>
      </c>
      <c r="H79" s="190">
        <f>IFERROR('4. Innovation Loans Calcs'!E15,0)</f>
        <v>0</v>
      </c>
      <c r="I79" s="190">
        <f>IFERROR('4. Innovation Loans Calcs'!E16,0)</f>
        <v>0</v>
      </c>
      <c r="J79" s="190">
        <f>IFERROR('4. Innovation Loans Calcs'!E17,0)</f>
        <v>0</v>
      </c>
      <c r="K79" s="190">
        <f>IFERROR('4. Innovation Loans Calcs'!E18,0)</f>
        <v>0</v>
      </c>
      <c r="L79" s="190">
        <f>IFERROR('4. Innovation Loans Calcs'!E19,0)</f>
        <v>0</v>
      </c>
      <c r="M79" s="190">
        <f>IFERROR('4. Innovation Loans Calcs'!E20,0)</f>
        <v>0</v>
      </c>
      <c r="N79" s="190">
        <f>IFERROR('4. Innovation Loans Calcs'!E21,0)</f>
        <v>0</v>
      </c>
      <c r="O79" s="190">
        <f>IFERROR('4. Innovation Loans Calcs'!E22,0)</f>
        <v>0</v>
      </c>
      <c r="P79" s="123"/>
    </row>
    <row r="80" spans="1:26" ht="15.75" customHeight="1">
      <c r="A80" s="123"/>
      <c r="B80" s="183" t="s">
        <v>57</v>
      </c>
      <c r="C80" s="358"/>
      <c r="D80" s="358"/>
      <c r="E80" s="358"/>
      <c r="F80" s="4">
        <f>F41-E41</f>
        <v>0</v>
      </c>
      <c r="G80" s="4">
        <f>G41-F41</f>
        <v>0</v>
      </c>
      <c r="H80" s="4">
        <f t="shared" ref="H80:M80" si="17">H41-G41</f>
        <v>0</v>
      </c>
      <c r="I80" s="4">
        <f t="shared" si="17"/>
        <v>0</v>
      </c>
      <c r="J80" s="4">
        <f t="shared" si="17"/>
        <v>0</v>
      </c>
      <c r="K80" s="4">
        <f t="shared" si="17"/>
        <v>0</v>
      </c>
      <c r="L80" s="4">
        <f t="shared" si="17"/>
        <v>0</v>
      </c>
      <c r="M80" s="4">
        <f t="shared" si="17"/>
        <v>0</v>
      </c>
      <c r="N80" s="4"/>
      <c r="O80" s="3"/>
      <c r="P80" s="123"/>
    </row>
    <row r="81" spans="1:26" ht="15.75" customHeight="1">
      <c r="A81" s="123"/>
      <c r="B81" s="283" t="s">
        <v>58</v>
      </c>
      <c r="C81" s="360"/>
      <c r="D81" s="360"/>
      <c r="E81" s="360"/>
      <c r="F81" s="284"/>
      <c r="G81" s="284"/>
      <c r="H81" s="284"/>
      <c r="I81" s="284"/>
      <c r="J81" s="284"/>
      <c r="K81" s="284"/>
      <c r="L81" s="284"/>
      <c r="M81" s="285"/>
      <c r="N81" s="285"/>
      <c r="O81" s="285"/>
      <c r="P81" s="123"/>
    </row>
    <row r="82" spans="1:26" ht="15.75" customHeight="1" thickBot="1">
      <c r="A82" s="123"/>
      <c r="B82" s="286" t="s">
        <v>59</v>
      </c>
      <c r="C82" s="361"/>
      <c r="D82" s="361"/>
      <c r="E82" s="361"/>
      <c r="F82" s="287"/>
      <c r="G82" s="287"/>
      <c r="H82" s="287"/>
      <c r="I82" s="287"/>
      <c r="J82" s="287"/>
      <c r="K82" s="287"/>
      <c r="L82" s="287"/>
      <c r="M82" s="288"/>
      <c r="N82" s="288"/>
      <c r="O82" s="288"/>
      <c r="P82" s="123"/>
    </row>
    <row r="83" spans="1:26" ht="15.75" customHeight="1" thickBot="1">
      <c r="A83" s="123"/>
      <c r="B83" s="199" t="s">
        <v>60</v>
      </c>
      <c r="C83" s="32">
        <f>SUM(C74:C82)</f>
        <v>0</v>
      </c>
      <c r="D83" s="32">
        <f t="shared" ref="D83:E83" si="18">SUM(D74:D82)</f>
        <v>0</v>
      </c>
      <c r="E83" s="32">
        <f t="shared" si="18"/>
        <v>0</v>
      </c>
      <c r="F83" s="32">
        <f>SUM(F74:F82)</f>
        <v>0</v>
      </c>
      <c r="G83" s="32">
        <f t="shared" ref="G83:O83" si="19">SUM(G74:G82)</f>
        <v>0</v>
      </c>
      <c r="H83" s="32">
        <f t="shared" si="19"/>
        <v>0</v>
      </c>
      <c r="I83" s="32">
        <f t="shared" si="19"/>
        <v>0</v>
      </c>
      <c r="J83" s="32">
        <f t="shared" si="19"/>
        <v>0</v>
      </c>
      <c r="K83" s="32">
        <f t="shared" si="19"/>
        <v>0</v>
      </c>
      <c r="L83" s="32">
        <f t="shared" si="19"/>
        <v>0</v>
      </c>
      <c r="M83" s="32">
        <f t="shared" si="19"/>
        <v>0</v>
      </c>
      <c r="N83" s="32">
        <f t="shared" si="19"/>
        <v>0</v>
      </c>
      <c r="O83" s="32">
        <f t="shared" si="19"/>
        <v>0</v>
      </c>
      <c r="P83" s="123"/>
    </row>
    <row r="84" spans="1:26" ht="8.25" customHeight="1" thickTop="1">
      <c r="A84" s="123"/>
      <c r="B84" s="174"/>
      <c r="C84" s="356"/>
      <c r="E84" s="356"/>
      <c r="F84" s="187"/>
      <c r="G84" s="187"/>
      <c r="H84" s="187"/>
      <c r="I84" s="187"/>
      <c r="J84" s="187"/>
      <c r="K84" s="187"/>
      <c r="L84" s="187"/>
      <c r="M84" s="174"/>
      <c r="N84" s="174"/>
      <c r="O84" s="174"/>
      <c r="P84" s="123"/>
      <c r="Q84" s="123"/>
      <c r="R84" s="123"/>
      <c r="S84" s="123"/>
      <c r="T84" s="123"/>
      <c r="U84" s="123"/>
      <c r="V84" s="123"/>
      <c r="W84" s="123"/>
      <c r="X84" s="123"/>
      <c r="Y84" s="123"/>
      <c r="Z84" s="123"/>
    </row>
    <row r="85" spans="1:26" ht="15.75" customHeight="1" thickBot="1">
      <c r="A85" s="123"/>
      <c r="B85" s="200" t="s">
        <v>61</v>
      </c>
      <c r="C85" s="369"/>
      <c r="D85" s="369">
        <f>C87</f>
        <v>0</v>
      </c>
      <c r="E85" s="369">
        <f>D87</f>
        <v>0</v>
      </c>
      <c r="F85" s="100">
        <f>E87</f>
        <v>0</v>
      </c>
      <c r="G85" s="100">
        <f>F87</f>
        <v>0</v>
      </c>
      <c r="H85" s="100">
        <f t="shared" ref="H85:L85" si="20">G87</f>
        <v>0</v>
      </c>
      <c r="I85" s="100">
        <f t="shared" si="20"/>
        <v>0</v>
      </c>
      <c r="J85" s="100">
        <f t="shared" si="20"/>
        <v>0</v>
      </c>
      <c r="K85" s="100">
        <f t="shared" si="20"/>
        <v>0</v>
      </c>
      <c r="L85" s="100">
        <f t="shared" si="20"/>
        <v>0</v>
      </c>
      <c r="M85" s="100">
        <f t="shared" ref="M85" si="21">L87</f>
        <v>0</v>
      </c>
      <c r="N85" s="100">
        <f t="shared" ref="N85" si="22">M87</f>
        <v>0</v>
      </c>
      <c r="O85" s="100">
        <f t="shared" ref="O85" si="23">N87</f>
        <v>0</v>
      </c>
      <c r="P85" s="123"/>
    </row>
    <row r="86" spans="1:26" ht="15.75" customHeight="1">
      <c r="A86" s="123"/>
      <c r="B86" s="201" t="s">
        <v>62</v>
      </c>
      <c r="C86" s="370">
        <f t="shared" ref="C86:E86" si="24">SUM(C72-C83)</f>
        <v>0</v>
      </c>
      <c r="D86" s="370">
        <f t="shared" si="24"/>
        <v>0</v>
      </c>
      <c r="E86" s="370">
        <f t="shared" si="24"/>
        <v>0</v>
      </c>
      <c r="F86" s="31">
        <f>SUM(F72-F83)</f>
        <v>0</v>
      </c>
      <c r="G86" s="31">
        <f t="shared" ref="G86:O86" si="25">SUM(G72-G83)</f>
        <v>0</v>
      </c>
      <c r="H86" s="31">
        <f t="shared" si="25"/>
        <v>0</v>
      </c>
      <c r="I86" s="31">
        <f t="shared" si="25"/>
        <v>0</v>
      </c>
      <c r="J86" s="31">
        <f t="shared" si="25"/>
        <v>0</v>
      </c>
      <c r="K86" s="31">
        <f t="shared" si="25"/>
        <v>0</v>
      </c>
      <c r="L86" s="31">
        <f t="shared" si="25"/>
        <v>0</v>
      </c>
      <c r="M86" s="31">
        <f t="shared" si="25"/>
        <v>0</v>
      </c>
      <c r="N86" s="31">
        <f t="shared" si="25"/>
        <v>0</v>
      </c>
      <c r="O86" s="31">
        <f t="shared" si="25"/>
        <v>0</v>
      </c>
      <c r="P86" s="123"/>
    </row>
    <row r="87" spans="1:26" ht="15.75" customHeight="1" thickBot="1">
      <c r="A87" s="123"/>
      <c r="B87" s="192" t="s">
        <v>63</v>
      </c>
      <c r="C87" s="371">
        <f t="shared" ref="C87:E87" si="26">C85+C86</f>
        <v>0</v>
      </c>
      <c r="D87" s="371">
        <f t="shared" si="26"/>
        <v>0</v>
      </c>
      <c r="E87" s="371">
        <f t="shared" si="26"/>
        <v>0</v>
      </c>
      <c r="F87" s="1">
        <f>F85+F86</f>
        <v>0</v>
      </c>
      <c r="G87" s="1">
        <f t="shared" ref="G87:O87" si="27">G85+G86</f>
        <v>0</v>
      </c>
      <c r="H87" s="1">
        <f t="shared" si="27"/>
        <v>0</v>
      </c>
      <c r="I87" s="1">
        <f t="shared" si="27"/>
        <v>0</v>
      </c>
      <c r="J87" s="1">
        <f t="shared" si="27"/>
        <v>0</v>
      </c>
      <c r="K87" s="1">
        <f t="shared" si="27"/>
        <v>0</v>
      </c>
      <c r="L87" s="1">
        <f t="shared" si="27"/>
        <v>0</v>
      </c>
      <c r="M87" s="1">
        <f t="shared" si="27"/>
        <v>0</v>
      </c>
      <c r="N87" s="1">
        <f t="shared" si="27"/>
        <v>0</v>
      </c>
      <c r="O87" s="1">
        <f t="shared" si="27"/>
        <v>0</v>
      </c>
      <c r="P87" s="123"/>
    </row>
    <row r="88" spans="1:26" ht="15.75" customHeight="1" thickTop="1">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spans="1:26" ht="15.75" customHeight="1" thickBot="1">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spans="1:26" ht="15.75" customHeight="1">
      <c r="A90" s="123"/>
      <c r="B90" s="202" t="s">
        <v>64</v>
      </c>
      <c r="C90" s="40" t="str">
        <f t="shared" ref="C90:O90" si="28">IF(VAR(C57,C62)&lt;1,"Yes","No")</f>
        <v>Yes</v>
      </c>
      <c r="D90" s="40" t="str">
        <f t="shared" si="28"/>
        <v>Yes</v>
      </c>
      <c r="E90" s="40" t="str">
        <f t="shared" si="28"/>
        <v>Yes</v>
      </c>
      <c r="F90" s="40" t="str">
        <f t="shared" si="28"/>
        <v>Yes</v>
      </c>
      <c r="G90" s="40" t="str">
        <f t="shared" si="28"/>
        <v>Yes</v>
      </c>
      <c r="H90" s="40" t="str">
        <f t="shared" si="28"/>
        <v>Yes</v>
      </c>
      <c r="I90" s="40" t="str">
        <f t="shared" si="28"/>
        <v>Yes</v>
      </c>
      <c r="J90" s="40" t="str">
        <f t="shared" si="28"/>
        <v>Yes</v>
      </c>
      <c r="K90" s="40" t="str">
        <f t="shared" si="28"/>
        <v>Yes</v>
      </c>
      <c r="L90" s="40" t="str">
        <f t="shared" si="28"/>
        <v>Yes</v>
      </c>
      <c r="M90" s="40" t="str">
        <f t="shared" si="28"/>
        <v>Yes</v>
      </c>
      <c r="N90" s="40" t="str">
        <f t="shared" si="28"/>
        <v>Yes</v>
      </c>
      <c r="O90" s="41" t="str">
        <f t="shared" si="28"/>
        <v>Yes</v>
      </c>
      <c r="P90" s="123"/>
    </row>
    <row r="91" spans="1:26" ht="15.75" customHeight="1">
      <c r="A91" s="123"/>
      <c r="B91" s="203" t="s">
        <v>65</v>
      </c>
      <c r="C91" s="204"/>
      <c r="D91" s="204"/>
      <c r="E91" s="204" t="str">
        <f>IFERROR(IF(AND(E60&lt;0,(-E60/E59&gt;0.5)),(-E60*2)-E59,"None"),"")</f>
        <v/>
      </c>
      <c r="F91" s="204" t="str">
        <f>IFERROR(IF(AND(F60&lt;0,(-F60/F59&gt;0.5)),(-F60*2)-F59,"None"),"")</f>
        <v/>
      </c>
      <c r="G91" s="204"/>
      <c r="H91" s="204"/>
      <c r="I91" s="204"/>
      <c r="J91" s="204"/>
      <c r="K91" s="204"/>
      <c r="L91" s="204"/>
      <c r="M91" s="204"/>
      <c r="N91" s="204"/>
      <c r="O91" s="204"/>
      <c r="P91" s="123"/>
    </row>
    <row r="92" spans="1:26" ht="15.75" customHeight="1" thickBot="1">
      <c r="A92" s="123"/>
      <c r="B92" s="205" t="s">
        <v>66</v>
      </c>
      <c r="C92" s="42" t="str">
        <f t="shared" ref="C92:E92" si="29">IFERROR(IF(VAR(C87,C42)&lt;1,"Yes","No"),"")</f>
        <v/>
      </c>
      <c r="D92" s="42" t="str">
        <f t="shared" si="29"/>
        <v/>
      </c>
      <c r="E92" s="42" t="str">
        <f t="shared" si="29"/>
        <v/>
      </c>
      <c r="F92" s="42" t="str">
        <f t="shared" ref="F92:O92" si="30">IFERROR(IF(VAR(F87,F42)&lt;1,"Yes","No"),"")</f>
        <v/>
      </c>
      <c r="G92" s="42" t="str">
        <f t="shared" si="30"/>
        <v/>
      </c>
      <c r="H92" s="42" t="str">
        <f t="shared" si="30"/>
        <v/>
      </c>
      <c r="I92" s="42" t="str">
        <f t="shared" si="30"/>
        <v/>
      </c>
      <c r="J92" s="42" t="str">
        <f t="shared" si="30"/>
        <v/>
      </c>
      <c r="K92" s="42" t="str">
        <f t="shared" si="30"/>
        <v/>
      </c>
      <c r="L92" s="42" t="str">
        <f t="shared" si="30"/>
        <v/>
      </c>
      <c r="M92" s="42" t="str">
        <f t="shared" si="30"/>
        <v/>
      </c>
      <c r="N92" s="42" t="str">
        <f t="shared" si="30"/>
        <v/>
      </c>
      <c r="O92" s="43" t="str">
        <f t="shared" si="30"/>
        <v/>
      </c>
      <c r="P92" s="123"/>
    </row>
    <row r="93" spans="1:26" ht="15.75" customHeight="1" thickBot="1">
      <c r="A93" s="123"/>
      <c r="C93" s="206"/>
      <c r="D93" s="206"/>
      <c r="E93" s="206"/>
      <c r="F93" s="206"/>
      <c r="G93" s="206"/>
      <c r="H93" s="206"/>
      <c r="I93" s="206"/>
      <c r="J93" s="206"/>
      <c r="K93" s="206"/>
      <c r="L93" s="206"/>
      <c r="M93" s="206"/>
      <c r="N93" s="206"/>
      <c r="O93" s="206"/>
      <c r="P93" s="123"/>
    </row>
    <row r="94" spans="1:26" ht="15.75" customHeight="1">
      <c r="A94" s="123"/>
      <c r="B94" s="202" t="s">
        <v>67</v>
      </c>
      <c r="C94" s="44" t="str">
        <f t="shared" ref="C94:O94" si="31">IFERROR(C46/C51,"")</f>
        <v/>
      </c>
      <c r="D94" s="44" t="str">
        <f t="shared" si="31"/>
        <v/>
      </c>
      <c r="E94" s="44" t="str">
        <f t="shared" si="31"/>
        <v/>
      </c>
      <c r="F94" s="44" t="str">
        <f t="shared" si="31"/>
        <v/>
      </c>
      <c r="G94" s="44" t="str">
        <f t="shared" si="31"/>
        <v/>
      </c>
      <c r="H94" s="44" t="str">
        <f t="shared" si="31"/>
        <v/>
      </c>
      <c r="I94" s="44" t="str">
        <f t="shared" si="31"/>
        <v/>
      </c>
      <c r="J94" s="44" t="str">
        <f t="shared" si="31"/>
        <v/>
      </c>
      <c r="K94" s="44" t="str">
        <f t="shared" si="31"/>
        <v/>
      </c>
      <c r="L94" s="44" t="str">
        <f t="shared" si="31"/>
        <v/>
      </c>
      <c r="M94" s="44" t="str">
        <f t="shared" si="31"/>
        <v/>
      </c>
      <c r="N94" s="44" t="str">
        <f t="shared" si="31"/>
        <v/>
      </c>
      <c r="O94" s="45" t="str">
        <f t="shared" si="31"/>
        <v/>
      </c>
      <c r="P94" s="123"/>
    </row>
    <row r="95" spans="1:26" ht="15.75" customHeight="1" thickBot="1">
      <c r="A95" s="123"/>
      <c r="B95" s="205" t="s">
        <v>68</v>
      </c>
      <c r="C95" s="39" t="str">
        <f t="shared" ref="C95:O95" si="32">IFERROR(C34/(C76+C77+C78+C79),"")</f>
        <v/>
      </c>
      <c r="D95" s="39" t="str">
        <f t="shared" si="32"/>
        <v/>
      </c>
      <c r="E95" s="39" t="str">
        <f t="shared" si="32"/>
        <v/>
      </c>
      <c r="F95" s="39" t="str">
        <f t="shared" si="32"/>
        <v/>
      </c>
      <c r="G95" s="39" t="str">
        <f t="shared" si="32"/>
        <v/>
      </c>
      <c r="H95" s="39" t="str">
        <f t="shared" si="32"/>
        <v/>
      </c>
      <c r="I95" s="39" t="str">
        <f t="shared" si="32"/>
        <v/>
      </c>
      <c r="J95" s="39" t="str">
        <f t="shared" si="32"/>
        <v/>
      </c>
      <c r="K95" s="39" t="str">
        <f t="shared" si="32"/>
        <v/>
      </c>
      <c r="L95" s="39" t="str">
        <f t="shared" si="32"/>
        <v/>
      </c>
      <c r="M95" s="39" t="str">
        <f t="shared" si="32"/>
        <v/>
      </c>
      <c r="N95" s="39" t="str">
        <f t="shared" si="32"/>
        <v/>
      </c>
      <c r="O95" s="39" t="str">
        <f t="shared" si="32"/>
        <v/>
      </c>
      <c r="P95" s="123"/>
    </row>
    <row r="96" spans="1:26" ht="15.75" customHeight="1">
      <c r="A96" s="123"/>
      <c r="P96" s="123"/>
    </row>
    <row r="97" spans="1:16" ht="15.75" customHeight="1">
      <c r="A97" s="123"/>
      <c r="B97" s="365" t="s">
        <v>69</v>
      </c>
      <c r="C97" s="367" t="e">
        <f>'3. Repayment Calc Template'!C10/'3. Repayment Calc Template'!C9</f>
        <v>#DIV/0!</v>
      </c>
      <c r="P97" s="123"/>
    </row>
    <row r="98" spans="1:16" ht="15.75" customHeight="1">
      <c r="A98" s="123"/>
      <c r="B98" s="343" t="s">
        <v>70</v>
      </c>
      <c r="C98" s="344">
        <f>'8. Grant Equiv Calcs'!C57</f>
        <v>0</v>
      </c>
      <c r="E98" s="207"/>
      <c r="P98" s="123"/>
    </row>
    <row r="99" spans="1:16" ht="15.75" customHeight="1">
      <c r="A99" s="123"/>
      <c r="B99" s="345" t="s">
        <v>71</v>
      </c>
      <c r="C99" s="366" t="e">
        <f>C98/'3. Repayment Calc Template'!C9</f>
        <v>#DIV/0!</v>
      </c>
      <c r="E99" s="207"/>
      <c r="P99" s="123"/>
    </row>
    <row r="100" spans="1:16" ht="15.75" customHeight="1">
      <c r="A100" s="123"/>
      <c r="P100" s="123"/>
    </row>
    <row r="101" spans="1:16" ht="15.75" customHeight="1">
      <c r="A101" s="123"/>
      <c r="P101" s="123"/>
    </row>
    <row r="102" spans="1:16" ht="15.75" customHeight="1">
      <c r="A102" s="123"/>
      <c r="P102" s="123"/>
    </row>
    <row r="103" spans="1:16" ht="15.75" customHeight="1">
      <c r="A103" s="123"/>
      <c r="P103" s="123"/>
    </row>
    <row r="104" spans="1:16" ht="15.75" customHeight="1">
      <c r="A104" s="123"/>
      <c r="P104" s="123"/>
    </row>
    <row r="105" spans="1:16" ht="15.75" customHeight="1">
      <c r="A105" s="123"/>
      <c r="P105" s="123"/>
    </row>
    <row r="106" spans="1:16" ht="15.75" customHeight="1">
      <c r="A106" s="123"/>
      <c r="P106" s="123"/>
    </row>
    <row r="107" spans="1:16" ht="15.75" customHeight="1">
      <c r="A107" s="123"/>
      <c r="P107" s="123"/>
    </row>
    <row r="108" spans="1:16" ht="15.75" customHeight="1">
      <c r="A108" s="123"/>
      <c r="P108" s="123"/>
    </row>
    <row r="109" spans="1:16" ht="15.75" customHeight="1">
      <c r="A109" s="123"/>
      <c r="P109" s="123"/>
    </row>
    <row r="110" spans="1:16" ht="15.75" customHeight="1">
      <c r="A110" s="123"/>
      <c r="P110" s="123"/>
    </row>
    <row r="111" spans="1:16" ht="15.75" customHeight="1">
      <c r="A111" s="123"/>
      <c r="P111" s="123"/>
    </row>
    <row r="112" spans="1:16" ht="15.75" customHeight="1">
      <c r="A112" s="123"/>
      <c r="P112" s="123"/>
    </row>
    <row r="113" spans="1:16" ht="15.75" customHeight="1">
      <c r="A113" s="123"/>
      <c r="P113" s="123"/>
    </row>
    <row r="114" spans="1:16" ht="15.75" customHeight="1">
      <c r="A114" s="123"/>
      <c r="P114" s="123"/>
    </row>
    <row r="115" spans="1:16" ht="15.75" customHeight="1">
      <c r="A115" s="123"/>
      <c r="P115" s="123"/>
    </row>
    <row r="116" spans="1:16" ht="15.75" customHeight="1">
      <c r="A116" s="123"/>
      <c r="P116" s="123"/>
    </row>
    <row r="117" spans="1:16" ht="15.75" customHeight="1">
      <c r="A117" s="123"/>
      <c r="P117" s="123"/>
    </row>
    <row r="118" spans="1:16" ht="15.75" customHeight="1">
      <c r="A118" s="123"/>
      <c r="P118" s="123"/>
    </row>
    <row r="119" spans="1:16" ht="15.75" customHeight="1">
      <c r="A119" s="123"/>
      <c r="P119" s="123"/>
    </row>
    <row r="120" spans="1:16" ht="15.75" customHeight="1">
      <c r="A120" s="123"/>
      <c r="P120" s="123"/>
    </row>
    <row r="121" spans="1:16" ht="15.75" customHeight="1">
      <c r="A121" s="123"/>
      <c r="P121" s="123"/>
    </row>
    <row r="122" spans="1:16" ht="15.75" customHeight="1">
      <c r="A122" s="123"/>
      <c r="P122" s="123"/>
    </row>
    <row r="123" spans="1:16" ht="15.75" customHeight="1">
      <c r="A123" s="123"/>
      <c r="P123" s="123"/>
    </row>
    <row r="124" spans="1:16" ht="15.75" customHeight="1">
      <c r="A124" s="123"/>
      <c r="P124" s="123"/>
    </row>
    <row r="125" spans="1:16" ht="15.75" customHeight="1">
      <c r="A125" s="123"/>
      <c r="P125" s="123"/>
    </row>
    <row r="126" spans="1:16" ht="15.75" customHeight="1">
      <c r="A126" s="123"/>
      <c r="P126" s="123"/>
    </row>
    <row r="127" spans="1:16" ht="15.75" customHeight="1">
      <c r="A127" s="123"/>
      <c r="P127" s="123"/>
    </row>
    <row r="128" spans="1:16" ht="15.75" customHeight="1">
      <c r="A128" s="123"/>
      <c r="P128" s="123"/>
    </row>
    <row r="129" spans="1:16" ht="15.75" customHeight="1">
      <c r="A129" s="123"/>
      <c r="P129" s="123"/>
    </row>
    <row r="130" spans="1:16" ht="15.75" customHeight="1">
      <c r="A130" s="123"/>
      <c r="P130" s="123"/>
    </row>
    <row r="131" spans="1:16" ht="15.75" customHeight="1">
      <c r="A131" s="123"/>
      <c r="P131" s="123"/>
    </row>
    <row r="132" spans="1:16" ht="15.75" customHeight="1">
      <c r="A132" s="123"/>
      <c r="P132" s="123"/>
    </row>
    <row r="133" spans="1:16" ht="15.75" customHeight="1">
      <c r="A133" s="123"/>
      <c r="P133" s="123"/>
    </row>
    <row r="134" spans="1:16" ht="15.75" customHeight="1">
      <c r="A134" s="123"/>
      <c r="P134" s="123"/>
    </row>
    <row r="135" spans="1:16" ht="15.75" customHeight="1">
      <c r="A135" s="123"/>
      <c r="P135" s="123"/>
    </row>
    <row r="136" spans="1:16" ht="15.75" customHeight="1">
      <c r="A136" s="123"/>
      <c r="P136" s="123"/>
    </row>
    <row r="137" spans="1:16" ht="15.75" customHeight="1">
      <c r="A137" s="123"/>
      <c r="P137" s="123"/>
    </row>
    <row r="138" spans="1:16" ht="15.75" customHeight="1">
      <c r="A138" s="123"/>
      <c r="P138" s="123"/>
    </row>
    <row r="139" spans="1:16" ht="15.75" customHeight="1">
      <c r="A139" s="123"/>
      <c r="P139" s="123"/>
    </row>
    <row r="140" spans="1:16" ht="15.75" customHeight="1">
      <c r="A140" s="123"/>
      <c r="P140" s="123"/>
    </row>
    <row r="141" spans="1:16" ht="15.75" customHeight="1">
      <c r="A141" s="123"/>
      <c r="P141" s="123"/>
    </row>
    <row r="142" spans="1:16" ht="15.75" customHeight="1">
      <c r="A142" s="123"/>
      <c r="P142" s="123"/>
    </row>
    <row r="143" spans="1:16" ht="15.75" customHeight="1">
      <c r="A143" s="123"/>
      <c r="P143" s="123"/>
    </row>
    <row r="144" spans="1:16" ht="15.75" customHeight="1">
      <c r="A144" s="123"/>
      <c r="P144" s="123"/>
    </row>
    <row r="145" spans="1:16" ht="15.75" customHeight="1">
      <c r="A145" s="123"/>
      <c r="P145" s="123"/>
    </row>
    <row r="146" spans="1:16" ht="15.75" customHeight="1">
      <c r="A146" s="123"/>
      <c r="P146" s="123"/>
    </row>
    <row r="147" spans="1:16" ht="15.75" customHeight="1">
      <c r="A147" s="123"/>
      <c r="P147" s="123"/>
    </row>
    <row r="148" spans="1:16" ht="15.75" customHeight="1">
      <c r="A148" s="123"/>
      <c r="P148" s="123"/>
    </row>
    <row r="149" spans="1:16" ht="15.75" customHeight="1">
      <c r="A149" s="123"/>
      <c r="P149" s="123"/>
    </row>
    <row r="150" spans="1:16" ht="15.75" customHeight="1">
      <c r="A150" s="123"/>
      <c r="P150" s="123"/>
    </row>
    <row r="151" spans="1:16" ht="15.75" customHeight="1">
      <c r="A151" s="123"/>
      <c r="P151" s="123"/>
    </row>
    <row r="152" spans="1:16" ht="15.75" customHeight="1">
      <c r="A152" s="123"/>
      <c r="P152" s="123"/>
    </row>
    <row r="153" spans="1:16" ht="15.75" customHeight="1">
      <c r="A153" s="123"/>
      <c r="P153" s="123"/>
    </row>
    <row r="154" spans="1:16" ht="15.75" customHeight="1">
      <c r="A154" s="123"/>
      <c r="P154" s="123"/>
    </row>
    <row r="155" spans="1:16" ht="15.75" customHeight="1">
      <c r="A155" s="123"/>
      <c r="P155" s="123"/>
    </row>
    <row r="156" spans="1:16" ht="15.75" customHeight="1">
      <c r="A156" s="123"/>
      <c r="P156" s="123"/>
    </row>
    <row r="157" spans="1:16" ht="15.75" customHeight="1">
      <c r="A157" s="123"/>
      <c r="P157" s="123"/>
    </row>
    <row r="158" spans="1:16" ht="15.75" customHeight="1">
      <c r="A158" s="123"/>
      <c r="P158" s="123"/>
    </row>
    <row r="159" spans="1:16" ht="15.75" customHeight="1">
      <c r="A159" s="123"/>
      <c r="P159" s="123"/>
    </row>
    <row r="160" spans="1:16" ht="15.75" customHeight="1">
      <c r="A160" s="123"/>
      <c r="P160" s="123"/>
    </row>
    <row r="161" spans="1:16" ht="15.75" customHeight="1">
      <c r="A161" s="123"/>
      <c r="P161" s="123"/>
    </row>
    <row r="162" spans="1:16" ht="15.75" customHeight="1">
      <c r="A162" s="123"/>
      <c r="P162" s="123"/>
    </row>
    <row r="163" spans="1:16" ht="15.75" customHeight="1">
      <c r="A163" s="123"/>
      <c r="P163" s="123"/>
    </row>
    <row r="164" spans="1:16" ht="15.75" customHeight="1">
      <c r="A164" s="123"/>
      <c r="P164" s="123"/>
    </row>
    <row r="165" spans="1:16" ht="15.75" customHeight="1">
      <c r="A165" s="123"/>
      <c r="P165" s="123"/>
    </row>
    <row r="166" spans="1:16" ht="15.75" customHeight="1">
      <c r="A166" s="123"/>
      <c r="P166" s="123"/>
    </row>
    <row r="167" spans="1:16" ht="15.75" customHeight="1">
      <c r="A167" s="123"/>
      <c r="P167" s="123"/>
    </row>
    <row r="168" spans="1:16" ht="15.75" customHeight="1">
      <c r="A168" s="123"/>
      <c r="P168" s="123"/>
    </row>
    <row r="169" spans="1:16" ht="15.75" customHeight="1">
      <c r="A169" s="123"/>
      <c r="P169" s="123"/>
    </row>
    <row r="170" spans="1:16" ht="15.75" customHeight="1">
      <c r="A170" s="123"/>
      <c r="P170" s="123"/>
    </row>
    <row r="171" spans="1:16" ht="15.75" customHeight="1">
      <c r="A171" s="123"/>
      <c r="P171" s="123"/>
    </row>
    <row r="172" spans="1:16" ht="15.75" customHeight="1">
      <c r="A172" s="123"/>
      <c r="P172" s="123"/>
    </row>
    <row r="173" spans="1:16" ht="15.75" customHeight="1">
      <c r="A173" s="123"/>
      <c r="P173" s="123"/>
    </row>
    <row r="174" spans="1:16" ht="15.75" customHeight="1">
      <c r="A174" s="123"/>
      <c r="P174" s="123"/>
    </row>
    <row r="175" spans="1:16" ht="15.75" customHeight="1">
      <c r="A175" s="123"/>
      <c r="P175" s="123"/>
    </row>
    <row r="176" spans="1:16" ht="15.75" customHeight="1">
      <c r="A176" s="123"/>
      <c r="P176" s="123"/>
    </row>
    <row r="177" spans="1:16" ht="15.75" customHeight="1">
      <c r="A177" s="123"/>
      <c r="P177" s="123"/>
    </row>
    <row r="178" spans="1:16" ht="15.75" customHeight="1">
      <c r="A178" s="123"/>
      <c r="P178" s="123"/>
    </row>
    <row r="179" spans="1:16" ht="15.75" customHeight="1">
      <c r="A179" s="123"/>
      <c r="P179" s="123"/>
    </row>
    <row r="180" spans="1:16" ht="15.75" customHeight="1">
      <c r="A180" s="123"/>
      <c r="P180" s="123"/>
    </row>
    <row r="181" spans="1:16" ht="15.75" customHeight="1">
      <c r="A181" s="123"/>
      <c r="P181" s="123"/>
    </row>
    <row r="182" spans="1:16" ht="15.75" customHeight="1">
      <c r="A182" s="123"/>
      <c r="P182" s="123"/>
    </row>
    <row r="183" spans="1:16" ht="15.75" customHeight="1">
      <c r="A183" s="123"/>
      <c r="P183" s="123"/>
    </row>
    <row r="184" spans="1:16" ht="15.75" customHeight="1">
      <c r="A184" s="123"/>
      <c r="P184" s="123"/>
    </row>
    <row r="185" spans="1:16" ht="15.75" customHeight="1">
      <c r="A185" s="123"/>
      <c r="P185" s="123"/>
    </row>
    <row r="186" spans="1:16" ht="15.75" customHeight="1">
      <c r="A186" s="123"/>
      <c r="P186" s="123"/>
    </row>
    <row r="187" spans="1:16" ht="15.75" customHeight="1">
      <c r="A187" s="123"/>
      <c r="P187" s="123"/>
    </row>
    <row r="188" spans="1:16" ht="15.75" customHeight="1">
      <c r="A188" s="123"/>
      <c r="P188" s="123"/>
    </row>
    <row r="189" spans="1:16" ht="15.75" customHeight="1">
      <c r="A189" s="123"/>
      <c r="P189" s="123"/>
    </row>
    <row r="190" spans="1:16" ht="15.75" customHeight="1">
      <c r="A190" s="123"/>
      <c r="P190" s="123"/>
    </row>
    <row r="191" spans="1:16" ht="15.75" customHeight="1">
      <c r="A191" s="123"/>
      <c r="P191" s="123"/>
    </row>
    <row r="192" spans="1:16" ht="15.75" customHeight="1">
      <c r="A192" s="123"/>
      <c r="P192" s="123"/>
    </row>
    <row r="193" spans="1:16" ht="15.75" customHeight="1">
      <c r="A193" s="123"/>
      <c r="P193" s="123"/>
    </row>
    <row r="194" spans="1:16" ht="15.75" customHeight="1">
      <c r="A194" s="123"/>
      <c r="P194" s="123"/>
    </row>
    <row r="195" spans="1:16" ht="15.75" customHeight="1">
      <c r="A195" s="123"/>
      <c r="P195" s="123"/>
    </row>
    <row r="196" spans="1:16" ht="15.75" customHeight="1">
      <c r="A196" s="123"/>
      <c r="P196" s="123"/>
    </row>
    <row r="197" spans="1:16" ht="15.75" customHeight="1">
      <c r="A197" s="123"/>
      <c r="P197" s="123"/>
    </row>
    <row r="198" spans="1:16" ht="15.75" customHeight="1">
      <c r="A198" s="123"/>
      <c r="P198" s="123"/>
    </row>
    <row r="199" spans="1:16" ht="15.75" customHeight="1">
      <c r="A199" s="123"/>
      <c r="P199" s="123"/>
    </row>
    <row r="200" spans="1:16" ht="15.75" customHeight="1">
      <c r="A200" s="123"/>
      <c r="P200" s="123"/>
    </row>
    <row r="201" spans="1:16" ht="15.75" customHeight="1">
      <c r="A201" s="123"/>
      <c r="P201" s="123"/>
    </row>
    <row r="202" spans="1:16" ht="15.75" customHeight="1">
      <c r="A202" s="123"/>
      <c r="P202" s="123"/>
    </row>
    <row r="203" spans="1:16" ht="15.75" customHeight="1">
      <c r="A203" s="123"/>
      <c r="P203" s="123"/>
    </row>
    <row r="204" spans="1:16" ht="15.75" customHeight="1">
      <c r="A204" s="123"/>
      <c r="P204" s="123"/>
    </row>
    <row r="205" spans="1:16" ht="15.75" customHeight="1">
      <c r="A205" s="123"/>
      <c r="P205" s="123"/>
    </row>
    <row r="206" spans="1:16" ht="15.75" customHeight="1">
      <c r="A206" s="123"/>
      <c r="P206" s="123"/>
    </row>
    <row r="207" spans="1:16" ht="15.75" customHeight="1">
      <c r="A207" s="123"/>
      <c r="P207" s="123"/>
    </row>
    <row r="208" spans="1:16" ht="15.75" customHeight="1">
      <c r="A208" s="123"/>
      <c r="P208" s="123"/>
    </row>
    <row r="209" spans="1:16" ht="15.75" customHeight="1">
      <c r="A209" s="123"/>
      <c r="P209" s="123"/>
    </row>
    <row r="210" spans="1:16" ht="15.75" customHeight="1">
      <c r="A210" s="123"/>
      <c r="P210" s="123"/>
    </row>
    <row r="211" spans="1:16" ht="15.75" customHeight="1">
      <c r="A211" s="123"/>
      <c r="P211" s="123"/>
    </row>
    <row r="212" spans="1:16" ht="15.75" customHeight="1">
      <c r="A212" s="123"/>
      <c r="P212" s="123"/>
    </row>
    <row r="213" spans="1:16" ht="15.75" customHeight="1">
      <c r="A213" s="123"/>
      <c r="P213" s="123"/>
    </row>
    <row r="214" spans="1:16" ht="15.75" customHeight="1">
      <c r="A214" s="123"/>
      <c r="P214" s="123"/>
    </row>
    <row r="215" spans="1:16" ht="15.75" customHeight="1">
      <c r="A215" s="123"/>
      <c r="P215" s="123"/>
    </row>
    <row r="216" spans="1:16" ht="15.75" customHeight="1">
      <c r="A216" s="123"/>
      <c r="P216" s="123"/>
    </row>
    <row r="217" spans="1:16" ht="15.75" customHeight="1">
      <c r="A217" s="123"/>
      <c r="P217" s="123"/>
    </row>
    <row r="218" spans="1:16" ht="15.75" customHeight="1">
      <c r="A218" s="123"/>
      <c r="P218" s="123"/>
    </row>
    <row r="219" spans="1:16" ht="15.75" customHeight="1">
      <c r="A219" s="123"/>
      <c r="P219" s="123"/>
    </row>
    <row r="220" spans="1:16" ht="15.75" customHeight="1">
      <c r="A220" s="123"/>
      <c r="P220" s="123"/>
    </row>
    <row r="221" spans="1:16" ht="15.75" customHeight="1">
      <c r="A221" s="123"/>
      <c r="P221" s="123"/>
    </row>
    <row r="222" spans="1:16" ht="15.75" customHeight="1">
      <c r="A222" s="123"/>
      <c r="P222" s="123"/>
    </row>
    <row r="223" spans="1:16" ht="15.75" customHeight="1">
      <c r="A223" s="123"/>
      <c r="P223" s="123"/>
    </row>
    <row r="224" spans="1:16" ht="15.75" customHeight="1">
      <c r="A224" s="123"/>
      <c r="P224" s="123"/>
    </row>
    <row r="225" spans="1:16" ht="15.75" customHeight="1">
      <c r="A225" s="123"/>
      <c r="P225" s="123"/>
    </row>
    <row r="226" spans="1:16" ht="15.75" customHeight="1">
      <c r="A226" s="123"/>
      <c r="P226" s="123"/>
    </row>
    <row r="227" spans="1:16" ht="15.75" customHeight="1">
      <c r="A227" s="123"/>
      <c r="P227" s="123"/>
    </row>
    <row r="228" spans="1:16" ht="15.75" customHeight="1">
      <c r="A228" s="123"/>
      <c r="P228" s="123"/>
    </row>
    <row r="229" spans="1:16" ht="15.75" customHeight="1">
      <c r="A229" s="123"/>
      <c r="P229" s="123"/>
    </row>
    <row r="230" spans="1:16" ht="15.75" customHeight="1">
      <c r="A230" s="123"/>
      <c r="P230" s="123"/>
    </row>
    <row r="231" spans="1:16" ht="15.75" customHeight="1">
      <c r="A231" s="123"/>
      <c r="P231" s="123"/>
    </row>
    <row r="232" spans="1:16" ht="15.75" customHeight="1">
      <c r="A232" s="123"/>
      <c r="P232" s="123"/>
    </row>
    <row r="233" spans="1:16" ht="15.75" customHeight="1">
      <c r="A233" s="123"/>
      <c r="P233" s="123"/>
    </row>
    <row r="234" spans="1:16" ht="15.75" customHeight="1">
      <c r="A234" s="123"/>
      <c r="P234" s="123"/>
    </row>
    <row r="235" spans="1:16" ht="15.75" customHeight="1">
      <c r="A235" s="123"/>
      <c r="P235" s="123"/>
    </row>
    <row r="236" spans="1:16" ht="15.75" customHeight="1">
      <c r="A236" s="123"/>
      <c r="P236" s="123"/>
    </row>
    <row r="237" spans="1:16" ht="15.75" customHeight="1">
      <c r="A237" s="123"/>
      <c r="P237" s="123"/>
    </row>
    <row r="238" spans="1:16" ht="15.75" customHeight="1">
      <c r="A238" s="123"/>
      <c r="P238" s="123"/>
    </row>
    <row r="239" spans="1:16" ht="15.75" customHeight="1">
      <c r="A239" s="123"/>
      <c r="P239" s="123"/>
    </row>
    <row r="240" spans="1:16" ht="15.75" customHeight="1">
      <c r="A240" s="123"/>
      <c r="P240" s="123"/>
    </row>
    <row r="241" spans="1:16" ht="15.75" customHeight="1">
      <c r="A241" s="123"/>
      <c r="P241" s="123"/>
    </row>
    <row r="242" spans="1:16" ht="15.75" customHeight="1">
      <c r="A242" s="123"/>
      <c r="P242" s="123"/>
    </row>
    <row r="243" spans="1:16" ht="15.75" customHeight="1">
      <c r="A243" s="123"/>
      <c r="P243" s="123"/>
    </row>
    <row r="244" spans="1:16" ht="15.75" customHeight="1">
      <c r="A244" s="123"/>
      <c r="P244" s="123"/>
    </row>
    <row r="245" spans="1:16" ht="15.75" customHeight="1">
      <c r="A245" s="123"/>
      <c r="P245" s="123"/>
    </row>
    <row r="246" spans="1:16" ht="15.75" customHeight="1">
      <c r="A246" s="123"/>
      <c r="P246" s="123"/>
    </row>
    <row r="247" spans="1:16" ht="15.75" customHeight="1">
      <c r="A247" s="123"/>
      <c r="P247" s="123"/>
    </row>
    <row r="248" spans="1:16" ht="15.75" customHeight="1">
      <c r="A248" s="123"/>
      <c r="P248" s="123"/>
    </row>
    <row r="249" spans="1:16" ht="15.75" customHeight="1">
      <c r="A249" s="123"/>
      <c r="P249" s="123"/>
    </row>
    <row r="250" spans="1:16" ht="15.75" customHeight="1">
      <c r="A250" s="123"/>
      <c r="P250" s="123"/>
    </row>
    <row r="251" spans="1:16" ht="15.75" customHeight="1">
      <c r="A251" s="123"/>
      <c r="P251" s="123"/>
    </row>
    <row r="252" spans="1:16" ht="15.75" customHeight="1">
      <c r="A252" s="123"/>
      <c r="P252" s="123"/>
    </row>
    <row r="253" spans="1:16" ht="15.75" customHeight="1">
      <c r="A253" s="123"/>
      <c r="P253" s="123"/>
    </row>
    <row r="254" spans="1:16" ht="15.75" customHeight="1">
      <c r="A254" s="123"/>
      <c r="P254" s="123"/>
    </row>
    <row r="255" spans="1:16" ht="15.75" customHeight="1">
      <c r="A255" s="123"/>
      <c r="P255" s="123"/>
    </row>
    <row r="256" spans="1:16" ht="15.75" customHeight="1">
      <c r="A256" s="123"/>
      <c r="P256" s="123"/>
    </row>
    <row r="257" spans="1:16" ht="15.75" customHeight="1">
      <c r="A257" s="123"/>
      <c r="P257" s="123"/>
    </row>
    <row r="258" spans="1:16" ht="15.75" customHeight="1">
      <c r="A258" s="123"/>
      <c r="P258" s="123"/>
    </row>
    <row r="259" spans="1:16" ht="15.75" customHeight="1">
      <c r="A259" s="123"/>
      <c r="P259" s="123"/>
    </row>
    <row r="260" spans="1:16" ht="15.75" customHeight="1">
      <c r="A260" s="123"/>
      <c r="P260" s="123"/>
    </row>
    <row r="261" spans="1:16" ht="15.75" customHeight="1">
      <c r="A261" s="123"/>
      <c r="P261" s="123"/>
    </row>
    <row r="262" spans="1:16" ht="15.75" customHeight="1">
      <c r="A262" s="123"/>
      <c r="P262" s="123"/>
    </row>
    <row r="263" spans="1:16" ht="15.75" customHeight="1">
      <c r="A263" s="123"/>
      <c r="P263" s="123"/>
    </row>
    <row r="264" spans="1:16" ht="15.75" customHeight="1">
      <c r="A264" s="123"/>
      <c r="P264" s="123"/>
    </row>
    <row r="265" spans="1:16" ht="15.75" customHeight="1">
      <c r="A265" s="123"/>
      <c r="P265" s="123"/>
    </row>
    <row r="266" spans="1:16" ht="15.75" customHeight="1">
      <c r="A266" s="123"/>
      <c r="P266" s="123"/>
    </row>
    <row r="267" spans="1:16" ht="15.75" customHeight="1">
      <c r="A267" s="123"/>
      <c r="P267" s="123"/>
    </row>
    <row r="268" spans="1:16" ht="15.75" customHeight="1">
      <c r="A268" s="123"/>
      <c r="P268" s="123"/>
    </row>
    <row r="269" spans="1:16" ht="15.75" customHeight="1">
      <c r="A269" s="123"/>
      <c r="P269" s="123"/>
    </row>
    <row r="270" spans="1:16" ht="15.75" customHeight="1">
      <c r="A270" s="123"/>
      <c r="P270" s="123"/>
    </row>
    <row r="271" spans="1:16" ht="15.75" customHeight="1">
      <c r="A271" s="123"/>
      <c r="P271" s="123"/>
    </row>
    <row r="272" spans="1:16" ht="15.75" customHeight="1">
      <c r="A272" s="123"/>
      <c r="P272" s="123"/>
    </row>
    <row r="273" spans="1:16" ht="15.75" customHeight="1">
      <c r="A273" s="123"/>
      <c r="P273" s="123"/>
    </row>
    <row r="274" spans="1:16" ht="15.75" customHeight="1">
      <c r="A274" s="123"/>
      <c r="P274" s="123"/>
    </row>
    <row r="275" spans="1:16" ht="15.75" customHeight="1">
      <c r="A275" s="123"/>
      <c r="P275" s="123"/>
    </row>
    <row r="276" spans="1:16" ht="15.75" customHeight="1">
      <c r="A276" s="123"/>
      <c r="P276" s="123"/>
    </row>
    <row r="277" spans="1:16" ht="15.75" customHeight="1">
      <c r="A277" s="123"/>
      <c r="P277" s="123"/>
    </row>
    <row r="278" spans="1:16" ht="15.75" customHeight="1">
      <c r="A278" s="123"/>
      <c r="P278" s="123"/>
    </row>
    <row r="279" spans="1:16" ht="15.75" customHeight="1">
      <c r="A279" s="123"/>
      <c r="P279" s="123"/>
    </row>
    <row r="280" spans="1:16" ht="15.75" customHeight="1">
      <c r="A280" s="123"/>
      <c r="P280" s="123"/>
    </row>
    <row r="281" spans="1:16" ht="15.75" customHeight="1">
      <c r="A281" s="123"/>
      <c r="P281" s="123"/>
    </row>
    <row r="282" spans="1:16" ht="15.75" customHeight="1">
      <c r="A282" s="123"/>
      <c r="P282" s="123"/>
    </row>
    <row r="283" spans="1:16" ht="15.75" customHeight="1">
      <c r="A283" s="123"/>
      <c r="P283" s="123"/>
    </row>
    <row r="284" spans="1:16" ht="15.75" customHeight="1">
      <c r="A284" s="123"/>
      <c r="P284" s="123"/>
    </row>
    <row r="285" spans="1:16" ht="15.75" customHeight="1">
      <c r="A285" s="123"/>
      <c r="P285" s="123"/>
    </row>
    <row r="286" spans="1:16" ht="15.75" customHeight="1">
      <c r="A286" s="123"/>
      <c r="P286" s="123"/>
    </row>
    <row r="287" spans="1:16" ht="15.75" customHeight="1">
      <c r="A287" s="123"/>
      <c r="P287" s="123"/>
    </row>
    <row r="288" spans="1:16" ht="15.75" customHeight="1">
      <c r="A288" s="123"/>
      <c r="P288" s="123"/>
    </row>
    <row r="289" spans="1:16" ht="15.75" customHeight="1">
      <c r="A289" s="123"/>
      <c r="P289" s="123"/>
    </row>
    <row r="290" spans="1:16" ht="15.75" customHeight="1">
      <c r="A290" s="123"/>
      <c r="P290" s="123"/>
    </row>
    <row r="291" spans="1:16" ht="15.75" customHeight="1">
      <c r="A291" s="123"/>
      <c r="P291" s="123"/>
    </row>
    <row r="292" spans="1:16" ht="15.75" customHeight="1">
      <c r="A292" s="123"/>
      <c r="P292" s="123"/>
    </row>
    <row r="293" spans="1:16" ht="15.75" customHeight="1">
      <c r="A293" s="123"/>
      <c r="P293" s="123"/>
    </row>
    <row r="294" spans="1:16" ht="15.75" customHeight="1">
      <c r="A294" s="123"/>
      <c r="P294" s="123"/>
    </row>
    <row r="295" spans="1:16" ht="15.75" customHeight="1">
      <c r="A295" s="123"/>
      <c r="P295" s="123"/>
    </row>
    <row r="296" spans="1:16" ht="15.75" customHeight="1">
      <c r="A296" s="123"/>
      <c r="P296" s="123"/>
    </row>
    <row r="297" spans="1:16" ht="15.75" customHeight="1">
      <c r="A297" s="123"/>
      <c r="P297" s="123"/>
    </row>
    <row r="298" spans="1:16" ht="15.75" customHeight="1">
      <c r="A298" s="123"/>
      <c r="P298" s="123"/>
    </row>
    <row r="299" spans="1:16" ht="15.75" customHeight="1">
      <c r="A299" s="123"/>
      <c r="P299" s="123"/>
    </row>
    <row r="300" spans="1:16" ht="15.75" customHeight="1">
      <c r="A300" s="123"/>
      <c r="P300" s="123"/>
    </row>
    <row r="301" spans="1:16" ht="15.75" customHeight="1">
      <c r="A301" s="123"/>
      <c r="P301" s="123"/>
    </row>
    <row r="302" spans="1:16" ht="15.75" customHeight="1">
      <c r="A302" s="123"/>
      <c r="P302" s="123"/>
    </row>
    <row r="303" spans="1:16" ht="15.75" customHeight="1">
      <c r="A303" s="123"/>
      <c r="P303" s="123"/>
    </row>
    <row r="304" spans="1:16" ht="15.75" customHeight="1">
      <c r="A304" s="123"/>
      <c r="P304" s="123"/>
    </row>
    <row r="305" spans="1:16" ht="15.75" customHeight="1">
      <c r="A305" s="123"/>
      <c r="P305" s="123"/>
    </row>
    <row r="306" spans="1:16" ht="15.75" customHeight="1">
      <c r="A306" s="123"/>
      <c r="P306" s="123"/>
    </row>
    <row r="307" spans="1:16" ht="15.75" customHeight="1">
      <c r="A307" s="123"/>
      <c r="P307" s="123"/>
    </row>
    <row r="308" spans="1:16" ht="15.75" customHeight="1">
      <c r="A308" s="123"/>
      <c r="P308" s="123"/>
    </row>
    <row r="309" spans="1:16" ht="15.75" customHeight="1">
      <c r="A309" s="123"/>
      <c r="P309" s="123"/>
    </row>
    <row r="310" spans="1:16" ht="15.75" customHeight="1">
      <c r="A310" s="123"/>
      <c r="P310" s="123"/>
    </row>
    <row r="311" spans="1:16" ht="15.75" customHeight="1">
      <c r="A311" s="123"/>
      <c r="P311" s="123"/>
    </row>
    <row r="312" spans="1:16" ht="15.75" customHeight="1">
      <c r="A312" s="123"/>
      <c r="P312" s="123"/>
    </row>
    <row r="313" spans="1:16" ht="15.75" customHeight="1">
      <c r="A313" s="123"/>
      <c r="P313" s="123"/>
    </row>
    <row r="314" spans="1:16" ht="15.75" customHeight="1">
      <c r="A314" s="123"/>
      <c r="P314" s="123"/>
    </row>
    <row r="315" spans="1:16" ht="15.75" customHeight="1">
      <c r="A315" s="123"/>
      <c r="P315" s="123"/>
    </row>
    <row r="316" spans="1:16" ht="15.75" customHeight="1">
      <c r="A316" s="123"/>
      <c r="P316" s="123"/>
    </row>
    <row r="317" spans="1:16" ht="15.75" customHeight="1">
      <c r="A317" s="123"/>
      <c r="P317" s="123"/>
    </row>
    <row r="318" spans="1:16" ht="15.75" customHeight="1">
      <c r="A318" s="123"/>
      <c r="P318" s="123"/>
    </row>
    <row r="319" spans="1:16" ht="15.75" customHeight="1">
      <c r="A319" s="123"/>
      <c r="P319" s="123"/>
    </row>
    <row r="320" spans="1:16" ht="15.75" customHeight="1">
      <c r="A320" s="123"/>
      <c r="P320" s="123"/>
    </row>
    <row r="321" spans="1:16" ht="15.75" customHeight="1">
      <c r="A321" s="123"/>
      <c r="P321" s="123"/>
    </row>
    <row r="322" spans="1:16" ht="15.75" customHeight="1">
      <c r="A322" s="123"/>
      <c r="P322" s="123"/>
    </row>
    <row r="323" spans="1:16" ht="15.75" customHeight="1">
      <c r="A323" s="123"/>
      <c r="P323" s="123"/>
    </row>
    <row r="324" spans="1:16" ht="15.75" customHeight="1">
      <c r="A324" s="123"/>
      <c r="P324" s="123"/>
    </row>
    <row r="325" spans="1:16" ht="15.75" customHeight="1">
      <c r="A325" s="123"/>
      <c r="P325" s="123"/>
    </row>
    <row r="326" spans="1:16" ht="15.75" customHeight="1">
      <c r="A326" s="123"/>
      <c r="P326" s="123"/>
    </row>
    <row r="327" spans="1:16" ht="15.75" customHeight="1">
      <c r="A327" s="123"/>
      <c r="P327" s="123"/>
    </row>
    <row r="328" spans="1:16" ht="15.75" customHeight="1">
      <c r="A328" s="123"/>
      <c r="P328" s="123"/>
    </row>
    <row r="329" spans="1:16" ht="15.75" customHeight="1">
      <c r="A329" s="123"/>
      <c r="P329" s="123"/>
    </row>
    <row r="330" spans="1:16" ht="15.75" customHeight="1">
      <c r="A330" s="123"/>
      <c r="P330" s="123"/>
    </row>
    <row r="331" spans="1:16" ht="15.75" customHeight="1">
      <c r="A331" s="123"/>
      <c r="P331" s="123"/>
    </row>
    <row r="332" spans="1:16" ht="15.75" customHeight="1">
      <c r="A332" s="123"/>
      <c r="P332" s="123"/>
    </row>
    <row r="333" spans="1:16" ht="15.75" customHeight="1">
      <c r="A333" s="123"/>
      <c r="P333" s="123"/>
    </row>
    <row r="334" spans="1:16" ht="15.75" customHeight="1">
      <c r="A334" s="123"/>
      <c r="P334" s="123"/>
    </row>
    <row r="335" spans="1:16" ht="15.75" customHeight="1">
      <c r="A335" s="123"/>
      <c r="P335" s="123"/>
    </row>
    <row r="336" spans="1:16" ht="15.75" customHeight="1">
      <c r="A336" s="123"/>
      <c r="P336" s="123"/>
    </row>
    <row r="337" spans="1:16" ht="15.75" customHeight="1">
      <c r="A337" s="123"/>
      <c r="P337" s="123"/>
    </row>
    <row r="338" spans="1:16" ht="15.75" customHeight="1">
      <c r="A338" s="123"/>
      <c r="P338" s="123"/>
    </row>
    <row r="339" spans="1:16" ht="15.75" customHeight="1">
      <c r="A339" s="123"/>
      <c r="P339" s="123"/>
    </row>
    <row r="340" spans="1:16" ht="15.75" customHeight="1">
      <c r="A340" s="123"/>
      <c r="P340" s="123"/>
    </row>
    <row r="341" spans="1:16" ht="15.75" customHeight="1">
      <c r="A341" s="123"/>
      <c r="P341" s="123"/>
    </row>
    <row r="342" spans="1:16" ht="15.75" customHeight="1">
      <c r="A342" s="123"/>
      <c r="P342" s="123"/>
    </row>
    <row r="343" spans="1:16" ht="15.75" customHeight="1">
      <c r="A343" s="123"/>
      <c r="P343" s="123"/>
    </row>
    <row r="344" spans="1:16" ht="15.75" customHeight="1">
      <c r="A344" s="123"/>
      <c r="P344" s="123"/>
    </row>
    <row r="345" spans="1:16" ht="15.75" customHeight="1">
      <c r="A345" s="123"/>
      <c r="P345" s="123"/>
    </row>
    <row r="346" spans="1:16" ht="15.75" customHeight="1">
      <c r="A346" s="123"/>
      <c r="P346" s="123"/>
    </row>
    <row r="347" spans="1:16" ht="15.75" customHeight="1">
      <c r="A347" s="123"/>
      <c r="P347" s="123"/>
    </row>
    <row r="348" spans="1:16" ht="15.75" customHeight="1">
      <c r="A348" s="123"/>
      <c r="P348" s="123"/>
    </row>
    <row r="349" spans="1:16" ht="15.75" customHeight="1">
      <c r="A349" s="123"/>
      <c r="P349" s="123"/>
    </row>
    <row r="350" spans="1:16" ht="15.75" customHeight="1">
      <c r="A350" s="123"/>
      <c r="P350" s="123"/>
    </row>
    <row r="351" spans="1:16" ht="15.75" customHeight="1">
      <c r="A351" s="123"/>
      <c r="P351" s="123"/>
    </row>
    <row r="352" spans="1:16" ht="15.75" customHeight="1">
      <c r="A352" s="123"/>
      <c r="P352" s="123"/>
    </row>
    <row r="353" spans="1:16" ht="15.75" customHeight="1">
      <c r="A353" s="123"/>
      <c r="P353" s="123"/>
    </row>
    <row r="354" spans="1:16" ht="15.75" customHeight="1">
      <c r="A354" s="123"/>
      <c r="P354" s="123"/>
    </row>
    <row r="355" spans="1:16" ht="15.75" customHeight="1">
      <c r="A355" s="123"/>
      <c r="P355" s="123"/>
    </row>
    <row r="356" spans="1:16" ht="15.75" customHeight="1">
      <c r="A356" s="123"/>
      <c r="P356" s="123"/>
    </row>
    <row r="357" spans="1:16" ht="15.75" customHeight="1">
      <c r="A357" s="123"/>
      <c r="P357" s="123"/>
    </row>
    <row r="358" spans="1:16" ht="15.75" customHeight="1">
      <c r="A358" s="123"/>
      <c r="P358" s="123"/>
    </row>
    <row r="359" spans="1:16" ht="15.75" customHeight="1">
      <c r="A359" s="123"/>
      <c r="P359" s="123"/>
    </row>
    <row r="360" spans="1:16" ht="15.75" customHeight="1">
      <c r="A360" s="123"/>
      <c r="P360" s="123"/>
    </row>
    <row r="361" spans="1:16" ht="15.75" customHeight="1">
      <c r="A361" s="123"/>
      <c r="P361" s="123"/>
    </row>
    <row r="362" spans="1:16" ht="15.75" customHeight="1">
      <c r="A362" s="123"/>
      <c r="P362" s="123"/>
    </row>
    <row r="363" spans="1:16" ht="15.75" customHeight="1">
      <c r="A363" s="123"/>
      <c r="P363" s="123"/>
    </row>
    <row r="364" spans="1:16" ht="15.75" customHeight="1">
      <c r="A364" s="123"/>
      <c r="P364" s="123"/>
    </row>
    <row r="365" spans="1:16" ht="15.75" customHeight="1">
      <c r="A365" s="123"/>
      <c r="P365" s="123"/>
    </row>
    <row r="366" spans="1:16" ht="15.75" customHeight="1">
      <c r="A366" s="123"/>
      <c r="P366" s="123"/>
    </row>
    <row r="367" spans="1:16" ht="15.75" customHeight="1">
      <c r="A367" s="123"/>
      <c r="P367" s="123"/>
    </row>
    <row r="368" spans="1:16" ht="15.75" customHeight="1">
      <c r="A368" s="123"/>
      <c r="P368" s="123"/>
    </row>
    <row r="369" spans="1:16" ht="15.75" customHeight="1">
      <c r="A369" s="123"/>
      <c r="P369" s="123"/>
    </row>
    <row r="370" spans="1:16" ht="15.75" customHeight="1">
      <c r="A370" s="123"/>
      <c r="P370" s="123"/>
    </row>
    <row r="371" spans="1:16" ht="15.75" customHeight="1">
      <c r="A371" s="123"/>
      <c r="P371" s="123"/>
    </row>
    <row r="372" spans="1:16" ht="15.75" customHeight="1">
      <c r="A372" s="123"/>
      <c r="P372" s="123"/>
    </row>
    <row r="373" spans="1:16" ht="15.75" customHeight="1">
      <c r="A373" s="123"/>
      <c r="P373" s="123"/>
    </row>
    <row r="374" spans="1:16" ht="15.75" customHeight="1">
      <c r="A374" s="123"/>
      <c r="P374" s="123"/>
    </row>
    <row r="375" spans="1:16" ht="15.75" customHeight="1">
      <c r="A375" s="123"/>
      <c r="P375" s="123"/>
    </row>
    <row r="376" spans="1:16" ht="15.75" customHeight="1">
      <c r="A376" s="123"/>
      <c r="P376" s="123"/>
    </row>
    <row r="377" spans="1:16" ht="15.75" customHeight="1">
      <c r="A377" s="123"/>
      <c r="P377" s="123"/>
    </row>
    <row r="378" spans="1:16" ht="15.75" customHeight="1">
      <c r="A378" s="123"/>
      <c r="P378" s="123"/>
    </row>
    <row r="379" spans="1:16" ht="15.75" customHeight="1">
      <c r="A379" s="123"/>
      <c r="P379" s="123"/>
    </row>
    <row r="380" spans="1:16" ht="15.75" customHeight="1">
      <c r="A380" s="123"/>
      <c r="P380" s="123"/>
    </row>
    <row r="381" spans="1:16" ht="15.75" customHeight="1">
      <c r="A381" s="123"/>
      <c r="P381" s="123"/>
    </row>
    <row r="382" spans="1:16" ht="15.75" customHeight="1">
      <c r="A382" s="123"/>
      <c r="P382" s="123"/>
    </row>
    <row r="383" spans="1:16" ht="15.75" customHeight="1">
      <c r="A383" s="123"/>
      <c r="P383" s="123"/>
    </row>
    <row r="384" spans="1:16" ht="15.75" customHeight="1">
      <c r="A384" s="123"/>
      <c r="P384" s="123"/>
    </row>
    <row r="385" spans="1:16" ht="15.75" customHeight="1">
      <c r="A385" s="123"/>
      <c r="P385" s="123"/>
    </row>
    <row r="386" spans="1:16" ht="15.75" customHeight="1">
      <c r="A386" s="123"/>
      <c r="P386" s="123"/>
    </row>
    <row r="387" spans="1:16" ht="15.75" customHeight="1">
      <c r="A387" s="123"/>
      <c r="P387" s="123"/>
    </row>
    <row r="388" spans="1:16" ht="15.75" customHeight="1">
      <c r="A388" s="123"/>
      <c r="P388" s="123"/>
    </row>
    <row r="389" spans="1:16" ht="15.75" customHeight="1">
      <c r="A389" s="123"/>
      <c r="P389" s="123"/>
    </row>
    <row r="390" spans="1:16" ht="15.75" customHeight="1">
      <c r="A390" s="123"/>
      <c r="P390" s="123"/>
    </row>
    <row r="391" spans="1:16" ht="15.75" customHeight="1">
      <c r="A391" s="123"/>
      <c r="P391" s="123"/>
    </row>
    <row r="392" spans="1:16" ht="15.75" customHeight="1">
      <c r="A392" s="123"/>
      <c r="P392" s="123"/>
    </row>
    <row r="393" spans="1:16" ht="15.75" customHeight="1">
      <c r="A393" s="123"/>
      <c r="P393" s="123"/>
    </row>
    <row r="394" spans="1:16" ht="15.75" customHeight="1">
      <c r="A394" s="123"/>
      <c r="P394" s="123"/>
    </row>
    <row r="395" spans="1:16" ht="15.75" customHeight="1">
      <c r="A395" s="123"/>
      <c r="P395" s="123"/>
    </row>
    <row r="396" spans="1:16" ht="15.75" customHeight="1">
      <c r="A396" s="123"/>
      <c r="P396" s="123"/>
    </row>
    <row r="397" spans="1:16" ht="15.75" customHeight="1">
      <c r="A397" s="123"/>
      <c r="P397" s="123"/>
    </row>
    <row r="398" spans="1:16" ht="15.75" customHeight="1">
      <c r="A398" s="123"/>
      <c r="P398" s="123"/>
    </row>
    <row r="399" spans="1:16" ht="15.75" customHeight="1">
      <c r="A399" s="123"/>
      <c r="P399" s="123"/>
    </row>
    <row r="400" spans="1:16" ht="15.75" customHeight="1">
      <c r="A400" s="123"/>
      <c r="P400" s="123"/>
    </row>
    <row r="401" spans="1:16" ht="15.75" customHeight="1">
      <c r="A401" s="123"/>
      <c r="P401" s="123"/>
    </row>
    <row r="402" spans="1:16" ht="15.75" customHeight="1">
      <c r="A402" s="123"/>
      <c r="P402" s="123"/>
    </row>
    <row r="403" spans="1:16" ht="15.75" customHeight="1">
      <c r="A403" s="123"/>
      <c r="P403" s="123"/>
    </row>
    <row r="404" spans="1:16" ht="15.75" customHeight="1">
      <c r="A404" s="123"/>
      <c r="P404" s="123"/>
    </row>
    <row r="405" spans="1:16" ht="15.75" customHeight="1">
      <c r="A405" s="123"/>
      <c r="P405" s="123"/>
    </row>
    <row r="406" spans="1:16" ht="15.75" customHeight="1">
      <c r="A406" s="123"/>
      <c r="P406" s="123"/>
    </row>
    <row r="407" spans="1:16" ht="15.75" customHeight="1">
      <c r="A407" s="123"/>
      <c r="P407" s="123"/>
    </row>
    <row r="408" spans="1:16" ht="15.75" customHeight="1">
      <c r="A408" s="123"/>
      <c r="P408" s="123"/>
    </row>
    <row r="409" spans="1:16" ht="15.75" customHeight="1">
      <c r="A409" s="123"/>
      <c r="P409" s="123"/>
    </row>
    <row r="410" spans="1:16" ht="15.75" customHeight="1">
      <c r="A410" s="123"/>
      <c r="P410" s="123"/>
    </row>
    <row r="411" spans="1:16" ht="15.75" customHeight="1">
      <c r="A411" s="123"/>
      <c r="P411" s="123"/>
    </row>
    <row r="412" spans="1:16" ht="15.75" customHeight="1">
      <c r="A412" s="123"/>
      <c r="P412" s="123"/>
    </row>
    <row r="413" spans="1:16" ht="15.75" customHeight="1">
      <c r="A413" s="123"/>
      <c r="P413" s="123"/>
    </row>
    <row r="414" spans="1:16" ht="15.75" customHeight="1">
      <c r="A414" s="123"/>
      <c r="P414" s="123"/>
    </row>
    <row r="415" spans="1:16" ht="15.75" customHeight="1">
      <c r="A415" s="123"/>
      <c r="P415" s="123"/>
    </row>
    <row r="416" spans="1:16" ht="15.75" customHeight="1">
      <c r="A416" s="123"/>
      <c r="P416" s="123"/>
    </row>
    <row r="417" spans="1:16" ht="15.75" customHeight="1">
      <c r="A417" s="123"/>
      <c r="P417" s="123"/>
    </row>
    <row r="418" spans="1:16" ht="15.75" customHeight="1">
      <c r="A418" s="123"/>
      <c r="P418" s="123"/>
    </row>
    <row r="419" spans="1:16" ht="15.75" customHeight="1">
      <c r="A419" s="123"/>
      <c r="P419" s="123"/>
    </row>
    <row r="420" spans="1:16" ht="15.75" customHeight="1">
      <c r="A420" s="123"/>
      <c r="P420" s="123"/>
    </row>
    <row r="421" spans="1:16" ht="15.75" customHeight="1">
      <c r="A421" s="123"/>
      <c r="P421" s="123"/>
    </row>
    <row r="422" spans="1:16" ht="15.75" customHeight="1">
      <c r="A422" s="123"/>
      <c r="P422" s="123"/>
    </row>
    <row r="423" spans="1:16" ht="15.75" customHeight="1">
      <c r="A423" s="123"/>
      <c r="P423" s="123"/>
    </row>
    <row r="424" spans="1:16" ht="15.75" customHeight="1">
      <c r="A424" s="123"/>
      <c r="P424" s="123"/>
    </row>
    <row r="425" spans="1:16" ht="15.75" customHeight="1">
      <c r="A425" s="123"/>
      <c r="P425" s="123"/>
    </row>
    <row r="426" spans="1:16" ht="15.75" customHeight="1">
      <c r="A426" s="123"/>
      <c r="P426" s="123"/>
    </row>
    <row r="427" spans="1:16" ht="15.75" customHeight="1">
      <c r="A427" s="123"/>
      <c r="P427" s="123"/>
    </row>
    <row r="428" spans="1:16" ht="15.75" customHeight="1">
      <c r="A428" s="123"/>
      <c r="P428" s="123"/>
    </row>
    <row r="429" spans="1:16" ht="15.75" customHeight="1">
      <c r="A429" s="123"/>
      <c r="P429" s="123"/>
    </row>
    <row r="430" spans="1:16" ht="15.75" customHeight="1">
      <c r="A430" s="123"/>
      <c r="P430" s="123"/>
    </row>
    <row r="431" spans="1:16" ht="15.75" customHeight="1">
      <c r="A431" s="123"/>
      <c r="P431" s="123"/>
    </row>
    <row r="432" spans="1:16" ht="15.75" customHeight="1">
      <c r="A432" s="123"/>
      <c r="P432" s="123"/>
    </row>
    <row r="433" spans="1:16" ht="15.75" customHeight="1">
      <c r="A433" s="123"/>
      <c r="P433" s="123"/>
    </row>
    <row r="434" spans="1:16" ht="15.75" customHeight="1">
      <c r="A434" s="123"/>
      <c r="P434" s="123"/>
    </row>
    <row r="435" spans="1:16" ht="15.75" customHeight="1">
      <c r="A435" s="123"/>
      <c r="P435" s="123"/>
    </row>
    <row r="436" spans="1:16" ht="15.75" customHeight="1">
      <c r="A436" s="123"/>
      <c r="P436" s="123"/>
    </row>
    <row r="437" spans="1:16" ht="15.75" customHeight="1">
      <c r="A437" s="123"/>
      <c r="P437" s="123"/>
    </row>
    <row r="438" spans="1:16" ht="15.75" customHeight="1">
      <c r="A438" s="123"/>
      <c r="P438" s="123"/>
    </row>
    <row r="439" spans="1:16" ht="15.75" customHeight="1">
      <c r="A439" s="123"/>
      <c r="P439" s="123"/>
    </row>
    <row r="440" spans="1:16" ht="15.75" customHeight="1">
      <c r="A440" s="123"/>
      <c r="P440" s="123"/>
    </row>
    <row r="441" spans="1:16" ht="15.75" customHeight="1">
      <c r="A441" s="123"/>
      <c r="P441" s="123"/>
    </row>
    <row r="442" spans="1:16" ht="15.75" customHeight="1">
      <c r="A442" s="123"/>
      <c r="P442" s="123"/>
    </row>
    <row r="443" spans="1:16" ht="15.75" customHeight="1">
      <c r="A443" s="123"/>
      <c r="P443" s="123"/>
    </row>
    <row r="444" spans="1:16" ht="15.75" customHeight="1">
      <c r="A444" s="123"/>
      <c r="P444" s="123"/>
    </row>
    <row r="445" spans="1:16" ht="15.75" customHeight="1">
      <c r="A445" s="123"/>
      <c r="P445" s="123"/>
    </row>
    <row r="446" spans="1:16" ht="15.75" customHeight="1">
      <c r="A446" s="123"/>
      <c r="P446" s="123"/>
    </row>
    <row r="447" spans="1:16" ht="15.75" customHeight="1">
      <c r="A447" s="123"/>
      <c r="P447" s="123"/>
    </row>
    <row r="448" spans="1:16" ht="15.75" customHeight="1">
      <c r="A448" s="123"/>
      <c r="P448" s="123"/>
    </row>
    <row r="449" spans="1:16" ht="15.75" customHeight="1">
      <c r="A449" s="123"/>
      <c r="P449" s="123"/>
    </row>
    <row r="450" spans="1:16" ht="15.75" customHeight="1">
      <c r="A450" s="123"/>
      <c r="P450" s="123"/>
    </row>
    <row r="451" spans="1:16" ht="15.75" customHeight="1">
      <c r="A451" s="123"/>
      <c r="P451" s="123"/>
    </row>
    <row r="452" spans="1:16" ht="15.75" customHeight="1">
      <c r="A452" s="123"/>
      <c r="P452" s="123"/>
    </row>
    <row r="453" spans="1:16" ht="15.75" customHeight="1">
      <c r="A453" s="123"/>
      <c r="P453" s="123"/>
    </row>
    <row r="454" spans="1:16" ht="15.75" customHeight="1">
      <c r="A454" s="123"/>
      <c r="P454" s="123"/>
    </row>
    <row r="455" spans="1:16" ht="15.75" customHeight="1">
      <c r="A455" s="123"/>
      <c r="P455" s="123"/>
    </row>
    <row r="456" spans="1:16" ht="15.75" customHeight="1">
      <c r="A456" s="123"/>
      <c r="P456" s="123"/>
    </row>
    <row r="457" spans="1:16" ht="15.75" customHeight="1">
      <c r="A457" s="123"/>
      <c r="P457" s="123"/>
    </row>
    <row r="458" spans="1:16" ht="15.75" customHeight="1">
      <c r="A458" s="123"/>
      <c r="P458" s="123"/>
    </row>
    <row r="459" spans="1:16" ht="15.75" customHeight="1">
      <c r="A459" s="123"/>
      <c r="P459" s="123"/>
    </row>
    <row r="460" spans="1:16" ht="15.75" customHeight="1">
      <c r="A460" s="123"/>
      <c r="P460" s="123"/>
    </row>
    <row r="461" spans="1:16" ht="15.75" customHeight="1">
      <c r="A461" s="123"/>
      <c r="P461" s="123"/>
    </row>
    <row r="462" spans="1:16" ht="15.75" customHeight="1">
      <c r="A462" s="123"/>
      <c r="P462" s="123"/>
    </row>
    <row r="463" spans="1:16" ht="15.75" customHeight="1">
      <c r="A463" s="123"/>
      <c r="P463" s="123"/>
    </row>
    <row r="464" spans="1:16" ht="15.75" customHeight="1">
      <c r="A464" s="123"/>
      <c r="P464" s="123"/>
    </row>
    <row r="465" spans="1:16" ht="15.75" customHeight="1">
      <c r="A465" s="123"/>
      <c r="P465" s="123"/>
    </row>
    <row r="466" spans="1:16" ht="15.75" customHeight="1">
      <c r="A466" s="123"/>
      <c r="P466" s="123"/>
    </row>
    <row r="467" spans="1:16" ht="15.75" customHeight="1">
      <c r="A467" s="123"/>
      <c r="P467" s="123"/>
    </row>
    <row r="468" spans="1:16" ht="15.75" customHeight="1">
      <c r="A468" s="123"/>
      <c r="P468" s="123"/>
    </row>
    <row r="469" spans="1:16" ht="15.75" customHeight="1">
      <c r="A469" s="123"/>
      <c r="P469" s="123"/>
    </row>
    <row r="470" spans="1:16" ht="15.75" customHeight="1">
      <c r="A470" s="123"/>
      <c r="P470" s="123"/>
    </row>
    <row r="471" spans="1:16" ht="15.75" customHeight="1">
      <c r="A471" s="123"/>
      <c r="P471" s="123"/>
    </row>
    <row r="472" spans="1:16" ht="15.75" customHeight="1">
      <c r="A472" s="123"/>
      <c r="P472" s="123"/>
    </row>
    <row r="473" spans="1:16" ht="15.75" customHeight="1">
      <c r="A473" s="123"/>
      <c r="P473" s="123"/>
    </row>
    <row r="474" spans="1:16" ht="15.75" customHeight="1">
      <c r="A474" s="123"/>
      <c r="P474" s="123"/>
    </row>
    <row r="475" spans="1:16" ht="15.75" customHeight="1">
      <c r="A475" s="123"/>
      <c r="P475" s="123"/>
    </row>
    <row r="476" spans="1:16" ht="15.75" customHeight="1">
      <c r="A476" s="123"/>
      <c r="P476" s="123"/>
    </row>
    <row r="477" spans="1:16" ht="15.75" customHeight="1">
      <c r="A477" s="123"/>
      <c r="P477" s="123"/>
    </row>
    <row r="478" spans="1:16" ht="15.75" customHeight="1">
      <c r="A478" s="123"/>
      <c r="P478" s="123"/>
    </row>
    <row r="479" spans="1:16" ht="15.75" customHeight="1">
      <c r="A479" s="123"/>
      <c r="P479" s="123"/>
    </row>
    <row r="480" spans="1:16" ht="15.75" customHeight="1">
      <c r="A480" s="123"/>
      <c r="P480" s="123"/>
    </row>
    <row r="481" spans="1:16" ht="15.75" customHeight="1">
      <c r="A481" s="123"/>
      <c r="P481" s="123"/>
    </row>
    <row r="482" spans="1:16" ht="15.75" customHeight="1">
      <c r="A482" s="123"/>
      <c r="P482" s="123"/>
    </row>
    <row r="483" spans="1:16" ht="15.75" customHeight="1">
      <c r="A483" s="123"/>
      <c r="P483" s="123"/>
    </row>
    <row r="484" spans="1:16" ht="15.75" customHeight="1">
      <c r="A484" s="123"/>
      <c r="P484" s="123"/>
    </row>
    <row r="485" spans="1:16" ht="15.75" customHeight="1">
      <c r="A485" s="123"/>
      <c r="P485" s="123"/>
    </row>
    <row r="486" spans="1:16" ht="15.75" customHeight="1">
      <c r="A486" s="123"/>
      <c r="P486" s="123"/>
    </row>
    <row r="487" spans="1:16" ht="15.75" customHeight="1">
      <c r="A487" s="123"/>
      <c r="P487" s="123"/>
    </row>
    <row r="488" spans="1:16" ht="15.75" customHeight="1">
      <c r="A488" s="123"/>
      <c r="P488" s="123"/>
    </row>
    <row r="489" spans="1:16" ht="15.75" customHeight="1">
      <c r="A489" s="123"/>
      <c r="P489" s="123"/>
    </row>
    <row r="490" spans="1:16" ht="15.75" customHeight="1">
      <c r="A490" s="123"/>
      <c r="P490" s="123"/>
    </row>
    <row r="491" spans="1:16" ht="15.75" customHeight="1">
      <c r="A491" s="123"/>
      <c r="P491" s="123"/>
    </row>
    <row r="492" spans="1:16" ht="15.75" customHeight="1">
      <c r="A492" s="123"/>
      <c r="P492" s="123"/>
    </row>
    <row r="493" spans="1:16" ht="15.75" customHeight="1">
      <c r="A493" s="123"/>
      <c r="P493" s="123"/>
    </row>
    <row r="494" spans="1:16" ht="15.75" customHeight="1">
      <c r="A494" s="123"/>
      <c r="P494" s="123"/>
    </row>
    <row r="495" spans="1:16" ht="15.75" customHeight="1">
      <c r="A495" s="123"/>
      <c r="P495" s="123"/>
    </row>
    <row r="496" spans="1:16" ht="15.75" customHeight="1">
      <c r="A496" s="123"/>
      <c r="P496" s="123"/>
    </row>
    <row r="497" spans="1:16" ht="15.75" customHeight="1">
      <c r="A497" s="123"/>
      <c r="P497" s="123"/>
    </row>
    <row r="498" spans="1:16" ht="15.75" customHeight="1">
      <c r="A498" s="123"/>
      <c r="P498" s="123"/>
    </row>
    <row r="499" spans="1:16" ht="15.75" customHeight="1">
      <c r="A499" s="123"/>
      <c r="P499" s="123"/>
    </row>
    <row r="500" spans="1:16" ht="15.75" customHeight="1">
      <c r="A500" s="123"/>
      <c r="P500" s="123"/>
    </row>
    <row r="501" spans="1:16" ht="15.75" customHeight="1">
      <c r="A501" s="123"/>
      <c r="P501" s="123"/>
    </row>
    <row r="502" spans="1:16" ht="15.75" customHeight="1">
      <c r="A502" s="123"/>
      <c r="P502" s="123"/>
    </row>
    <row r="503" spans="1:16" ht="15.75" customHeight="1">
      <c r="A503" s="123"/>
      <c r="P503" s="123"/>
    </row>
    <row r="504" spans="1:16" ht="15.75" customHeight="1">
      <c r="A504" s="123"/>
      <c r="P504" s="123"/>
    </row>
    <row r="505" spans="1:16" ht="15.75" customHeight="1">
      <c r="A505" s="123"/>
      <c r="P505" s="123"/>
    </row>
    <row r="506" spans="1:16" ht="15.75" customHeight="1">
      <c r="A506" s="123"/>
      <c r="P506" s="123"/>
    </row>
    <row r="507" spans="1:16" ht="15.75" customHeight="1">
      <c r="A507" s="123"/>
      <c r="P507" s="123"/>
    </row>
    <row r="508" spans="1:16" ht="15.75" customHeight="1">
      <c r="A508" s="123"/>
      <c r="P508" s="123"/>
    </row>
    <row r="509" spans="1:16" ht="15.75" customHeight="1">
      <c r="A509" s="123"/>
      <c r="P509" s="123"/>
    </row>
    <row r="510" spans="1:16" ht="15.75" customHeight="1">
      <c r="A510" s="123"/>
      <c r="P510" s="123"/>
    </row>
    <row r="511" spans="1:16" ht="15.75" customHeight="1">
      <c r="A511" s="123"/>
      <c r="P511" s="123"/>
    </row>
    <row r="512" spans="1:16" ht="15.75" customHeight="1">
      <c r="A512" s="123"/>
      <c r="P512" s="123"/>
    </row>
    <row r="513" spans="1:16" ht="15.75" customHeight="1">
      <c r="A513" s="123"/>
      <c r="P513" s="123"/>
    </row>
    <row r="514" spans="1:16" ht="15.75" customHeight="1">
      <c r="A514" s="123"/>
      <c r="P514" s="123"/>
    </row>
    <row r="515" spans="1:16" ht="15.75" customHeight="1">
      <c r="A515" s="123"/>
      <c r="P515" s="123"/>
    </row>
    <row r="516" spans="1:16" ht="15.75" customHeight="1">
      <c r="A516" s="123"/>
      <c r="P516" s="123"/>
    </row>
    <row r="517" spans="1:16" ht="15.75" customHeight="1">
      <c r="A517" s="123"/>
      <c r="P517" s="123"/>
    </row>
    <row r="518" spans="1:16" ht="15.75" customHeight="1">
      <c r="A518" s="123"/>
      <c r="P518" s="123"/>
    </row>
    <row r="519" spans="1:16" ht="15.75" customHeight="1">
      <c r="A519" s="123"/>
      <c r="P519" s="123"/>
    </row>
    <row r="520" spans="1:16" ht="15.75" customHeight="1">
      <c r="A520" s="123"/>
      <c r="P520" s="123"/>
    </row>
    <row r="521" spans="1:16" ht="15.75" customHeight="1">
      <c r="A521" s="123"/>
      <c r="P521" s="123"/>
    </row>
    <row r="522" spans="1:16" ht="15.75" customHeight="1">
      <c r="A522" s="123"/>
      <c r="P522" s="123"/>
    </row>
    <row r="523" spans="1:16" ht="15.75" customHeight="1">
      <c r="A523" s="123"/>
      <c r="P523" s="123"/>
    </row>
    <row r="524" spans="1:16" ht="15.75" customHeight="1">
      <c r="A524" s="123"/>
      <c r="P524" s="123"/>
    </row>
    <row r="525" spans="1:16" ht="15.75" customHeight="1">
      <c r="A525" s="123"/>
      <c r="P525" s="123"/>
    </row>
    <row r="526" spans="1:16" ht="15.75" customHeight="1">
      <c r="A526" s="123"/>
      <c r="P526" s="123"/>
    </row>
    <row r="527" spans="1:16" ht="15.75" customHeight="1">
      <c r="A527" s="123"/>
      <c r="P527" s="123"/>
    </row>
    <row r="528" spans="1:16" ht="15.75" customHeight="1">
      <c r="A528" s="123"/>
      <c r="P528" s="123"/>
    </row>
    <row r="529" spans="1:16" ht="15.75" customHeight="1">
      <c r="A529" s="123"/>
      <c r="P529" s="123"/>
    </row>
    <row r="530" spans="1:16" ht="15.75" customHeight="1">
      <c r="A530" s="123"/>
      <c r="P530" s="123"/>
    </row>
    <row r="531" spans="1:16" ht="15.75" customHeight="1">
      <c r="A531" s="123"/>
      <c r="P531" s="123"/>
    </row>
    <row r="532" spans="1:16" ht="15.75" customHeight="1">
      <c r="A532" s="123"/>
      <c r="P532" s="123"/>
    </row>
    <row r="533" spans="1:16" ht="15.75" customHeight="1">
      <c r="A533" s="123"/>
      <c r="P533" s="123"/>
    </row>
    <row r="534" spans="1:16" ht="15.75" customHeight="1">
      <c r="A534" s="123"/>
      <c r="P534" s="123"/>
    </row>
    <row r="535" spans="1:16" ht="15.75" customHeight="1">
      <c r="A535" s="123"/>
      <c r="P535" s="123"/>
    </row>
    <row r="536" spans="1:16" ht="15.75" customHeight="1">
      <c r="A536" s="123"/>
      <c r="P536" s="123"/>
    </row>
    <row r="537" spans="1:16" ht="15.75" customHeight="1">
      <c r="A537" s="123"/>
      <c r="P537" s="123"/>
    </row>
    <row r="538" spans="1:16" ht="15.75" customHeight="1">
      <c r="A538" s="123"/>
      <c r="P538" s="123"/>
    </row>
    <row r="539" spans="1:16" ht="15.75" customHeight="1">
      <c r="A539" s="123"/>
      <c r="P539" s="123"/>
    </row>
    <row r="540" spans="1:16" ht="15.75" customHeight="1">
      <c r="A540" s="123"/>
      <c r="P540" s="123"/>
    </row>
    <row r="541" spans="1:16" ht="15.75" customHeight="1">
      <c r="A541" s="123"/>
      <c r="P541" s="123"/>
    </row>
    <row r="542" spans="1:16" ht="15.75" customHeight="1">
      <c r="A542" s="123"/>
      <c r="P542" s="123"/>
    </row>
    <row r="543" spans="1:16" ht="15.75" customHeight="1">
      <c r="A543" s="123"/>
      <c r="P543" s="123"/>
    </row>
    <row r="544" spans="1:16" ht="15.75" customHeight="1">
      <c r="A544" s="123"/>
      <c r="P544" s="123"/>
    </row>
    <row r="545" spans="1:16" ht="15.75" customHeight="1">
      <c r="A545" s="123"/>
      <c r="P545" s="123"/>
    </row>
    <row r="546" spans="1:16" ht="15.75" customHeight="1">
      <c r="A546" s="123"/>
      <c r="P546" s="123"/>
    </row>
    <row r="547" spans="1:16" ht="15.75" customHeight="1">
      <c r="A547" s="123"/>
      <c r="P547" s="123"/>
    </row>
    <row r="548" spans="1:16" ht="15.75" customHeight="1">
      <c r="A548" s="123"/>
      <c r="P548" s="123"/>
    </row>
    <row r="549" spans="1:16" ht="15.75" customHeight="1">
      <c r="A549" s="123"/>
      <c r="P549" s="123"/>
    </row>
    <row r="550" spans="1:16" ht="15.75" customHeight="1">
      <c r="A550" s="123"/>
      <c r="P550" s="123"/>
    </row>
    <row r="551" spans="1:16" ht="15.75" customHeight="1">
      <c r="A551" s="123"/>
      <c r="P551" s="123"/>
    </row>
    <row r="552" spans="1:16" ht="15.75" customHeight="1">
      <c r="A552" s="123"/>
      <c r="P552" s="123"/>
    </row>
    <row r="553" spans="1:16" ht="15.75" customHeight="1">
      <c r="A553" s="123"/>
      <c r="P553" s="123"/>
    </row>
    <row r="554" spans="1:16" ht="15.75" customHeight="1">
      <c r="A554" s="123"/>
      <c r="P554" s="123"/>
    </row>
    <row r="555" spans="1:16" ht="15.75" customHeight="1">
      <c r="A555" s="123"/>
      <c r="P555" s="123"/>
    </row>
    <row r="556" spans="1:16" ht="15.75" customHeight="1">
      <c r="A556" s="123"/>
      <c r="P556" s="123"/>
    </row>
    <row r="557" spans="1:16" ht="15.75" customHeight="1">
      <c r="A557" s="123"/>
      <c r="P557" s="123"/>
    </row>
    <row r="558" spans="1:16" ht="15.75" customHeight="1">
      <c r="A558" s="123"/>
      <c r="P558" s="123"/>
    </row>
    <row r="559" spans="1:16" ht="15.75" customHeight="1">
      <c r="A559" s="123"/>
      <c r="P559" s="123"/>
    </row>
    <row r="560" spans="1:16" ht="15.75" customHeight="1">
      <c r="A560" s="123"/>
      <c r="P560" s="123"/>
    </row>
    <row r="561" spans="1:16" ht="15.75" customHeight="1">
      <c r="A561" s="123"/>
      <c r="P561" s="123"/>
    </row>
    <row r="562" spans="1:16" ht="15.75" customHeight="1">
      <c r="A562" s="123"/>
      <c r="P562" s="123"/>
    </row>
    <row r="563" spans="1:16" ht="15.75" customHeight="1">
      <c r="A563" s="123"/>
      <c r="P563" s="123"/>
    </row>
    <row r="564" spans="1:16" ht="15.75" customHeight="1">
      <c r="A564" s="123"/>
      <c r="P564" s="123"/>
    </row>
    <row r="565" spans="1:16" ht="15.75" customHeight="1">
      <c r="A565" s="123"/>
      <c r="P565" s="123"/>
    </row>
    <row r="566" spans="1:16" ht="15.75" customHeight="1">
      <c r="A566" s="123"/>
      <c r="P566" s="123"/>
    </row>
    <row r="567" spans="1:16" ht="15.75" customHeight="1">
      <c r="A567" s="123"/>
      <c r="P567" s="123"/>
    </row>
    <row r="568" spans="1:16" ht="15.75" customHeight="1">
      <c r="A568" s="123"/>
      <c r="P568" s="123"/>
    </row>
    <row r="569" spans="1:16" ht="15.75" customHeight="1">
      <c r="A569" s="123"/>
      <c r="P569" s="123"/>
    </row>
    <row r="570" spans="1:16" ht="15.75" customHeight="1">
      <c r="A570" s="123"/>
      <c r="P570" s="123"/>
    </row>
    <row r="571" spans="1:16" ht="15.75" customHeight="1">
      <c r="A571" s="123"/>
      <c r="P571" s="123"/>
    </row>
    <row r="572" spans="1:16" ht="15.75" customHeight="1">
      <c r="A572" s="123"/>
      <c r="P572" s="123"/>
    </row>
    <row r="573" spans="1:16" ht="15.75" customHeight="1">
      <c r="A573" s="123"/>
      <c r="P573" s="123"/>
    </row>
    <row r="574" spans="1:16" ht="15.75" customHeight="1">
      <c r="A574" s="123"/>
      <c r="P574" s="123"/>
    </row>
    <row r="575" spans="1:16" ht="15.75" customHeight="1">
      <c r="A575" s="123"/>
      <c r="P575" s="123"/>
    </row>
    <row r="576" spans="1:16" ht="15.75" customHeight="1">
      <c r="A576" s="123"/>
      <c r="P576" s="123"/>
    </row>
    <row r="577" spans="1:16" ht="15.75" customHeight="1">
      <c r="A577" s="123"/>
      <c r="P577" s="123"/>
    </row>
    <row r="578" spans="1:16" ht="15.75" customHeight="1">
      <c r="A578" s="123"/>
      <c r="P578" s="123"/>
    </row>
    <row r="579" spans="1:16" ht="15.75" customHeight="1">
      <c r="A579" s="123"/>
      <c r="P579" s="123"/>
    </row>
    <row r="580" spans="1:16" ht="15.75" customHeight="1">
      <c r="A580" s="123"/>
      <c r="P580" s="123"/>
    </row>
    <row r="581" spans="1:16" ht="15.75" customHeight="1">
      <c r="A581" s="123"/>
      <c r="P581" s="123"/>
    </row>
    <row r="582" spans="1:16" ht="15.75" customHeight="1">
      <c r="A582" s="123"/>
      <c r="P582" s="123"/>
    </row>
    <row r="583" spans="1:16" ht="15.75" customHeight="1">
      <c r="A583" s="123"/>
      <c r="P583" s="123"/>
    </row>
    <row r="584" spans="1:16" ht="15.75" customHeight="1">
      <c r="A584" s="123"/>
      <c r="P584" s="123"/>
    </row>
    <row r="585" spans="1:16" ht="15.75" customHeight="1">
      <c r="A585" s="123"/>
      <c r="P585" s="123"/>
    </row>
    <row r="586" spans="1:16" ht="15.75" customHeight="1">
      <c r="A586" s="123"/>
      <c r="P586" s="123"/>
    </row>
    <row r="587" spans="1:16" ht="15.75" customHeight="1">
      <c r="A587" s="123"/>
      <c r="P587" s="123"/>
    </row>
    <row r="588" spans="1:16" ht="15.75" customHeight="1">
      <c r="A588" s="123"/>
      <c r="P588" s="123"/>
    </row>
    <row r="589" spans="1:16" ht="15.75" customHeight="1">
      <c r="A589" s="123"/>
      <c r="P589" s="123"/>
    </row>
    <row r="590" spans="1:16" ht="15.75" customHeight="1">
      <c r="A590" s="123"/>
      <c r="P590" s="123"/>
    </row>
    <row r="591" spans="1:16" ht="15.75" customHeight="1">
      <c r="A591" s="123"/>
      <c r="P591" s="123"/>
    </row>
    <row r="592" spans="1:16" ht="15.75" customHeight="1">
      <c r="A592" s="123"/>
      <c r="P592" s="123"/>
    </row>
    <row r="593" spans="1:16" ht="15.75" customHeight="1">
      <c r="A593" s="123"/>
      <c r="P593" s="123"/>
    </row>
    <row r="594" spans="1:16" ht="15.75" customHeight="1">
      <c r="A594" s="123"/>
      <c r="P594" s="123"/>
    </row>
    <row r="595" spans="1:16" ht="15.75" customHeight="1">
      <c r="A595" s="123"/>
      <c r="P595" s="123"/>
    </row>
    <row r="596" spans="1:16" ht="15.75" customHeight="1">
      <c r="A596" s="123"/>
      <c r="P596" s="123"/>
    </row>
    <row r="597" spans="1:16" ht="15.75" customHeight="1">
      <c r="A597" s="123"/>
      <c r="P597" s="123"/>
    </row>
    <row r="598" spans="1:16" ht="15.75" customHeight="1">
      <c r="A598" s="123"/>
      <c r="P598" s="123"/>
    </row>
    <row r="599" spans="1:16" ht="15.75" customHeight="1">
      <c r="A599" s="123"/>
      <c r="P599" s="123"/>
    </row>
    <row r="600" spans="1:16" ht="15.75" customHeight="1">
      <c r="A600" s="123"/>
      <c r="P600" s="123"/>
    </row>
    <row r="601" spans="1:16" ht="15.75" customHeight="1">
      <c r="A601" s="123"/>
      <c r="P601" s="123"/>
    </row>
    <row r="602" spans="1:16" ht="15.75" customHeight="1">
      <c r="A602" s="123"/>
      <c r="P602" s="123"/>
    </row>
    <row r="603" spans="1:16" ht="15.75" customHeight="1">
      <c r="A603" s="123"/>
      <c r="P603" s="123"/>
    </row>
    <row r="604" spans="1:16" ht="15.75" customHeight="1">
      <c r="A604" s="123"/>
      <c r="P604" s="123"/>
    </row>
    <row r="605" spans="1:16" ht="15.75" customHeight="1">
      <c r="A605" s="123"/>
      <c r="P605" s="123"/>
    </row>
    <row r="606" spans="1:16" ht="15.75" customHeight="1">
      <c r="A606" s="123"/>
      <c r="P606" s="123"/>
    </row>
    <row r="607" spans="1:16" ht="15.75" customHeight="1">
      <c r="A607" s="123"/>
      <c r="P607" s="123"/>
    </row>
    <row r="608" spans="1:16" ht="15.75" customHeight="1">
      <c r="A608" s="123"/>
      <c r="P608" s="123"/>
    </row>
    <row r="609" spans="1:16" ht="15.75" customHeight="1">
      <c r="A609" s="123"/>
      <c r="P609" s="123"/>
    </row>
    <row r="610" spans="1:16" ht="15.75" customHeight="1">
      <c r="A610" s="123"/>
      <c r="P610" s="123"/>
    </row>
    <row r="611" spans="1:16" ht="15.75" customHeight="1">
      <c r="A611" s="123"/>
      <c r="P611" s="123"/>
    </row>
    <row r="612" spans="1:16" ht="15.75" customHeight="1">
      <c r="A612" s="123"/>
      <c r="P612" s="123"/>
    </row>
    <row r="613" spans="1:16" ht="15.75" customHeight="1">
      <c r="A613" s="123"/>
      <c r="P613" s="123"/>
    </row>
    <row r="614" spans="1:16" ht="15.75" customHeight="1">
      <c r="A614" s="123"/>
      <c r="P614" s="123"/>
    </row>
    <row r="615" spans="1:16" ht="15.75" customHeight="1">
      <c r="A615" s="123"/>
      <c r="P615" s="123"/>
    </row>
    <row r="616" spans="1:16" ht="15.75" customHeight="1">
      <c r="A616" s="123"/>
      <c r="P616" s="123"/>
    </row>
    <row r="617" spans="1:16" ht="15.75" customHeight="1">
      <c r="A617" s="123"/>
      <c r="P617" s="123"/>
    </row>
    <row r="618" spans="1:16" ht="15.75" customHeight="1">
      <c r="A618" s="123"/>
      <c r="P618" s="123"/>
    </row>
    <row r="619" spans="1:16" ht="15.75" customHeight="1">
      <c r="A619" s="123"/>
      <c r="P619" s="123"/>
    </row>
    <row r="620" spans="1:16" ht="15.75" customHeight="1">
      <c r="A620" s="123"/>
      <c r="P620" s="123"/>
    </row>
    <row r="621" spans="1:16" ht="15.75" customHeight="1">
      <c r="A621" s="123"/>
      <c r="P621" s="123"/>
    </row>
    <row r="622" spans="1:16" ht="15.75" customHeight="1">
      <c r="A622" s="123"/>
      <c r="P622" s="123"/>
    </row>
    <row r="623" spans="1:16" ht="15.75" customHeight="1">
      <c r="A623" s="123"/>
      <c r="P623" s="123"/>
    </row>
    <row r="624" spans="1:16" ht="15.75" customHeight="1">
      <c r="A624" s="123"/>
      <c r="P624" s="123"/>
    </row>
    <row r="625" spans="1:16" ht="15.75" customHeight="1">
      <c r="A625" s="123"/>
      <c r="P625" s="123"/>
    </row>
    <row r="626" spans="1:16" ht="15.75" customHeight="1">
      <c r="A626" s="123"/>
      <c r="P626" s="123"/>
    </row>
    <row r="627" spans="1:16" ht="15.75" customHeight="1">
      <c r="A627" s="123"/>
      <c r="P627" s="123"/>
    </row>
    <row r="628" spans="1:16" ht="15.75" customHeight="1">
      <c r="A628" s="123"/>
      <c r="P628" s="123"/>
    </row>
    <row r="629" spans="1:16" ht="15.75" customHeight="1">
      <c r="A629" s="123"/>
      <c r="P629" s="123"/>
    </row>
    <row r="630" spans="1:16" ht="15.75" customHeight="1">
      <c r="A630" s="123"/>
      <c r="P630" s="123"/>
    </row>
    <row r="631" spans="1:16" ht="15.75" customHeight="1">
      <c r="A631" s="123"/>
      <c r="P631" s="123"/>
    </row>
    <row r="632" spans="1:16" ht="15.75" customHeight="1">
      <c r="A632" s="123"/>
      <c r="P632" s="123"/>
    </row>
    <row r="633" spans="1:16" ht="15.75" customHeight="1">
      <c r="A633" s="123"/>
      <c r="P633" s="123"/>
    </row>
    <row r="634" spans="1:16" ht="15.75" customHeight="1">
      <c r="A634" s="123"/>
      <c r="P634" s="123"/>
    </row>
    <row r="635" spans="1:16" ht="15.75" customHeight="1">
      <c r="A635" s="123"/>
      <c r="P635" s="123"/>
    </row>
    <row r="636" spans="1:16" ht="15.75" customHeight="1">
      <c r="A636" s="123"/>
      <c r="P636" s="123"/>
    </row>
    <row r="637" spans="1:16" ht="15.75" customHeight="1">
      <c r="A637" s="123"/>
      <c r="P637" s="123"/>
    </row>
    <row r="638" spans="1:16" ht="15.75" customHeight="1">
      <c r="A638" s="123"/>
      <c r="P638" s="123"/>
    </row>
    <row r="639" spans="1:16" ht="15.75" customHeight="1">
      <c r="A639" s="123"/>
      <c r="P639" s="123"/>
    </row>
    <row r="640" spans="1:16" ht="15.75" customHeight="1">
      <c r="A640" s="123"/>
      <c r="P640" s="123"/>
    </row>
    <row r="641" spans="1:16" ht="15.75" customHeight="1">
      <c r="A641" s="123"/>
      <c r="P641" s="123"/>
    </row>
    <row r="642" spans="1:16" ht="15.75" customHeight="1">
      <c r="A642" s="123"/>
      <c r="P642" s="123"/>
    </row>
    <row r="643" spans="1:16" ht="15.75" customHeight="1">
      <c r="A643" s="123"/>
      <c r="P643" s="123"/>
    </row>
    <row r="644" spans="1:16" ht="15.75" customHeight="1">
      <c r="A644" s="123"/>
      <c r="P644" s="123"/>
    </row>
    <row r="645" spans="1:16" ht="15.75" customHeight="1">
      <c r="A645" s="123"/>
      <c r="P645" s="123"/>
    </row>
    <row r="646" spans="1:16" ht="15.75" customHeight="1">
      <c r="A646" s="123"/>
      <c r="P646" s="123"/>
    </row>
    <row r="647" spans="1:16" ht="15.75" customHeight="1">
      <c r="A647" s="123"/>
      <c r="P647" s="123"/>
    </row>
    <row r="648" spans="1:16" ht="15.75" customHeight="1">
      <c r="A648" s="123"/>
      <c r="P648" s="123"/>
    </row>
    <row r="649" spans="1:16" ht="15.75" customHeight="1">
      <c r="A649" s="123"/>
      <c r="P649" s="123"/>
    </row>
    <row r="650" spans="1:16" ht="15.75" customHeight="1">
      <c r="A650" s="123"/>
      <c r="P650" s="123"/>
    </row>
    <row r="651" spans="1:16" ht="15.75" customHeight="1">
      <c r="A651" s="123"/>
      <c r="P651" s="123"/>
    </row>
    <row r="652" spans="1:16" ht="15.75" customHeight="1">
      <c r="A652" s="123"/>
      <c r="P652" s="123"/>
    </row>
    <row r="653" spans="1:16" ht="15.75" customHeight="1">
      <c r="A653" s="123"/>
      <c r="P653" s="123"/>
    </row>
    <row r="654" spans="1:16" ht="15.75" customHeight="1">
      <c r="A654" s="123"/>
      <c r="P654" s="123"/>
    </row>
    <row r="655" spans="1:16" ht="15.75" customHeight="1">
      <c r="A655" s="123"/>
      <c r="P655" s="123"/>
    </row>
    <row r="656" spans="1:16" ht="15.75" customHeight="1">
      <c r="A656" s="123"/>
      <c r="P656" s="123"/>
    </row>
    <row r="657" spans="1:16" ht="15.75" customHeight="1">
      <c r="A657" s="123"/>
      <c r="P657" s="123"/>
    </row>
    <row r="658" spans="1:16" ht="15.75" customHeight="1">
      <c r="A658" s="123"/>
      <c r="P658" s="123"/>
    </row>
    <row r="659" spans="1:16" ht="15.75" customHeight="1">
      <c r="A659" s="123"/>
      <c r="P659" s="123"/>
    </row>
    <row r="660" spans="1:16" ht="15.75" customHeight="1">
      <c r="A660" s="123"/>
      <c r="P660" s="123"/>
    </row>
    <row r="661" spans="1:16" ht="15.75" customHeight="1">
      <c r="A661" s="123"/>
      <c r="P661" s="123"/>
    </row>
    <row r="662" spans="1:16" ht="15.75" customHeight="1">
      <c r="A662" s="123"/>
      <c r="P662" s="123"/>
    </row>
    <row r="663" spans="1:16" ht="15.75" customHeight="1">
      <c r="A663" s="123"/>
      <c r="P663" s="123"/>
    </row>
    <row r="664" spans="1:16" ht="15.75" customHeight="1">
      <c r="A664" s="123"/>
      <c r="P664" s="123"/>
    </row>
    <row r="665" spans="1:16" ht="15.75" customHeight="1">
      <c r="A665" s="123"/>
      <c r="P665" s="123"/>
    </row>
    <row r="666" spans="1:16" ht="15.75" customHeight="1">
      <c r="A666" s="123"/>
      <c r="P666" s="123"/>
    </row>
    <row r="667" spans="1:16" ht="15.75" customHeight="1">
      <c r="A667" s="123"/>
      <c r="P667" s="123"/>
    </row>
    <row r="668" spans="1:16" ht="15.75" customHeight="1">
      <c r="A668" s="123"/>
      <c r="P668" s="123"/>
    </row>
    <row r="669" spans="1:16" ht="15.75" customHeight="1">
      <c r="A669" s="123"/>
      <c r="P669" s="123"/>
    </row>
    <row r="670" spans="1:16" ht="15.75" customHeight="1">
      <c r="A670" s="123"/>
      <c r="P670" s="123"/>
    </row>
    <row r="671" spans="1:16" ht="15.75" customHeight="1">
      <c r="A671" s="123"/>
      <c r="P671" s="123"/>
    </row>
    <row r="672" spans="1:16" ht="15.75" customHeight="1">
      <c r="A672" s="123"/>
      <c r="P672" s="123"/>
    </row>
    <row r="673" spans="1:16" ht="15.75" customHeight="1">
      <c r="A673" s="123"/>
      <c r="P673" s="123"/>
    </row>
    <row r="674" spans="1:16" ht="15.75" customHeight="1">
      <c r="A674" s="123"/>
      <c r="P674" s="123"/>
    </row>
    <row r="675" spans="1:16" ht="15.75" customHeight="1">
      <c r="A675" s="123"/>
      <c r="P675" s="123"/>
    </row>
    <row r="676" spans="1:16" ht="15.75" customHeight="1">
      <c r="A676" s="123"/>
      <c r="P676" s="123"/>
    </row>
    <row r="677" spans="1:16" ht="15.75" customHeight="1">
      <c r="A677" s="123"/>
      <c r="P677" s="123"/>
    </row>
    <row r="678" spans="1:16" ht="15.75" customHeight="1">
      <c r="A678" s="123"/>
      <c r="P678" s="123"/>
    </row>
    <row r="679" spans="1:16" ht="15.75" customHeight="1">
      <c r="A679" s="123"/>
      <c r="P679" s="123"/>
    </row>
    <row r="680" spans="1:16" ht="15.75" customHeight="1">
      <c r="A680" s="123"/>
      <c r="P680" s="123"/>
    </row>
    <row r="681" spans="1:16" ht="15.75" customHeight="1">
      <c r="A681" s="123"/>
      <c r="P681" s="123"/>
    </row>
    <row r="682" spans="1:16" ht="15.75" customHeight="1">
      <c r="A682" s="123"/>
      <c r="P682" s="123"/>
    </row>
    <row r="683" spans="1:16" ht="15.75" customHeight="1">
      <c r="A683" s="123"/>
      <c r="P683" s="123"/>
    </row>
    <row r="684" spans="1:16" ht="15.75" customHeight="1">
      <c r="A684" s="123"/>
      <c r="P684" s="123"/>
    </row>
    <row r="685" spans="1:16" ht="15.75" customHeight="1">
      <c r="A685" s="123"/>
      <c r="P685" s="123"/>
    </row>
    <row r="686" spans="1:16" ht="15.75" customHeight="1">
      <c r="A686" s="123"/>
      <c r="P686" s="123"/>
    </row>
    <row r="687" spans="1:16" ht="15.75" customHeight="1">
      <c r="A687" s="123"/>
      <c r="P687" s="123"/>
    </row>
    <row r="688" spans="1:16" ht="15.75" customHeight="1">
      <c r="A688" s="123"/>
      <c r="P688" s="123"/>
    </row>
    <row r="689" spans="1:16" ht="15.75" customHeight="1">
      <c r="A689" s="123"/>
      <c r="P689" s="123"/>
    </row>
    <row r="690" spans="1:16" ht="15.75" customHeight="1">
      <c r="A690" s="123"/>
      <c r="P690" s="123"/>
    </row>
    <row r="691" spans="1:16" ht="15.75" customHeight="1">
      <c r="A691" s="123"/>
      <c r="P691" s="123"/>
    </row>
    <row r="692" spans="1:16" ht="15.75" customHeight="1">
      <c r="A692" s="123"/>
      <c r="P692" s="123"/>
    </row>
    <row r="693" spans="1:16" ht="15.75" customHeight="1">
      <c r="A693" s="123"/>
      <c r="P693" s="123"/>
    </row>
    <row r="694" spans="1:16" ht="15.75" customHeight="1">
      <c r="A694" s="123"/>
      <c r="P694" s="123"/>
    </row>
    <row r="695" spans="1:16" ht="15.75" customHeight="1">
      <c r="A695" s="123"/>
      <c r="P695" s="123"/>
    </row>
    <row r="696" spans="1:16" ht="15.75" customHeight="1">
      <c r="A696" s="123"/>
      <c r="P696" s="123"/>
    </row>
    <row r="697" spans="1:16" ht="15.75" customHeight="1">
      <c r="A697" s="123"/>
      <c r="P697" s="123"/>
    </row>
    <row r="698" spans="1:16" ht="15.75" customHeight="1">
      <c r="A698" s="123"/>
      <c r="P698" s="123"/>
    </row>
    <row r="699" spans="1:16" ht="15.75" customHeight="1">
      <c r="A699" s="123"/>
      <c r="P699" s="123"/>
    </row>
    <row r="700" spans="1:16" ht="15.75" customHeight="1">
      <c r="A700" s="123"/>
      <c r="P700" s="123"/>
    </row>
    <row r="701" spans="1:16" ht="15.75" customHeight="1">
      <c r="A701" s="123"/>
      <c r="P701" s="123"/>
    </row>
    <row r="702" spans="1:16" ht="15.75" customHeight="1">
      <c r="A702" s="123"/>
      <c r="P702" s="123"/>
    </row>
    <row r="703" spans="1:16" ht="15.75" customHeight="1">
      <c r="A703" s="123"/>
      <c r="P703" s="123"/>
    </row>
    <row r="704" spans="1:16" ht="15.75" customHeight="1">
      <c r="A704" s="123"/>
      <c r="P704" s="123"/>
    </row>
    <row r="705" spans="1:16" ht="15.75" customHeight="1">
      <c r="A705" s="123"/>
      <c r="P705" s="123"/>
    </row>
    <row r="706" spans="1:16" ht="15.75" customHeight="1">
      <c r="A706" s="123"/>
      <c r="P706" s="123"/>
    </row>
    <row r="707" spans="1:16" ht="15.75" customHeight="1">
      <c r="A707" s="123"/>
      <c r="P707" s="123"/>
    </row>
    <row r="708" spans="1:16" ht="15.75" customHeight="1">
      <c r="A708" s="123"/>
      <c r="P708" s="123"/>
    </row>
    <row r="709" spans="1:16" ht="15.75" customHeight="1">
      <c r="A709" s="123"/>
      <c r="P709" s="123"/>
    </row>
    <row r="710" spans="1:16" ht="15.75" customHeight="1">
      <c r="A710" s="123"/>
      <c r="P710" s="123"/>
    </row>
    <row r="711" spans="1:16" ht="15.75" customHeight="1">
      <c r="A711" s="123"/>
      <c r="P711" s="123"/>
    </row>
    <row r="712" spans="1:16" ht="15.75" customHeight="1">
      <c r="A712" s="123"/>
      <c r="P712" s="123"/>
    </row>
    <row r="713" spans="1:16" ht="15.75" customHeight="1">
      <c r="A713" s="123"/>
      <c r="P713" s="123"/>
    </row>
    <row r="714" spans="1:16" ht="15.75" customHeight="1">
      <c r="A714" s="123"/>
      <c r="P714" s="123"/>
    </row>
    <row r="715" spans="1:16" ht="15.75" customHeight="1">
      <c r="A715" s="123"/>
      <c r="P715" s="123"/>
    </row>
    <row r="716" spans="1:16" ht="15.75" customHeight="1">
      <c r="A716" s="123"/>
      <c r="P716" s="123"/>
    </row>
    <row r="717" spans="1:16" ht="15.75" customHeight="1">
      <c r="A717" s="123"/>
      <c r="P717" s="123"/>
    </row>
    <row r="718" spans="1:16" ht="15.75" customHeight="1">
      <c r="A718" s="123"/>
      <c r="P718" s="123"/>
    </row>
    <row r="719" spans="1:16" ht="15.75" customHeight="1">
      <c r="A719" s="123"/>
      <c r="P719" s="123"/>
    </row>
    <row r="720" spans="1:16" ht="15.75" customHeight="1">
      <c r="A720" s="123"/>
      <c r="P720" s="123"/>
    </row>
    <row r="721" spans="1:16" ht="15.75" customHeight="1">
      <c r="A721" s="123"/>
      <c r="P721" s="123"/>
    </row>
    <row r="722" spans="1:16" ht="15.75" customHeight="1">
      <c r="A722" s="123"/>
      <c r="P722" s="123"/>
    </row>
    <row r="723" spans="1:16" ht="15.75" customHeight="1">
      <c r="A723" s="123"/>
      <c r="P723" s="123"/>
    </row>
    <row r="724" spans="1:16" ht="15.75" customHeight="1">
      <c r="A724" s="123"/>
      <c r="P724" s="123"/>
    </row>
    <row r="725" spans="1:16" ht="15.75" customHeight="1">
      <c r="A725" s="123"/>
      <c r="P725" s="123"/>
    </row>
    <row r="726" spans="1:16" ht="15.75" customHeight="1">
      <c r="A726" s="123"/>
      <c r="P726" s="123"/>
    </row>
    <row r="727" spans="1:16" ht="15.75" customHeight="1">
      <c r="A727" s="123"/>
      <c r="P727" s="123"/>
    </row>
    <row r="728" spans="1:16" ht="15.75" customHeight="1">
      <c r="A728" s="123"/>
      <c r="P728" s="123"/>
    </row>
    <row r="729" spans="1:16" ht="15.75" customHeight="1">
      <c r="A729" s="123"/>
      <c r="P729" s="123"/>
    </row>
    <row r="730" spans="1:16" ht="15.75" customHeight="1">
      <c r="A730" s="123"/>
      <c r="P730" s="123"/>
    </row>
    <row r="731" spans="1:16" ht="15.75" customHeight="1">
      <c r="A731" s="123"/>
      <c r="P731" s="123"/>
    </row>
    <row r="732" spans="1:16" ht="15.75" customHeight="1">
      <c r="A732" s="123"/>
      <c r="P732" s="123"/>
    </row>
    <row r="733" spans="1:16" ht="15.75" customHeight="1">
      <c r="A733" s="123"/>
      <c r="P733" s="123"/>
    </row>
    <row r="734" spans="1:16" ht="15.75" customHeight="1">
      <c r="A734" s="123"/>
      <c r="P734" s="123"/>
    </row>
    <row r="735" spans="1:16" ht="15.75" customHeight="1">
      <c r="A735" s="123"/>
      <c r="P735" s="123"/>
    </row>
    <row r="736" spans="1:16" ht="15.75" customHeight="1">
      <c r="A736" s="123"/>
      <c r="P736" s="123"/>
    </row>
    <row r="737" spans="1:16" ht="15.75" customHeight="1">
      <c r="A737" s="123"/>
      <c r="P737" s="123"/>
    </row>
    <row r="738" spans="1:16" ht="15.75" customHeight="1">
      <c r="A738" s="123"/>
      <c r="P738" s="123"/>
    </row>
    <row r="739" spans="1:16" ht="15.75" customHeight="1">
      <c r="A739" s="123"/>
      <c r="P739" s="123"/>
    </row>
    <row r="740" spans="1:16" ht="15.75" customHeight="1">
      <c r="A740" s="123"/>
      <c r="P740" s="123"/>
    </row>
    <row r="741" spans="1:16" ht="15.75" customHeight="1">
      <c r="A741" s="123"/>
      <c r="P741" s="123"/>
    </row>
    <row r="742" spans="1:16" ht="15.75" customHeight="1">
      <c r="A742" s="123"/>
      <c r="P742" s="123"/>
    </row>
    <row r="743" spans="1:16" ht="15.75" customHeight="1">
      <c r="A743" s="123"/>
      <c r="P743" s="123"/>
    </row>
    <row r="744" spans="1:16" ht="15.75" customHeight="1">
      <c r="A744" s="123"/>
      <c r="P744" s="123"/>
    </row>
    <row r="745" spans="1:16" ht="15.75" customHeight="1">
      <c r="A745" s="123"/>
      <c r="P745" s="123"/>
    </row>
    <row r="746" spans="1:16" ht="15.75" customHeight="1">
      <c r="A746" s="123"/>
      <c r="P746" s="123"/>
    </row>
    <row r="747" spans="1:16" ht="15.75" customHeight="1">
      <c r="A747" s="123"/>
      <c r="P747" s="123"/>
    </row>
    <row r="748" spans="1:16" ht="15.75" customHeight="1">
      <c r="A748" s="123"/>
      <c r="P748" s="123"/>
    </row>
    <row r="749" spans="1:16" ht="15.75" customHeight="1">
      <c r="A749" s="123"/>
      <c r="P749" s="123"/>
    </row>
    <row r="750" spans="1:16" ht="15.75" customHeight="1">
      <c r="A750" s="123"/>
      <c r="P750" s="123"/>
    </row>
    <row r="751" spans="1:16" ht="15.75" customHeight="1">
      <c r="A751" s="123"/>
      <c r="P751" s="123"/>
    </row>
    <row r="752" spans="1:16" ht="15.75" customHeight="1">
      <c r="A752" s="123"/>
      <c r="P752" s="123"/>
    </row>
    <row r="753" spans="1:16" ht="15.75" customHeight="1">
      <c r="A753" s="123"/>
      <c r="P753" s="123"/>
    </row>
    <row r="754" spans="1:16" ht="15.75" customHeight="1">
      <c r="A754" s="123"/>
      <c r="P754" s="123"/>
    </row>
    <row r="755" spans="1:16" ht="15.75" customHeight="1">
      <c r="A755" s="123"/>
      <c r="P755" s="123"/>
    </row>
    <row r="756" spans="1:16" ht="15.75" customHeight="1">
      <c r="A756" s="123"/>
      <c r="P756" s="123"/>
    </row>
    <row r="757" spans="1:16" ht="15.75" customHeight="1">
      <c r="A757" s="123"/>
      <c r="P757" s="123"/>
    </row>
    <row r="758" spans="1:16" ht="15.75" customHeight="1">
      <c r="A758" s="123"/>
      <c r="P758" s="123"/>
    </row>
    <row r="759" spans="1:16" ht="15.75" customHeight="1">
      <c r="A759" s="123"/>
      <c r="P759" s="123"/>
    </row>
    <row r="760" spans="1:16" ht="15.75" customHeight="1">
      <c r="A760" s="123"/>
      <c r="P760" s="123"/>
    </row>
    <row r="761" spans="1:16" ht="15.75" customHeight="1">
      <c r="A761" s="123"/>
      <c r="P761" s="123"/>
    </row>
    <row r="762" spans="1:16" ht="15.75" customHeight="1">
      <c r="A762" s="123"/>
      <c r="P762" s="123"/>
    </row>
    <row r="763" spans="1:16" ht="15.75" customHeight="1">
      <c r="A763" s="123"/>
      <c r="P763" s="123"/>
    </row>
    <row r="764" spans="1:16" ht="15.75" customHeight="1">
      <c r="A764" s="123"/>
      <c r="P764" s="123"/>
    </row>
    <row r="765" spans="1:16" ht="15.75" customHeight="1">
      <c r="A765" s="123"/>
      <c r="P765" s="123"/>
    </row>
    <row r="766" spans="1:16" ht="15.75" customHeight="1">
      <c r="A766" s="123"/>
      <c r="P766" s="123"/>
    </row>
    <row r="767" spans="1:16" ht="15.75" customHeight="1">
      <c r="A767" s="123"/>
      <c r="P767" s="123"/>
    </row>
    <row r="768" spans="1:16" ht="15.75" customHeight="1">
      <c r="A768" s="123"/>
      <c r="P768" s="123"/>
    </row>
    <row r="769" spans="1:16" ht="15.75" customHeight="1">
      <c r="A769" s="123"/>
      <c r="P769" s="123"/>
    </row>
    <row r="770" spans="1:16" ht="15.75" customHeight="1">
      <c r="A770" s="123"/>
      <c r="P770" s="123"/>
    </row>
    <row r="771" spans="1:16" ht="15.75" customHeight="1">
      <c r="A771" s="123"/>
      <c r="P771" s="123"/>
    </row>
    <row r="772" spans="1:16" ht="15.75" customHeight="1">
      <c r="A772" s="123"/>
      <c r="P772" s="123"/>
    </row>
    <row r="773" spans="1:16" ht="15.75" customHeight="1">
      <c r="A773" s="123"/>
      <c r="P773" s="123"/>
    </row>
    <row r="774" spans="1:16" ht="15.75" customHeight="1">
      <c r="A774" s="123"/>
      <c r="P774" s="123"/>
    </row>
    <row r="775" spans="1:16" ht="15.75" customHeight="1">
      <c r="A775" s="123"/>
      <c r="P775" s="123"/>
    </row>
    <row r="776" spans="1:16" ht="15.75" customHeight="1">
      <c r="A776" s="123"/>
      <c r="P776" s="123"/>
    </row>
    <row r="777" spans="1:16" ht="15.75" customHeight="1">
      <c r="A777" s="123"/>
      <c r="P777" s="123"/>
    </row>
    <row r="778" spans="1:16" ht="15.75" customHeight="1">
      <c r="A778" s="123"/>
      <c r="P778" s="123"/>
    </row>
    <row r="779" spans="1:16" ht="15.75" customHeight="1">
      <c r="A779" s="123"/>
      <c r="P779" s="123"/>
    </row>
    <row r="780" spans="1:16" ht="15.75" customHeight="1">
      <c r="A780" s="123"/>
      <c r="P780" s="123"/>
    </row>
    <row r="781" spans="1:16" ht="15.75" customHeight="1">
      <c r="A781" s="123"/>
      <c r="P781" s="123"/>
    </row>
    <row r="782" spans="1:16" ht="15.75" customHeight="1">
      <c r="A782" s="123"/>
      <c r="P782" s="123"/>
    </row>
    <row r="783" spans="1:16" ht="15.75" customHeight="1">
      <c r="A783" s="123"/>
      <c r="P783" s="123"/>
    </row>
    <row r="784" spans="1:16" ht="15.75" customHeight="1">
      <c r="A784" s="123"/>
      <c r="P784" s="123"/>
    </row>
    <row r="785" spans="1:16" ht="15.75" customHeight="1">
      <c r="A785" s="123"/>
      <c r="P785" s="123"/>
    </row>
    <row r="786" spans="1:16" ht="15.75" customHeight="1">
      <c r="A786" s="123"/>
      <c r="P786" s="123"/>
    </row>
    <row r="787" spans="1:16" ht="15.75" customHeight="1">
      <c r="A787" s="123"/>
      <c r="P787" s="123"/>
    </row>
    <row r="788" spans="1:16" ht="15.75" customHeight="1">
      <c r="A788" s="123"/>
      <c r="P788" s="123"/>
    </row>
    <row r="789" spans="1:16" ht="15.75" customHeight="1">
      <c r="A789" s="123"/>
      <c r="P789" s="123"/>
    </row>
    <row r="790" spans="1:16" ht="15.75" customHeight="1">
      <c r="A790" s="123"/>
      <c r="P790" s="123"/>
    </row>
    <row r="791" spans="1:16" ht="15.75" customHeight="1">
      <c r="A791" s="123"/>
      <c r="P791" s="123"/>
    </row>
    <row r="792" spans="1:16" ht="15.75" customHeight="1">
      <c r="A792" s="123"/>
      <c r="P792" s="123"/>
    </row>
    <row r="793" spans="1:16" ht="15.75" customHeight="1">
      <c r="A793" s="123"/>
      <c r="P793" s="123"/>
    </row>
    <row r="794" spans="1:16" ht="15.75" customHeight="1">
      <c r="A794" s="123"/>
      <c r="P794" s="123"/>
    </row>
    <row r="795" spans="1:16" ht="15.75" customHeight="1">
      <c r="A795" s="123"/>
      <c r="P795" s="123"/>
    </row>
    <row r="796" spans="1:16" ht="15.75" customHeight="1">
      <c r="A796" s="123"/>
      <c r="P796" s="123"/>
    </row>
    <row r="797" spans="1:16" ht="15.75" customHeight="1">
      <c r="A797" s="123"/>
      <c r="P797" s="123"/>
    </row>
    <row r="798" spans="1:16" ht="15.75" customHeight="1">
      <c r="A798" s="123"/>
      <c r="P798" s="123"/>
    </row>
    <row r="799" spans="1:16" ht="15.75" customHeight="1">
      <c r="A799" s="123"/>
      <c r="P799" s="123"/>
    </row>
    <row r="800" spans="1:16" ht="15.75" customHeight="1">
      <c r="A800" s="123"/>
      <c r="P800" s="123"/>
    </row>
    <row r="801" spans="1:16" ht="15.75" customHeight="1">
      <c r="A801" s="123"/>
      <c r="P801" s="123"/>
    </row>
    <row r="802" spans="1:16" ht="15.75" customHeight="1">
      <c r="A802" s="123"/>
      <c r="P802" s="123"/>
    </row>
    <row r="803" spans="1:16" ht="15.75" customHeight="1">
      <c r="A803" s="123"/>
      <c r="P803" s="123"/>
    </row>
    <row r="804" spans="1:16" ht="15.75" customHeight="1">
      <c r="A804" s="123"/>
      <c r="P804" s="123"/>
    </row>
    <row r="805" spans="1:16" ht="15.75" customHeight="1">
      <c r="A805" s="123"/>
      <c r="P805" s="123"/>
    </row>
    <row r="806" spans="1:16" ht="15.75" customHeight="1">
      <c r="A806" s="123"/>
      <c r="P806" s="123"/>
    </row>
    <row r="807" spans="1:16" ht="15.75" customHeight="1">
      <c r="A807" s="123"/>
      <c r="P807" s="123"/>
    </row>
    <row r="808" spans="1:16" ht="15.75" customHeight="1">
      <c r="A808" s="123"/>
      <c r="P808" s="123"/>
    </row>
    <row r="809" spans="1:16" ht="15.75" customHeight="1">
      <c r="A809" s="123"/>
      <c r="P809" s="123"/>
    </row>
    <row r="810" spans="1:16" ht="15.75" customHeight="1">
      <c r="A810" s="123"/>
      <c r="P810" s="123"/>
    </row>
    <row r="811" spans="1:16" ht="15.75" customHeight="1">
      <c r="A811" s="123"/>
      <c r="P811" s="123"/>
    </row>
    <row r="812" spans="1:16" ht="15.75" customHeight="1">
      <c r="A812" s="123"/>
      <c r="P812" s="123"/>
    </row>
    <row r="813" spans="1:16" ht="15.75" customHeight="1">
      <c r="A813" s="123"/>
      <c r="P813" s="123"/>
    </row>
    <row r="814" spans="1:16" ht="15.75" customHeight="1">
      <c r="A814" s="123"/>
      <c r="P814" s="123"/>
    </row>
    <row r="815" spans="1:16" ht="15.75" customHeight="1">
      <c r="A815" s="123"/>
      <c r="P815" s="123"/>
    </row>
    <row r="816" spans="1:16" ht="15.75" customHeight="1">
      <c r="A816" s="123"/>
      <c r="P816" s="123"/>
    </row>
    <row r="817" spans="1:16" ht="15.75" customHeight="1">
      <c r="A817" s="123"/>
      <c r="P817" s="123"/>
    </row>
    <row r="818" spans="1:16" ht="15.75" customHeight="1">
      <c r="A818" s="123"/>
      <c r="P818" s="123"/>
    </row>
    <row r="819" spans="1:16" ht="15.75" customHeight="1">
      <c r="A819" s="123"/>
      <c r="P819" s="123"/>
    </row>
    <row r="820" spans="1:16" ht="15.75" customHeight="1">
      <c r="A820" s="123"/>
      <c r="P820" s="123"/>
    </row>
    <row r="821" spans="1:16" ht="15.75" customHeight="1">
      <c r="A821" s="123"/>
      <c r="P821" s="123"/>
    </row>
    <row r="822" spans="1:16" ht="15.75" customHeight="1">
      <c r="A822" s="123"/>
      <c r="P822" s="123"/>
    </row>
    <row r="823" spans="1:16" ht="15.75" customHeight="1">
      <c r="A823" s="123"/>
      <c r="P823" s="123"/>
    </row>
    <row r="824" spans="1:16" ht="15.75" customHeight="1">
      <c r="A824" s="123"/>
      <c r="P824" s="123"/>
    </row>
    <row r="825" spans="1:16" ht="15.75" customHeight="1">
      <c r="A825" s="123"/>
      <c r="P825" s="123"/>
    </row>
    <row r="826" spans="1:16" ht="15.75" customHeight="1">
      <c r="A826" s="123"/>
      <c r="P826" s="123"/>
    </row>
    <row r="827" spans="1:16" ht="15.75" customHeight="1">
      <c r="A827" s="123"/>
      <c r="P827" s="123"/>
    </row>
    <row r="828" spans="1:16" ht="15.75" customHeight="1">
      <c r="A828" s="123"/>
      <c r="P828" s="123"/>
    </row>
    <row r="829" spans="1:16" ht="15.75" customHeight="1">
      <c r="A829" s="123"/>
      <c r="P829" s="123"/>
    </row>
    <row r="830" spans="1:16" ht="15.75" customHeight="1">
      <c r="A830" s="123"/>
      <c r="P830" s="123"/>
    </row>
    <row r="831" spans="1:16" ht="15.75" customHeight="1">
      <c r="A831" s="123"/>
      <c r="P831" s="123"/>
    </row>
    <row r="832" spans="1:16" ht="15.75" customHeight="1">
      <c r="A832" s="123"/>
      <c r="P832" s="123"/>
    </row>
    <row r="833" spans="1:16" ht="15.75" customHeight="1">
      <c r="A833" s="123"/>
      <c r="P833" s="123"/>
    </row>
    <row r="834" spans="1:16" ht="15.75" customHeight="1">
      <c r="A834" s="123"/>
      <c r="P834" s="123"/>
    </row>
    <row r="835" spans="1:16" ht="15.75" customHeight="1">
      <c r="A835" s="123"/>
      <c r="P835" s="123"/>
    </row>
    <row r="836" spans="1:16" ht="15.75" customHeight="1">
      <c r="A836" s="123"/>
      <c r="P836" s="123"/>
    </row>
    <row r="837" spans="1:16" ht="15.75" customHeight="1">
      <c r="A837" s="123"/>
      <c r="P837" s="123"/>
    </row>
    <row r="838" spans="1:16" ht="15.75" customHeight="1">
      <c r="A838" s="123"/>
      <c r="P838" s="123"/>
    </row>
    <row r="839" spans="1:16" ht="15.75" customHeight="1">
      <c r="A839" s="123"/>
      <c r="P839" s="123"/>
    </row>
    <row r="840" spans="1:16" ht="15.75" customHeight="1">
      <c r="A840" s="123"/>
      <c r="P840" s="123"/>
    </row>
    <row r="841" spans="1:16" ht="15.75" customHeight="1">
      <c r="A841" s="123"/>
      <c r="P841" s="123"/>
    </row>
    <row r="842" spans="1:16" ht="15.75" customHeight="1">
      <c r="A842" s="123"/>
      <c r="P842" s="123"/>
    </row>
    <row r="843" spans="1:16" ht="15.75" customHeight="1">
      <c r="A843" s="123"/>
      <c r="P843" s="123"/>
    </row>
    <row r="844" spans="1:16" ht="15.75" customHeight="1">
      <c r="A844" s="123"/>
      <c r="P844" s="123"/>
    </row>
    <row r="845" spans="1:16" ht="15.75" customHeight="1">
      <c r="A845" s="123"/>
      <c r="P845" s="123"/>
    </row>
    <row r="846" spans="1:16" ht="15.75" customHeight="1">
      <c r="A846" s="123"/>
      <c r="P846" s="123"/>
    </row>
    <row r="847" spans="1:16" ht="15.75" customHeight="1">
      <c r="A847" s="123"/>
      <c r="P847" s="123"/>
    </row>
    <row r="848" spans="1:16" ht="15.75" customHeight="1">
      <c r="A848" s="123"/>
      <c r="P848" s="123"/>
    </row>
    <row r="849" spans="1:16" ht="15.75" customHeight="1">
      <c r="A849" s="123"/>
      <c r="P849" s="123"/>
    </row>
    <row r="850" spans="1:16" ht="15.75" customHeight="1">
      <c r="A850" s="123"/>
      <c r="P850" s="123"/>
    </row>
    <row r="851" spans="1:16" ht="15.75" customHeight="1">
      <c r="A851" s="123"/>
      <c r="P851" s="123"/>
    </row>
    <row r="852" spans="1:16" ht="15.75" customHeight="1">
      <c r="A852" s="123"/>
      <c r="P852" s="123"/>
    </row>
    <row r="853" spans="1:16" ht="15.75" customHeight="1">
      <c r="A853" s="123"/>
      <c r="P853" s="123"/>
    </row>
    <row r="854" spans="1:16" ht="15.75" customHeight="1">
      <c r="A854" s="123"/>
      <c r="P854" s="123"/>
    </row>
    <row r="855" spans="1:16" ht="15.75" customHeight="1">
      <c r="A855" s="123"/>
      <c r="P855" s="123"/>
    </row>
    <row r="856" spans="1:16" ht="15.75" customHeight="1">
      <c r="A856" s="123"/>
      <c r="P856" s="123"/>
    </row>
    <row r="857" spans="1:16" ht="15.75" customHeight="1">
      <c r="A857" s="123"/>
      <c r="P857" s="123"/>
    </row>
    <row r="858" spans="1:16" ht="15.75" customHeight="1">
      <c r="A858" s="123"/>
      <c r="P858" s="123"/>
    </row>
    <row r="859" spans="1:16" ht="15.75" customHeight="1">
      <c r="A859" s="123"/>
      <c r="P859" s="123"/>
    </row>
    <row r="860" spans="1:16" ht="15.75" customHeight="1">
      <c r="A860" s="123"/>
      <c r="P860" s="123"/>
    </row>
    <row r="861" spans="1:16" ht="15.75" customHeight="1">
      <c r="A861" s="123"/>
      <c r="P861" s="123"/>
    </row>
    <row r="862" spans="1:16" ht="15.75" customHeight="1">
      <c r="A862" s="123"/>
      <c r="P862" s="123"/>
    </row>
    <row r="863" spans="1:16" ht="15.75" customHeight="1">
      <c r="A863" s="123"/>
      <c r="P863" s="123"/>
    </row>
    <row r="864" spans="1:16" ht="15.75" customHeight="1">
      <c r="A864" s="123"/>
      <c r="P864" s="123"/>
    </row>
    <row r="865" spans="1:16" ht="15.75" customHeight="1">
      <c r="A865" s="123"/>
      <c r="P865" s="123"/>
    </row>
    <row r="866" spans="1:16" ht="15.75" customHeight="1">
      <c r="A866" s="123"/>
      <c r="P866" s="123"/>
    </row>
    <row r="867" spans="1:16" ht="15.75" customHeight="1">
      <c r="A867" s="123"/>
      <c r="P867" s="123"/>
    </row>
    <row r="868" spans="1:16" ht="15.75" customHeight="1">
      <c r="A868" s="123"/>
      <c r="P868" s="123"/>
    </row>
    <row r="869" spans="1:16" ht="15.75" customHeight="1">
      <c r="A869" s="123"/>
      <c r="P869" s="123"/>
    </row>
    <row r="870" spans="1:16" ht="15.75" customHeight="1">
      <c r="A870" s="123"/>
      <c r="P870" s="123"/>
    </row>
    <row r="871" spans="1:16" ht="15.75" customHeight="1">
      <c r="A871" s="123"/>
      <c r="P871" s="123"/>
    </row>
    <row r="872" spans="1:16" ht="15.75" customHeight="1">
      <c r="A872" s="123"/>
      <c r="P872" s="123"/>
    </row>
    <row r="873" spans="1:16" ht="15.75" customHeight="1">
      <c r="A873" s="123"/>
      <c r="P873" s="123"/>
    </row>
    <row r="874" spans="1:16" ht="15.75" customHeight="1">
      <c r="A874" s="123"/>
      <c r="P874" s="123"/>
    </row>
    <row r="875" spans="1:16" ht="15.75" customHeight="1">
      <c r="A875" s="123"/>
      <c r="P875" s="123"/>
    </row>
    <row r="876" spans="1:16" ht="15.75" customHeight="1">
      <c r="A876" s="123"/>
      <c r="P876" s="123"/>
    </row>
    <row r="877" spans="1:16" ht="15.75" customHeight="1">
      <c r="A877" s="123"/>
      <c r="P877" s="123"/>
    </row>
    <row r="878" spans="1:16" ht="15.75" customHeight="1">
      <c r="A878" s="123"/>
      <c r="P878" s="123"/>
    </row>
    <row r="879" spans="1:16" ht="15.75" customHeight="1">
      <c r="A879" s="123"/>
      <c r="P879" s="123"/>
    </row>
    <row r="880" spans="1:16" ht="15.75" customHeight="1">
      <c r="A880" s="123"/>
      <c r="P880" s="123"/>
    </row>
    <row r="881" spans="1:16" ht="15.75" customHeight="1">
      <c r="A881" s="123"/>
      <c r="P881" s="123"/>
    </row>
    <row r="882" spans="1:16" ht="15.75" customHeight="1">
      <c r="A882" s="123"/>
      <c r="P882" s="123"/>
    </row>
    <row r="883" spans="1:16" ht="15.75" customHeight="1">
      <c r="A883" s="123"/>
      <c r="P883" s="123"/>
    </row>
    <row r="884" spans="1:16" ht="15.75" customHeight="1">
      <c r="A884" s="123"/>
      <c r="P884" s="123"/>
    </row>
    <row r="885" spans="1:16" ht="15.75" customHeight="1">
      <c r="A885" s="123"/>
      <c r="P885" s="123"/>
    </row>
    <row r="886" spans="1:16" ht="15.75" customHeight="1">
      <c r="A886" s="123"/>
      <c r="P886" s="123"/>
    </row>
    <row r="887" spans="1:16" ht="15.75" customHeight="1">
      <c r="A887" s="123"/>
      <c r="P887" s="123"/>
    </row>
    <row r="888" spans="1:16" ht="15.75" customHeight="1">
      <c r="A888" s="123"/>
      <c r="P888" s="123"/>
    </row>
    <row r="889" spans="1:16" ht="15.75" customHeight="1">
      <c r="A889" s="123"/>
      <c r="P889" s="123"/>
    </row>
    <row r="890" spans="1:16" ht="15.75" customHeight="1">
      <c r="A890" s="123"/>
      <c r="P890" s="123"/>
    </row>
    <row r="891" spans="1:16" ht="15.75" customHeight="1">
      <c r="A891" s="123"/>
      <c r="P891" s="123"/>
    </row>
    <row r="892" spans="1:16" ht="15.75" customHeight="1">
      <c r="A892" s="123"/>
      <c r="P892" s="123"/>
    </row>
    <row r="893" spans="1:16" ht="15.75" customHeight="1">
      <c r="A893" s="123"/>
      <c r="P893" s="123"/>
    </row>
    <row r="894" spans="1:16" ht="15.75" customHeight="1">
      <c r="A894" s="123"/>
      <c r="P894" s="123"/>
    </row>
    <row r="895" spans="1:16" ht="15.75" customHeight="1">
      <c r="A895" s="123"/>
      <c r="P895" s="123"/>
    </row>
    <row r="896" spans="1:16" ht="15.75" customHeight="1">
      <c r="A896" s="123"/>
      <c r="P896" s="123"/>
    </row>
    <row r="897" spans="1:16" ht="15.75" customHeight="1">
      <c r="A897" s="123"/>
      <c r="P897" s="123"/>
    </row>
    <row r="898" spans="1:16" ht="15.75" customHeight="1">
      <c r="A898" s="123"/>
      <c r="P898" s="123"/>
    </row>
    <row r="899" spans="1:16" ht="15.75" customHeight="1">
      <c r="A899" s="123"/>
      <c r="P899" s="123"/>
    </row>
    <row r="900" spans="1:16" ht="15.75" customHeight="1">
      <c r="A900" s="123"/>
      <c r="P900" s="123"/>
    </row>
    <row r="901" spans="1:16" ht="15.75" customHeight="1">
      <c r="A901" s="123"/>
      <c r="P901" s="123"/>
    </row>
    <row r="902" spans="1:16" ht="15.75" customHeight="1">
      <c r="A902" s="123"/>
      <c r="P902" s="123"/>
    </row>
    <row r="903" spans="1:16" ht="15.75" customHeight="1">
      <c r="A903" s="123"/>
      <c r="P903" s="123"/>
    </row>
    <row r="904" spans="1:16" ht="15.75" customHeight="1">
      <c r="A904" s="123"/>
      <c r="P904" s="123"/>
    </row>
    <row r="905" spans="1:16" ht="15.75" customHeight="1">
      <c r="A905" s="123"/>
      <c r="P905" s="123"/>
    </row>
    <row r="906" spans="1:16" ht="15.75" customHeight="1">
      <c r="A906" s="123"/>
      <c r="P906" s="123"/>
    </row>
    <row r="907" spans="1:16" ht="15.75" customHeight="1">
      <c r="A907" s="123"/>
      <c r="P907" s="123"/>
    </row>
    <row r="908" spans="1:16" ht="15.75" customHeight="1">
      <c r="A908" s="123"/>
      <c r="P908" s="123"/>
    </row>
    <row r="909" spans="1:16" ht="15.75" customHeight="1">
      <c r="A909" s="123"/>
      <c r="P909" s="123"/>
    </row>
    <row r="910" spans="1:16" ht="15.75" customHeight="1">
      <c r="A910" s="123"/>
      <c r="P910" s="123"/>
    </row>
    <row r="911" spans="1:16" ht="15.75" customHeight="1">
      <c r="A911" s="123"/>
      <c r="P911" s="123"/>
    </row>
    <row r="912" spans="1:16" ht="15.75" customHeight="1">
      <c r="A912" s="123"/>
      <c r="P912" s="123"/>
    </row>
    <row r="913" spans="1:16" ht="15.75" customHeight="1">
      <c r="A913" s="123"/>
      <c r="P913" s="123"/>
    </row>
    <row r="914" spans="1:16" ht="15.75" customHeight="1">
      <c r="A914" s="123"/>
      <c r="P914" s="123"/>
    </row>
    <row r="915" spans="1:16" ht="15.75" customHeight="1">
      <c r="A915" s="123"/>
      <c r="P915" s="123"/>
    </row>
    <row r="916" spans="1:16" ht="15.75" customHeight="1">
      <c r="A916" s="123"/>
      <c r="P916" s="123"/>
    </row>
    <row r="917" spans="1:16" ht="15.75" customHeight="1">
      <c r="A917" s="123"/>
      <c r="P917" s="123"/>
    </row>
    <row r="918" spans="1:16" ht="15.75" customHeight="1">
      <c r="A918" s="123"/>
      <c r="P918" s="123"/>
    </row>
    <row r="919" spans="1:16" ht="15.75" customHeight="1">
      <c r="A919" s="123"/>
      <c r="P919" s="123"/>
    </row>
    <row r="920" spans="1:16" ht="15.75" customHeight="1">
      <c r="A920" s="123"/>
      <c r="P920" s="123"/>
    </row>
    <row r="921" spans="1:16" ht="15.75" customHeight="1">
      <c r="A921" s="123"/>
      <c r="P921" s="123"/>
    </row>
    <row r="922" spans="1:16" ht="15.75" customHeight="1">
      <c r="A922" s="123"/>
      <c r="P922" s="123"/>
    </row>
    <row r="923" spans="1:16" ht="15.75" customHeight="1">
      <c r="A923" s="123"/>
      <c r="P923" s="123"/>
    </row>
    <row r="924" spans="1:16" ht="15.75" customHeight="1">
      <c r="A924" s="123"/>
      <c r="P924" s="123"/>
    </row>
    <row r="925" spans="1:16" ht="15.75" customHeight="1">
      <c r="A925" s="123"/>
      <c r="P925" s="123"/>
    </row>
    <row r="926" spans="1:16" ht="15.75" customHeight="1">
      <c r="A926" s="123"/>
      <c r="P926" s="123"/>
    </row>
    <row r="927" spans="1:16" ht="15.75" customHeight="1">
      <c r="A927" s="123"/>
      <c r="P927" s="123"/>
    </row>
    <row r="928" spans="1:16" ht="15.75" customHeight="1">
      <c r="A928" s="123"/>
      <c r="P928" s="123"/>
    </row>
    <row r="929" spans="1:16" ht="15.75" customHeight="1">
      <c r="A929" s="123"/>
      <c r="P929" s="123"/>
    </row>
    <row r="930" spans="1:16" ht="15.75" customHeight="1">
      <c r="A930" s="123"/>
      <c r="P930" s="123"/>
    </row>
    <row r="931" spans="1:16" ht="15.75" customHeight="1">
      <c r="A931" s="123"/>
      <c r="P931" s="123"/>
    </row>
    <row r="932" spans="1:16" ht="15.75" customHeight="1">
      <c r="A932" s="123"/>
      <c r="P932" s="123"/>
    </row>
    <row r="933" spans="1:16" ht="15.75" customHeight="1">
      <c r="A933" s="123"/>
      <c r="P933" s="123"/>
    </row>
    <row r="934" spans="1:16" ht="15.75" customHeight="1">
      <c r="A934" s="123"/>
      <c r="P934" s="123"/>
    </row>
    <row r="935" spans="1:16" ht="15.75" customHeight="1">
      <c r="A935" s="123"/>
      <c r="P935" s="123"/>
    </row>
    <row r="936" spans="1:16" ht="15.75" customHeight="1">
      <c r="A936" s="123"/>
      <c r="P936" s="123"/>
    </row>
    <row r="937" spans="1:16" ht="15.75" customHeight="1">
      <c r="A937" s="123"/>
      <c r="P937" s="123"/>
    </row>
    <row r="938" spans="1:16" ht="15.75" customHeight="1">
      <c r="A938" s="123"/>
      <c r="P938" s="123"/>
    </row>
    <row r="939" spans="1:16" ht="15.75" customHeight="1">
      <c r="A939" s="123"/>
      <c r="P939" s="123"/>
    </row>
    <row r="940" spans="1:16" ht="15.75" customHeight="1">
      <c r="A940" s="123"/>
      <c r="P940" s="123"/>
    </row>
    <row r="941" spans="1:16" ht="15.75" customHeight="1">
      <c r="A941" s="123"/>
      <c r="P941" s="123"/>
    </row>
    <row r="942" spans="1:16" ht="15.75" customHeight="1">
      <c r="A942" s="123"/>
      <c r="P942" s="123"/>
    </row>
    <row r="943" spans="1:16" ht="15.75" customHeight="1">
      <c r="A943" s="123"/>
      <c r="P943" s="123"/>
    </row>
    <row r="944" spans="1:16" ht="15.75" customHeight="1">
      <c r="A944" s="123"/>
      <c r="P944" s="123"/>
    </row>
    <row r="945" spans="1:16" ht="15.75" customHeight="1">
      <c r="A945" s="123"/>
      <c r="P945" s="123"/>
    </row>
    <row r="946" spans="1:16" ht="15.75" customHeight="1">
      <c r="A946" s="123"/>
      <c r="P946" s="123"/>
    </row>
    <row r="947" spans="1:16" ht="15.75" customHeight="1">
      <c r="A947" s="123"/>
      <c r="P947" s="123"/>
    </row>
    <row r="948" spans="1:16" ht="15.75" customHeight="1">
      <c r="A948" s="123"/>
      <c r="P948" s="123"/>
    </row>
    <row r="949" spans="1:16" ht="15.75" customHeight="1">
      <c r="A949" s="123"/>
      <c r="P949" s="123"/>
    </row>
    <row r="950" spans="1:16" ht="15.75" customHeight="1">
      <c r="A950" s="123"/>
      <c r="P950" s="123"/>
    </row>
    <row r="951" spans="1:16" ht="15.75" customHeight="1">
      <c r="A951" s="123"/>
      <c r="P951" s="123"/>
    </row>
    <row r="952" spans="1:16" ht="15.75" customHeight="1">
      <c r="A952" s="123"/>
      <c r="P952" s="123"/>
    </row>
    <row r="953" spans="1:16" ht="15.75" customHeight="1">
      <c r="A953" s="123"/>
      <c r="P953" s="123"/>
    </row>
    <row r="954" spans="1:16" ht="15.75" customHeight="1">
      <c r="A954" s="123"/>
      <c r="P954" s="123"/>
    </row>
    <row r="955" spans="1:16" ht="15.75" customHeight="1">
      <c r="A955" s="123"/>
      <c r="P955" s="123"/>
    </row>
    <row r="956" spans="1:16" ht="15.75" customHeight="1">
      <c r="A956" s="123"/>
      <c r="P956" s="123"/>
    </row>
    <row r="957" spans="1:16" ht="15.75" customHeight="1">
      <c r="A957" s="123"/>
      <c r="P957" s="123"/>
    </row>
    <row r="958" spans="1:16" ht="15.75" customHeight="1">
      <c r="A958" s="123"/>
      <c r="P958" s="123"/>
    </row>
    <row r="959" spans="1:16" ht="15.75" customHeight="1">
      <c r="A959" s="123"/>
      <c r="P959" s="123"/>
    </row>
    <row r="960" spans="1:16" ht="15.75" customHeight="1">
      <c r="A960" s="123"/>
      <c r="P960" s="123"/>
    </row>
    <row r="961" spans="1:16" ht="15.75" customHeight="1">
      <c r="A961" s="123"/>
      <c r="P961" s="123"/>
    </row>
    <row r="962" spans="1:16" ht="15.75" customHeight="1">
      <c r="A962" s="123"/>
      <c r="P962" s="123"/>
    </row>
    <row r="963" spans="1:16" ht="15.75" customHeight="1">
      <c r="A963" s="123"/>
      <c r="P963" s="123"/>
    </row>
    <row r="964" spans="1:16" ht="15.75" customHeight="1">
      <c r="A964" s="123"/>
      <c r="P964" s="123"/>
    </row>
    <row r="965" spans="1:16" ht="15.75" customHeight="1">
      <c r="A965" s="123"/>
      <c r="P965" s="123"/>
    </row>
    <row r="966" spans="1:16" ht="15.75" customHeight="1">
      <c r="A966" s="123"/>
      <c r="P966" s="123"/>
    </row>
    <row r="967" spans="1:16" ht="15.75" customHeight="1">
      <c r="A967" s="123"/>
      <c r="P967" s="123"/>
    </row>
    <row r="968" spans="1:16" ht="15.75" customHeight="1">
      <c r="A968" s="123"/>
      <c r="P968" s="123"/>
    </row>
    <row r="969" spans="1:16" ht="15.75" customHeight="1">
      <c r="A969" s="123"/>
      <c r="P969" s="123"/>
    </row>
    <row r="970" spans="1:16" ht="15.75" customHeight="1">
      <c r="A970" s="123"/>
      <c r="P970" s="123"/>
    </row>
    <row r="971" spans="1:16" ht="15.75" customHeight="1">
      <c r="A971" s="123"/>
      <c r="P971" s="123"/>
    </row>
    <row r="972" spans="1:16" ht="15.75" customHeight="1">
      <c r="A972" s="123"/>
      <c r="P972" s="123"/>
    </row>
    <row r="973" spans="1:16" ht="15.75" customHeight="1">
      <c r="A973" s="123"/>
      <c r="P973" s="123"/>
    </row>
    <row r="974" spans="1:16" ht="15.75" customHeight="1">
      <c r="A974" s="123"/>
      <c r="P974" s="123"/>
    </row>
    <row r="975" spans="1:16" ht="15.75" customHeight="1">
      <c r="A975" s="123"/>
      <c r="P975" s="123"/>
    </row>
    <row r="976" spans="1:16" ht="15.75" customHeight="1">
      <c r="A976" s="123"/>
      <c r="P976" s="123"/>
    </row>
    <row r="977" spans="1:16" ht="15.75" customHeight="1">
      <c r="A977" s="123"/>
      <c r="P977" s="123"/>
    </row>
    <row r="978" spans="1:16" ht="15.75" customHeight="1">
      <c r="A978" s="123"/>
      <c r="P978" s="123"/>
    </row>
    <row r="979" spans="1:16" ht="15.75" customHeight="1">
      <c r="A979" s="123"/>
      <c r="P979" s="123"/>
    </row>
    <row r="980" spans="1:16" ht="15.75" customHeight="1">
      <c r="A980" s="123"/>
      <c r="P980" s="123"/>
    </row>
    <row r="981" spans="1:16" ht="15.75" customHeight="1">
      <c r="A981" s="123"/>
      <c r="P981" s="123"/>
    </row>
    <row r="982" spans="1:16" ht="15.75" customHeight="1">
      <c r="A982" s="123"/>
      <c r="P982" s="123"/>
    </row>
    <row r="983" spans="1:16" ht="15.75" customHeight="1">
      <c r="A983" s="123"/>
      <c r="P983" s="123"/>
    </row>
    <row r="984" spans="1:16" ht="15.75" customHeight="1">
      <c r="A984" s="123"/>
      <c r="P984" s="123"/>
    </row>
    <row r="985" spans="1:16" ht="15.75" customHeight="1">
      <c r="A985" s="123"/>
      <c r="P985" s="123"/>
    </row>
    <row r="986" spans="1:16" ht="15.75" customHeight="1">
      <c r="A986" s="123"/>
      <c r="P986" s="123"/>
    </row>
    <row r="987" spans="1:16" ht="15.75" customHeight="1">
      <c r="A987" s="123"/>
      <c r="P987" s="123"/>
    </row>
    <row r="988" spans="1:16" ht="15.75" customHeight="1">
      <c r="A988" s="123"/>
      <c r="P988" s="123"/>
    </row>
    <row r="989" spans="1:16" ht="15.75" customHeight="1">
      <c r="A989" s="123"/>
      <c r="P989" s="123"/>
    </row>
    <row r="990" spans="1:16" ht="15.75" customHeight="1">
      <c r="A990" s="123"/>
      <c r="P990" s="123"/>
    </row>
    <row r="991" spans="1:16" ht="15.75" customHeight="1">
      <c r="A991" s="123"/>
      <c r="P991" s="123"/>
    </row>
    <row r="992" spans="1:16" ht="15.75" customHeight="1">
      <c r="A992" s="123"/>
      <c r="P992" s="123"/>
    </row>
    <row r="993" spans="1:16" ht="15.75" customHeight="1">
      <c r="A993" s="123"/>
      <c r="P993" s="123"/>
    </row>
    <row r="994" spans="1:16" ht="15.75" customHeight="1">
      <c r="A994" s="123"/>
      <c r="P994" s="123"/>
    </row>
    <row r="995" spans="1:16" ht="15.75" customHeight="1">
      <c r="A995" s="123"/>
      <c r="P995" s="123"/>
    </row>
    <row r="996" spans="1:16" ht="15.75" customHeight="1">
      <c r="A996" s="123"/>
      <c r="P996" s="123"/>
    </row>
    <row r="997" spans="1:16" ht="15.75" customHeight="1">
      <c r="A997" s="123"/>
      <c r="P997" s="123"/>
    </row>
    <row r="998" spans="1:16" ht="15.75" customHeight="1">
      <c r="A998" s="123"/>
      <c r="P998" s="123"/>
    </row>
    <row r="999" spans="1:16" ht="15.75" customHeight="1">
      <c r="A999" s="123"/>
      <c r="P999" s="123"/>
    </row>
    <row r="1000" spans="1:16" ht="15.75" customHeight="1">
      <c r="A1000" s="123"/>
      <c r="P1000" s="123"/>
    </row>
    <row r="1001" spans="1:16" ht="15.75" customHeight="1">
      <c r="A1001" s="123"/>
      <c r="P1001" s="123"/>
    </row>
    <row r="1002" spans="1:16" ht="15.75" customHeight="1">
      <c r="A1002" s="123"/>
      <c r="P1002" s="123"/>
    </row>
    <row r="1003" spans="1:16" ht="15.75" customHeight="1">
      <c r="A1003" s="123"/>
      <c r="P1003" s="123"/>
    </row>
    <row r="1004" spans="1:16" ht="15.75" customHeight="1">
      <c r="A1004" s="123"/>
      <c r="P1004" s="123"/>
    </row>
    <row r="1005" spans="1:16" ht="15.75" customHeight="1">
      <c r="A1005" s="123"/>
      <c r="P1005" s="123"/>
    </row>
    <row r="1006" spans="1:16" ht="15.75" customHeight="1">
      <c r="A1006" s="123"/>
      <c r="P1006" s="123"/>
    </row>
    <row r="1007" spans="1:16" ht="15.75" customHeight="1">
      <c r="A1007" s="123"/>
      <c r="P1007" s="123"/>
    </row>
    <row r="1008" spans="1:16" ht="15.75" customHeight="1">
      <c r="A1008" s="123"/>
      <c r="P1008" s="123"/>
    </row>
    <row r="1009" spans="1:16" ht="15.75" customHeight="1">
      <c r="A1009" s="123"/>
      <c r="P1009" s="123"/>
    </row>
    <row r="1010" spans="1:16" ht="15.75" customHeight="1">
      <c r="A1010" s="123"/>
      <c r="P1010" s="123"/>
    </row>
    <row r="1011" spans="1:16" ht="15.75" customHeight="1">
      <c r="A1011" s="123"/>
      <c r="P1011" s="123"/>
    </row>
    <row r="1012" spans="1:16" ht="15.75" customHeight="1">
      <c r="A1012" s="123"/>
      <c r="P1012" s="123"/>
    </row>
    <row r="1013" spans="1:16" ht="15.75" customHeight="1">
      <c r="A1013" s="123"/>
      <c r="P1013" s="123"/>
    </row>
    <row r="1014" spans="1:16" ht="15.75" customHeight="1">
      <c r="A1014" s="123"/>
      <c r="P1014" s="123"/>
    </row>
    <row r="1015" spans="1:16" ht="15.75" customHeight="1">
      <c r="A1015" s="123"/>
      <c r="P1015" s="123"/>
    </row>
    <row r="1016" spans="1:16" ht="15.75" customHeight="1">
      <c r="A1016" s="123"/>
      <c r="P1016" s="123"/>
    </row>
    <row r="1017" spans="1:16" ht="15.75" customHeight="1">
      <c r="A1017" s="123"/>
      <c r="P1017" s="123"/>
    </row>
    <row r="1018" spans="1:16" ht="15.75" customHeight="1">
      <c r="A1018" s="123"/>
      <c r="P1018" s="123"/>
    </row>
    <row r="1019" spans="1:16" ht="15.75" customHeight="1">
      <c r="A1019" s="123"/>
      <c r="P1019" s="123"/>
    </row>
    <row r="1020" spans="1:16" ht="15.75" customHeight="1">
      <c r="A1020" s="123"/>
      <c r="P1020" s="123"/>
    </row>
    <row r="1021" spans="1:16" ht="15.75" customHeight="1">
      <c r="A1021" s="123"/>
      <c r="P1021" s="123"/>
    </row>
    <row r="1022" spans="1:16" ht="15.75" customHeight="1">
      <c r="A1022" s="123"/>
      <c r="P1022" s="123"/>
    </row>
    <row r="1023" spans="1:16" ht="15.75" customHeight="1">
      <c r="A1023" s="123"/>
      <c r="P1023" s="123"/>
    </row>
    <row r="1024" spans="1:16" ht="15.75" customHeight="1">
      <c r="A1024" s="123"/>
      <c r="P1024" s="123"/>
    </row>
    <row r="1025" spans="1:16" ht="15.75" customHeight="1">
      <c r="A1025" s="123"/>
      <c r="P1025" s="123"/>
    </row>
    <row r="1026" spans="1:16" ht="15.75" customHeight="1">
      <c r="A1026" s="123"/>
      <c r="P1026" s="123"/>
    </row>
    <row r="1027" spans="1:16" ht="15.75" customHeight="1">
      <c r="A1027" s="123"/>
      <c r="P1027" s="123"/>
    </row>
    <row r="1028" spans="1:16" ht="15.75" customHeight="1">
      <c r="A1028" s="123"/>
      <c r="P1028" s="123"/>
    </row>
    <row r="1029" spans="1:16" ht="15.75" customHeight="1">
      <c r="A1029" s="123"/>
      <c r="P1029" s="123"/>
    </row>
    <row r="1030" spans="1:16" ht="15.75" customHeight="1">
      <c r="A1030" s="123"/>
      <c r="P1030" s="123"/>
    </row>
    <row r="1031" spans="1:16" ht="15.75" customHeight="1">
      <c r="A1031" s="123"/>
      <c r="P1031" s="123"/>
    </row>
    <row r="1032" spans="1:16" ht="15.75" customHeight="1">
      <c r="A1032" s="123"/>
      <c r="P1032" s="123"/>
    </row>
    <row r="1033" spans="1:16" ht="15.75" customHeight="1">
      <c r="A1033" s="123"/>
      <c r="P1033" s="123"/>
    </row>
    <row r="1034" spans="1:16" ht="15.75" customHeight="1">
      <c r="A1034" s="123"/>
      <c r="P1034" s="123"/>
    </row>
    <row r="1035" spans="1:16" ht="15.75" customHeight="1">
      <c r="A1035" s="123"/>
      <c r="P1035" s="123"/>
    </row>
  </sheetData>
  <sheetProtection algorithmName="SHA-512" hashValue="0n6FVFPQPlEeNuXH39bkSeU3VuBOfnv4ix2g213r5xEI/0pRYOhtsRLDuMR0u8sHXuLToI+dobqv97RSUhKXdQ==" saltValue="c09kFQqaD7+iWp2gf8/S8w==" spinCount="100000" sheet="1" formatColumns="0" formatRows="0"/>
  <mergeCells count="10">
    <mergeCell ref="F66:O66"/>
    <mergeCell ref="C66:E66"/>
    <mergeCell ref="B2:O2"/>
    <mergeCell ref="B4:O15"/>
    <mergeCell ref="B24:O24"/>
    <mergeCell ref="B64:O64"/>
    <mergeCell ref="C26:E26"/>
    <mergeCell ref="F26:O26"/>
    <mergeCell ref="E16:I16"/>
    <mergeCell ref="J16:N16"/>
  </mergeCells>
  <conditionalFormatting sqref="C90:O90">
    <cfRule type="cellIs" dxfId="6" priority="12" operator="equal">
      <formula>"No"</formula>
    </cfRule>
  </conditionalFormatting>
  <conditionalFormatting sqref="C92:O92">
    <cfRule type="cellIs" dxfId="5" priority="8" operator="equal">
      <formula>"No"</formula>
    </cfRule>
  </conditionalFormatting>
  <conditionalFormatting sqref="C91:D91 G91:O91">
    <cfRule type="cellIs" dxfId="4" priority="7" operator="greaterThan">
      <formula>0</formula>
    </cfRule>
  </conditionalFormatting>
  <conditionalFormatting sqref="C17:C22">
    <cfRule type="containsBlanks" dxfId="3" priority="1">
      <formula>LEN(TRIM(C17))=0</formula>
    </cfRule>
    <cfRule type="containsBlanks" priority="2">
      <formula>LEN(TRIM(C17))=0</formula>
    </cfRule>
  </conditionalFormatting>
  <hyperlinks>
    <hyperlink ref="J16" r:id="rId1" xr:uid="{0840907F-7E6F-4F54-BF1E-9D11F0A19315}"/>
  </hyperlinks>
  <pageMargins left="0.7" right="0.7" top="0.75" bottom="0.75" header="0" footer="0"/>
  <pageSetup paperSize="9" orientation="landscape"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0CEEEC3-C168-486F-8FE4-831B1137F43E}">
          <x14:formula1>
            <xm:f>Sheet1!$A$2:$A$13</xm:f>
          </x14:formula1>
          <xm:sqref>C22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478E-CC2F-4BC1-AB5A-4C868C45E175}">
  <dimension ref="B2:P76"/>
  <sheetViews>
    <sheetView showGridLines="0" zoomScale="70" zoomScaleNormal="70" workbookViewId="0">
      <selection activeCell="B15" sqref="B15"/>
    </sheetView>
  </sheetViews>
  <sheetFormatPr defaultColWidth="8.625" defaultRowHeight="14.1"/>
  <cols>
    <col min="1" max="1" width="2.125" style="33" customWidth="1"/>
    <col min="2" max="2" width="45.375" style="33" customWidth="1"/>
    <col min="3" max="3" width="20.5" style="33" bestFit="1" customWidth="1"/>
    <col min="4" max="6" width="20.875" style="33" bestFit="1" customWidth="1"/>
    <col min="7" max="7" width="19.25" style="33" customWidth="1"/>
    <col min="8" max="8" width="25.125" style="33" customWidth="1"/>
    <col min="9" max="9" width="8.375" style="33" customWidth="1"/>
    <col min="10" max="10" width="22.25" style="33" customWidth="1"/>
    <col min="11" max="11" width="8.625" style="33" customWidth="1"/>
    <col min="12" max="16384" width="8.625" style="33"/>
  </cols>
  <sheetData>
    <row r="2" spans="2:16" ht="38.450000000000003" customHeight="1">
      <c r="B2" s="397" t="s">
        <v>72</v>
      </c>
      <c r="C2" s="397"/>
      <c r="D2" s="397"/>
      <c r="E2" s="397"/>
      <c r="F2" s="397"/>
      <c r="G2" s="397"/>
      <c r="H2" s="397"/>
      <c r="I2" s="397"/>
      <c r="J2" s="397"/>
      <c r="K2" s="397"/>
      <c r="L2" s="136"/>
      <c r="M2" s="136"/>
      <c r="N2" s="136"/>
      <c r="O2" s="136"/>
      <c r="P2" s="136"/>
    </row>
    <row r="3" spans="2:16" ht="6" customHeight="1">
      <c r="B3" s="2"/>
      <c r="C3" s="2"/>
      <c r="D3" s="2"/>
      <c r="E3" s="2"/>
      <c r="F3" s="2"/>
      <c r="G3" s="2"/>
      <c r="H3" s="2"/>
      <c r="I3" s="2"/>
      <c r="J3" s="2"/>
      <c r="K3" s="2"/>
      <c r="L3" s="2"/>
      <c r="N3" s="2"/>
      <c r="O3" s="2"/>
      <c r="P3" s="2"/>
    </row>
    <row r="4" spans="2:16">
      <c r="B4" s="399" t="s">
        <v>73</v>
      </c>
      <c r="C4" s="400"/>
      <c r="D4" s="400"/>
      <c r="E4" s="400"/>
      <c r="F4" s="400"/>
      <c r="G4" s="400"/>
      <c r="H4" s="400"/>
      <c r="I4" s="400"/>
      <c r="J4" s="400"/>
      <c r="K4" s="401"/>
      <c r="M4" s="142"/>
    </row>
    <row r="5" spans="2:16">
      <c r="B5" s="402"/>
      <c r="C5" s="403"/>
      <c r="D5" s="403"/>
      <c r="E5" s="403"/>
      <c r="F5" s="403"/>
      <c r="G5" s="403"/>
      <c r="H5" s="403"/>
      <c r="I5" s="403"/>
      <c r="J5" s="403"/>
      <c r="K5" s="404"/>
    </row>
    <row r="6" spans="2:16">
      <c r="B6" s="402"/>
      <c r="C6" s="403"/>
      <c r="D6" s="403"/>
      <c r="E6" s="403"/>
      <c r="F6" s="403"/>
      <c r="G6" s="403"/>
      <c r="H6" s="403"/>
      <c r="I6" s="403"/>
      <c r="J6" s="403"/>
      <c r="K6" s="404"/>
    </row>
    <row r="7" spans="2:16">
      <c r="B7" s="405"/>
      <c r="C7" s="406"/>
      <c r="D7" s="406"/>
      <c r="E7" s="406"/>
      <c r="F7" s="406"/>
      <c r="G7" s="406"/>
      <c r="H7" s="406"/>
      <c r="I7" s="406"/>
      <c r="J7" s="406"/>
      <c r="K7" s="407"/>
    </row>
    <row r="9" spans="2:16" ht="16.5">
      <c r="B9" s="398" t="s">
        <v>74</v>
      </c>
      <c r="C9" s="398"/>
      <c r="D9" s="398"/>
      <c r="E9" s="398"/>
      <c r="F9" s="398"/>
      <c r="G9" s="398"/>
      <c r="H9" s="398"/>
      <c r="I9" s="398"/>
      <c r="J9" s="398"/>
      <c r="K9" s="398"/>
    </row>
    <row r="10" spans="2:16" ht="13.5" customHeight="1" thickBot="1">
      <c r="B10" s="54"/>
      <c r="C10" s="46"/>
      <c r="D10" s="46"/>
      <c r="E10" s="46"/>
      <c r="F10" s="46"/>
      <c r="G10" s="46"/>
      <c r="H10" s="46"/>
      <c r="I10" s="46"/>
      <c r="J10" s="46"/>
    </row>
    <row r="11" spans="2:16" ht="13.5" customHeight="1">
      <c r="B11" s="62"/>
      <c r="C11" s="64" t="s">
        <v>75</v>
      </c>
      <c r="D11" s="64" t="s">
        <v>76</v>
      </c>
      <c r="E11" s="67" t="s">
        <v>77</v>
      </c>
      <c r="F11" s="59" t="s">
        <v>78</v>
      </c>
      <c r="G11" s="46"/>
      <c r="H11" s="46"/>
      <c r="I11" s="46"/>
      <c r="J11" s="105" t="s">
        <v>79</v>
      </c>
    </row>
    <row r="12" spans="2:16" ht="13.5" customHeight="1" thickBot="1">
      <c r="B12" s="155" t="s">
        <v>80</v>
      </c>
      <c r="C12" s="156" t="s">
        <v>81</v>
      </c>
      <c r="D12" s="156" t="s">
        <v>82</v>
      </c>
      <c r="E12" s="157"/>
      <c r="F12" s="158"/>
      <c r="G12" s="46"/>
      <c r="H12" s="46"/>
      <c r="I12" s="46"/>
      <c r="J12" s="106" t="s">
        <v>83</v>
      </c>
    </row>
    <row r="13" spans="2:16" ht="13.5" customHeight="1" thickBot="1">
      <c r="B13" s="54"/>
      <c r="C13" s="46"/>
      <c r="D13" s="46"/>
      <c r="E13" s="46"/>
      <c r="F13" s="46"/>
      <c r="G13" s="46"/>
      <c r="H13" s="46"/>
      <c r="I13" s="46"/>
      <c r="J13" s="46"/>
    </row>
    <row r="14" spans="2:16" ht="13.5" customHeight="1">
      <c r="B14" s="159" t="s">
        <v>84</v>
      </c>
      <c r="C14" s="160" t="str">
        <f>IF($C$12="","",$C$12)</f>
        <v>Test 1</v>
      </c>
      <c r="D14" s="160" t="str">
        <f>IF($D$12="","",$D$12)</f>
        <v>Test 2</v>
      </c>
      <c r="E14" s="160" t="str">
        <f>IF($E$12="","",$E$12)</f>
        <v/>
      </c>
      <c r="F14" s="162" t="str">
        <f>IF($F$12="","",$F$12)</f>
        <v/>
      </c>
      <c r="G14" s="46"/>
      <c r="H14" s="46"/>
      <c r="I14" s="46"/>
      <c r="J14" s="109" t="s">
        <v>79</v>
      </c>
    </row>
    <row r="15" spans="2:16" ht="13.5" customHeight="1">
      <c r="B15" s="372" t="s">
        <v>85</v>
      </c>
      <c r="C15" s="168"/>
      <c r="D15" s="168"/>
      <c r="E15" s="168"/>
      <c r="F15" s="169"/>
      <c r="G15" s="46"/>
      <c r="H15" s="46"/>
      <c r="I15" s="46"/>
      <c r="J15" s="107">
        <v>2.5</v>
      </c>
    </row>
    <row r="16" spans="2:16" ht="13.5" customHeight="1">
      <c r="B16" s="372" t="s">
        <v>86</v>
      </c>
      <c r="C16" s="168"/>
      <c r="D16" s="168"/>
      <c r="E16" s="168"/>
      <c r="F16" s="169"/>
      <c r="G16" s="46"/>
      <c r="H16" s="46"/>
      <c r="I16" s="46"/>
      <c r="J16" s="107">
        <v>5</v>
      </c>
    </row>
    <row r="17" spans="2:11" ht="13.5" customHeight="1">
      <c r="B17" s="372" t="s">
        <v>87</v>
      </c>
      <c r="C17" s="168"/>
      <c r="D17" s="168"/>
      <c r="E17" s="168"/>
      <c r="F17" s="169"/>
      <c r="G17" s="46"/>
      <c r="H17" s="46"/>
      <c r="I17" s="46"/>
      <c r="J17" s="107">
        <v>3</v>
      </c>
    </row>
    <row r="18" spans="2:11" ht="13.5" customHeight="1">
      <c r="B18" s="372" t="s">
        <v>88</v>
      </c>
      <c r="C18" s="168"/>
      <c r="D18" s="168"/>
      <c r="E18" s="168"/>
      <c r="F18" s="169"/>
      <c r="G18" s="46"/>
      <c r="H18" s="46"/>
      <c r="I18" s="46"/>
      <c r="J18" s="107">
        <v>1.5</v>
      </c>
    </row>
    <row r="19" spans="2:11" ht="13.5" customHeight="1">
      <c r="B19" s="372" t="s">
        <v>89</v>
      </c>
      <c r="C19" s="168"/>
      <c r="D19" s="168"/>
      <c r="E19" s="168"/>
      <c r="F19" s="169"/>
      <c r="G19" s="46"/>
      <c r="H19" s="46"/>
      <c r="I19" s="46"/>
      <c r="J19" s="107"/>
    </row>
    <row r="20" spans="2:11" ht="13.5" customHeight="1">
      <c r="B20" s="372" t="s">
        <v>90</v>
      </c>
      <c r="C20" s="168"/>
      <c r="D20" s="168"/>
      <c r="E20" s="168"/>
      <c r="F20" s="169"/>
      <c r="G20" s="46"/>
      <c r="H20" s="46"/>
      <c r="I20" s="46"/>
      <c r="J20" s="107"/>
    </row>
    <row r="21" spans="2:11" ht="13.5" customHeight="1">
      <c r="B21" s="372" t="s">
        <v>91</v>
      </c>
      <c r="C21" s="168"/>
      <c r="D21" s="168"/>
      <c r="E21" s="168"/>
      <c r="F21" s="169"/>
      <c r="G21" s="46"/>
      <c r="H21" s="46"/>
      <c r="I21" s="46"/>
      <c r="J21" s="107"/>
    </row>
    <row r="22" spans="2:11" ht="13.5" customHeight="1" thickBot="1">
      <c r="B22" s="164" t="s">
        <v>92</v>
      </c>
      <c r="C22" s="165">
        <f>SUM(C15:C21)</f>
        <v>0</v>
      </c>
      <c r="D22" s="165">
        <f t="shared" ref="D22:F22" si="0">SUM(D15:D21)</f>
        <v>0</v>
      </c>
      <c r="E22" s="165">
        <f t="shared" si="0"/>
        <v>0</v>
      </c>
      <c r="F22" s="166">
        <f t="shared" si="0"/>
        <v>0</v>
      </c>
      <c r="G22" s="46"/>
      <c r="H22" s="46"/>
      <c r="I22" s="46"/>
      <c r="J22" s="107">
        <f>SUM(J15:J21)</f>
        <v>12</v>
      </c>
    </row>
    <row r="23" spans="2:11" ht="13.5" customHeight="1" thickBot="1">
      <c r="B23" s="54"/>
      <c r="C23" s="46"/>
      <c r="D23" s="46"/>
      <c r="E23" s="46"/>
      <c r="F23" s="46"/>
      <c r="G23" s="46"/>
      <c r="H23" s="46"/>
      <c r="I23" s="46"/>
      <c r="J23" s="46"/>
    </row>
    <row r="24" spans="2:11" s="94" customFormat="1">
      <c r="B24" s="62"/>
      <c r="C24" s="73" t="str">
        <f>IF($C$12="","",$C$12)</f>
        <v>Test 1</v>
      </c>
      <c r="D24" s="73" t="str">
        <f>IF($D$12="","",$D$12)</f>
        <v>Test 2</v>
      </c>
      <c r="E24" s="73" t="str">
        <f>IF($E$12="","",$E$12)</f>
        <v/>
      </c>
      <c r="F24" s="167" t="str">
        <f>IF($F$12="","",$F$12)</f>
        <v/>
      </c>
      <c r="G24" s="46"/>
      <c r="H24" s="93"/>
      <c r="I24" s="93"/>
      <c r="J24" s="109" t="s">
        <v>79</v>
      </c>
    </row>
    <row r="25" spans="2:11" s="94" customFormat="1">
      <c r="B25" s="101" t="s">
        <v>93</v>
      </c>
      <c r="C25" s="65"/>
      <c r="D25" s="65"/>
      <c r="E25" s="68"/>
      <c r="F25" s="60"/>
      <c r="G25" s="46"/>
      <c r="H25" s="93"/>
      <c r="I25" s="93"/>
      <c r="J25" s="107">
        <v>25</v>
      </c>
    </row>
    <row r="26" spans="2:11" s="94" customFormat="1">
      <c r="B26" s="101" t="s">
        <v>94</v>
      </c>
      <c r="C26" s="161">
        <f>C22</f>
        <v>0</v>
      </c>
      <c r="D26" s="161">
        <f t="shared" ref="D26:F26" si="1">D22</f>
        <v>0</v>
      </c>
      <c r="E26" s="161">
        <f t="shared" si="1"/>
        <v>0</v>
      </c>
      <c r="F26" s="163">
        <f t="shared" si="1"/>
        <v>0</v>
      </c>
      <c r="G26" s="46"/>
      <c r="H26" s="93"/>
      <c r="I26" s="93"/>
      <c r="J26" s="107">
        <f>J22</f>
        <v>12</v>
      </c>
    </row>
    <row r="27" spans="2:11" s="94" customFormat="1" ht="14.45" thickBot="1">
      <c r="B27" s="63" t="s">
        <v>95</v>
      </c>
      <c r="C27" s="66" t="str">
        <f>IFERROR(SUM(C25-C26)/C25,"")</f>
        <v/>
      </c>
      <c r="D27" s="66" t="str">
        <f t="shared" ref="D27:F27" si="2">IFERROR(SUM(D25-D26)/D25,"")</f>
        <v/>
      </c>
      <c r="E27" s="69" t="str">
        <f t="shared" si="2"/>
        <v/>
      </c>
      <c r="F27" s="61" t="str">
        <f t="shared" si="2"/>
        <v/>
      </c>
      <c r="G27" s="46"/>
      <c r="H27" s="93"/>
      <c r="I27" s="93"/>
      <c r="J27" s="108">
        <f>SUM(J25-J26)/J25</f>
        <v>0.52</v>
      </c>
    </row>
    <row r="28" spans="2:11">
      <c r="B28" s="47"/>
      <c r="C28" s="48"/>
      <c r="D28" s="48"/>
      <c r="E28" s="48"/>
      <c r="F28" s="48"/>
      <c r="G28" s="46"/>
      <c r="H28" s="46"/>
      <c r="I28" s="46"/>
      <c r="J28" s="46"/>
    </row>
    <row r="29" spans="2:11" ht="16.5">
      <c r="B29" s="398" t="s">
        <v>96</v>
      </c>
      <c r="C29" s="398"/>
      <c r="D29" s="398"/>
      <c r="E29" s="398"/>
      <c r="F29" s="398"/>
      <c r="G29" s="398"/>
      <c r="H29" s="398"/>
      <c r="I29" s="398"/>
      <c r="J29" s="398"/>
      <c r="K29" s="398"/>
    </row>
    <row r="30" spans="2:11" ht="12.95" customHeight="1">
      <c r="B30" s="408" t="s">
        <v>97</v>
      </c>
      <c r="C30" s="408"/>
      <c r="D30" s="408"/>
      <c r="E30" s="408"/>
      <c r="F30" s="408"/>
      <c r="G30" s="408"/>
      <c r="H30" s="408"/>
      <c r="I30" s="408"/>
      <c r="J30" s="408"/>
      <c r="K30" s="408"/>
    </row>
    <row r="31" spans="2:11" ht="18.600000000000001" customHeight="1">
      <c r="B31" s="408"/>
      <c r="C31" s="408"/>
      <c r="D31" s="408"/>
      <c r="E31" s="408"/>
      <c r="F31" s="408"/>
      <c r="G31" s="408"/>
      <c r="H31" s="408"/>
      <c r="I31" s="408"/>
      <c r="J31" s="408"/>
      <c r="K31" s="408"/>
    </row>
    <row r="32" spans="2:11" ht="9.6" customHeight="1" thickBot="1">
      <c r="B32" s="52"/>
      <c r="C32" s="46"/>
      <c r="D32" s="46"/>
      <c r="E32" s="46"/>
      <c r="F32" s="46"/>
      <c r="G32" s="46"/>
      <c r="H32" s="46"/>
      <c r="I32" s="46"/>
      <c r="J32" s="46"/>
    </row>
    <row r="33" spans="2:11" ht="27.95">
      <c r="B33" s="56" t="s">
        <v>98</v>
      </c>
      <c r="C33" s="73" t="str">
        <f>IF($C$12="","",$C$12)</f>
        <v>Test 1</v>
      </c>
      <c r="D33" s="73" t="str">
        <f>IF($D$12="","",$D$12)</f>
        <v>Test 2</v>
      </c>
      <c r="E33" s="73" t="str">
        <f>IF($E$12="","",$E$12)</f>
        <v/>
      </c>
      <c r="F33" s="73" t="str">
        <f>IF($F$12="","",$F$12)</f>
        <v/>
      </c>
      <c r="G33" s="70" t="s">
        <v>99</v>
      </c>
      <c r="H33" s="70" t="s">
        <v>100</v>
      </c>
      <c r="I33" s="102"/>
      <c r="J33" s="109" t="s">
        <v>79</v>
      </c>
    </row>
    <row r="34" spans="2:11" ht="14.45">
      <c r="B34" s="58" t="str">
        <f>'1. Business Financials'!F27</f>
        <v/>
      </c>
      <c r="C34" s="148"/>
      <c r="D34" s="149"/>
      <c r="E34" s="148"/>
      <c r="F34" s="150"/>
      <c r="G34" s="81">
        <f>SUM(C34:F34)</f>
        <v>0</v>
      </c>
      <c r="H34" s="71">
        <f>SUM(G34/12)</f>
        <v>0</v>
      </c>
      <c r="I34" s="102"/>
      <c r="J34" s="110">
        <v>30</v>
      </c>
    </row>
    <row r="35" spans="2:11" ht="14.45">
      <c r="B35" s="58" t="str">
        <f>'1. Business Financials'!G27</f>
        <v/>
      </c>
      <c r="C35" s="148"/>
      <c r="D35" s="149"/>
      <c r="E35" s="148"/>
      <c r="F35" s="150"/>
      <c r="G35" s="82">
        <f t="shared" ref="G35:G43" si="3">SUM(C35:F35)</f>
        <v>0</v>
      </c>
      <c r="H35" s="71">
        <f t="shared" ref="H35:H43" si="4">SUM(G35/12)</f>
        <v>0</v>
      </c>
      <c r="I35" s="102"/>
      <c r="J35" s="110">
        <v>28</v>
      </c>
    </row>
    <row r="36" spans="2:11" ht="14.45">
      <c r="B36" s="58" t="str">
        <f>'1. Business Financials'!H27</f>
        <v/>
      </c>
      <c r="C36" s="148"/>
      <c r="D36" s="149"/>
      <c r="E36" s="148"/>
      <c r="F36" s="150"/>
      <c r="G36" s="82">
        <f t="shared" si="3"/>
        <v>0</v>
      </c>
      <c r="H36" s="71">
        <f t="shared" si="4"/>
        <v>0</v>
      </c>
      <c r="I36" s="102"/>
      <c r="J36" s="110">
        <v>30</v>
      </c>
    </row>
    <row r="37" spans="2:11" ht="14.45">
      <c r="B37" s="58" t="str">
        <f>'1. Business Financials'!I27</f>
        <v/>
      </c>
      <c r="C37" s="148"/>
      <c r="D37" s="149"/>
      <c r="E37" s="148"/>
      <c r="F37" s="150"/>
      <c r="G37" s="83">
        <f t="shared" si="3"/>
        <v>0</v>
      </c>
      <c r="H37" s="71">
        <f t="shared" si="4"/>
        <v>0</v>
      </c>
      <c r="I37" s="102"/>
      <c r="J37" s="110">
        <v>45</v>
      </c>
    </row>
    <row r="38" spans="2:11" ht="14.45">
      <c r="B38" s="58" t="str">
        <f>'1. Business Financials'!J27</f>
        <v/>
      </c>
      <c r="C38" s="148"/>
      <c r="D38" s="149"/>
      <c r="E38" s="148"/>
      <c r="F38" s="150"/>
      <c r="G38" s="81">
        <f t="shared" si="3"/>
        <v>0</v>
      </c>
      <c r="H38" s="71">
        <f t="shared" si="4"/>
        <v>0</v>
      </c>
      <c r="I38" s="102"/>
      <c r="J38" s="110">
        <v>44</v>
      </c>
    </row>
    <row r="39" spans="2:11" ht="14.45">
      <c r="B39" s="58" t="str">
        <f>'1. Business Financials'!K27</f>
        <v/>
      </c>
      <c r="C39" s="148"/>
      <c r="D39" s="149"/>
      <c r="E39" s="148"/>
      <c r="F39" s="150"/>
      <c r="G39" s="83">
        <f t="shared" si="3"/>
        <v>0</v>
      </c>
      <c r="H39" s="71">
        <f t="shared" si="4"/>
        <v>0</v>
      </c>
      <c r="I39" s="102"/>
      <c r="J39" s="110">
        <v>46</v>
      </c>
    </row>
    <row r="40" spans="2:11" ht="14.45">
      <c r="B40" s="58" t="str">
        <f>'1. Business Financials'!L27</f>
        <v/>
      </c>
      <c r="C40" s="148"/>
      <c r="D40" s="149"/>
      <c r="E40" s="148"/>
      <c r="F40" s="150"/>
      <c r="G40" s="81">
        <f t="shared" si="3"/>
        <v>0</v>
      </c>
      <c r="H40" s="71">
        <f t="shared" si="4"/>
        <v>0</v>
      </c>
      <c r="I40" s="102"/>
      <c r="J40" s="110">
        <v>50</v>
      </c>
    </row>
    <row r="41" spans="2:11" ht="14.45">
      <c r="B41" s="58" t="str">
        <f>'1. Business Financials'!M27</f>
        <v/>
      </c>
      <c r="C41" s="148"/>
      <c r="D41" s="149"/>
      <c r="E41" s="148"/>
      <c r="F41" s="150"/>
      <c r="G41" s="82">
        <f t="shared" si="3"/>
        <v>0</v>
      </c>
      <c r="H41" s="71">
        <f t="shared" si="4"/>
        <v>0</v>
      </c>
      <c r="I41" s="102"/>
      <c r="J41" s="110">
        <v>48</v>
      </c>
    </row>
    <row r="42" spans="2:11" ht="14.45">
      <c r="B42" s="58" t="str">
        <f>'1. Business Financials'!N27</f>
        <v/>
      </c>
      <c r="C42" s="148"/>
      <c r="D42" s="149"/>
      <c r="E42" s="148"/>
      <c r="F42" s="150"/>
      <c r="G42" s="81">
        <f t="shared" si="3"/>
        <v>0</v>
      </c>
      <c r="H42" s="71">
        <f t="shared" si="4"/>
        <v>0</v>
      </c>
      <c r="I42" s="102"/>
      <c r="J42" s="110">
        <v>51</v>
      </c>
    </row>
    <row r="43" spans="2:11" ht="15" thickBot="1">
      <c r="B43" s="154" t="str">
        <f>'1. Business Financials'!O27</f>
        <v/>
      </c>
      <c r="C43" s="151"/>
      <c r="D43" s="152"/>
      <c r="E43" s="151"/>
      <c r="F43" s="153"/>
      <c r="G43" s="84">
        <f t="shared" si="3"/>
        <v>0</v>
      </c>
      <c r="H43" s="72">
        <f t="shared" si="4"/>
        <v>0</v>
      </c>
      <c r="I43" s="102"/>
      <c r="J43" s="110">
        <v>55</v>
      </c>
    </row>
    <row r="44" spans="2:11" ht="30.6" customHeight="1">
      <c r="B44" s="46"/>
      <c r="C44" s="49"/>
      <c r="D44" s="49"/>
      <c r="E44" s="49"/>
      <c r="F44" s="49"/>
      <c r="G44" s="46"/>
      <c r="H44" s="111" t="s">
        <v>101</v>
      </c>
      <c r="I44" s="53"/>
    </row>
    <row r="45" spans="2:11">
      <c r="B45" s="46"/>
      <c r="C45" s="49"/>
      <c r="D45" s="49"/>
      <c r="E45" s="49"/>
      <c r="F45" s="49"/>
      <c r="G45" s="46"/>
      <c r="H45" s="46"/>
      <c r="I45" s="46"/>
    </row>
    <row r="46" spans="2:11" ht="16.5">
      <c r="B46" s="398" t="s">
        <v>14</v>
      </c>
      <c r="C46" s="398"/>
      <c r="D46" s="398"/>
      <c r="E46" s="398"/>
      <c r="F46" s="398"/>
      <c r="G46" s="398"/>
      <c r="H46" s="398"/>
      <c r="I46" s="398"/>
      <c r="J46" s="398"/>
      <c r="K46" s="398"/>
    </row>
    <row r="47" spans="2:11" ht="18.600000000000001" customHeight="1">
      <c r="B47" s="54" t="s">
        <v>102</v>
      </c>
      <c r="C47" s="46"/>
      <c r="D47" s="46"/>
      <c r="E47" s="46"/>
      <c r="F47" s="46"/>
      <c r="G47" s="46"/>
      <c r="H47" s="46"/>
      <c r="I47" s="46"/>
      <c r="J47" s="46"/>
    </row>
    <row r="48" spans="2:11" ht="8.1" customHeight="1" thickBot="1">
      <c r="B48" s="52"/>
      <c r="C48" s="46"/>
      <c r="D48" s="46"/>
      <c r="E48" s="46"/>
      <c r="F48" s="46"/>
      <c r="G48" s="46"/>
      <c r="H48" s="46"/>
      <c r="I48" s="46"/>
      <c r="J48" s="46"/>
    </row>
    <row r="49" spans="2:11" ht="27.95">
      <c r="B49" s="56" t="s">
        <v>98</v>
      </c>
      <c r="C49" s="73" t="str">
        <f>C33</f>
        <v>Test 1</v>
      </c>
      <c r="D49" s="73" t="str">
        <f t="shared" ref="D49:F49" si="5">D33</f>
        <v>Test 2</v>
      </c>
      <c r="E49" s="73" t="str">
        <f t="shared" si="5"/>
        <v/>
      </c>
      <c r="F49" s="57" t="str">
        <f t="shared" si="5"/>
        <v/>
      </c>
      <c r="G49" s="70" t="s">
        <v>103</v>
      </c>
      <c r="H49" s="70" t="s">
        <v>104</v>
      </c>
      <c r="I49" s="102"/>
      <c r="J49" s="112" t="s">
        <v>79</v>
      </c>
    </row>
    <row r="50" spans="2:11" ht="14.45">
      <c r="B50" s="58" t="str">
        <f>B34</f>
        <v/>
      </c>
      <c r="C50" s="85">
        <f>IFERROR(SUM($C$25*C34),"")</f>
        <v>0</v>
      </c>
      <c r="D50" s="85">
        <f>IFERROR(SUM($D$25*D34),"")</f>
        <v>0</v>
      </c>
      <c r="E50" s="85">
        <f>IFERROR(SUM($E$25*E34),"")</f>
        <v>0</v>
      </c>
      <c r="F50" s="55">
        <f>IFERROR(SUM($F$25*F34),"")</f>
        <v>0</v>
      </c>
      <c r="G50" s="77">
        <f t="shared" ref="G50:G59" si="6">SUM(C50:F50)</f>
        <v>0</v>
      </c>
      <c r="H50" s="75">
        <f>SUM(G50/12)</f>
        <v>0</v>
      </c>
      <c r="I50" s="103"/>
      <c r="J50" s="107">
        <f>SUM($J$25*J34)</f>
        <v>750</v>
      </c>
    </row>
    <row r="51" spans="2:11" ht="14.45">
      <c r="B51" s="58" t="str">
        <f t="shared" ref="B51:B59" si="7">B35</f>
        <v/>
      </c>
      <c r="C51" s="85">
        <f t="shared" ref="C51:C59" si="8">IFERROR(SUM($C$25*C35),"")</f>
        <v>0</v>
      </c>
      <c r="D51" s="85">
        <f t="shared" ref="D51:D59" si="9">IFERROR(SUM($D$25*D35),"")</f>
        <v>0</v>
      </c>
      <c r="E51" s="85">
        <f t="shared" ref="E51:E59" si="10">IFERROR(SUM($E$25*E35),"")</f>
        <v>0</v>
      </c>
      <c r="F51" s="55">
        <f t="shared" ref="F51:F59" si="11">IFERROR(SUM($F$25*F35),"")</f>
        <v>0</v>
      </c>
      <c r="G51" s="78">
        <f t="shared" si="6"/>
        <v>0</v>
      </c>
      <c r="H51" s="75">
        <f t="shared" ref="H51:H59" si="12">SUM(G51/12)</f>
        <v>0</v>
      </c>
      <c r="I51" s="103"/>
      <c r="J51" s="107">
        <f t="shared" ref="J51:J59" si="13">SUM($J$25*J35)</f>
        <v>700</v>
      </c>
    </row>
    <row r="52" spans="2:11" ht="14.45">
      <c r="B52" s="58" t="str">
        <f t="shared" si="7"/>
        <v/>
      </c>
      <c r="C52" s="85">
        <f t="shared" si="8"/>
        <v>0</v>
      </c>
      <c r="D52" s="85">
        <f t="shared" si="9"/>
        <v>0</v>
      </c>
      <c r="E52" s="85">
        <f t="shared" si="10"/>
        <v>0</v>
      </c>
      <c r="F52" s="55">
        <f t="shared" si="11"/>
        <v>0</v>
      </c>
      <c r="G52" s="78">
        <f t="shared" si="6"/>
        <v>0</v>
      </c>
      <c r="H52" s="75">
        <f t="shared" si="12"/>
        <v>0</v>
      </c>
      <c r="I52" s="103"/>
      <c r="J52" s="107">
        <f t="shared" si="13"/>
        <v>750</v>
      </c>
    </row>
    <row r="53" spans="2:11" ht="14.45">
      <c r="B53" s="58" t="str">
        <f t="shared" si="7"/>
        <v/>
      </c>
      <c r="C53" s="85">
        <f t="shared" si="8"/>
        <v>0</v>
      </c>
      <c r="D53" s="85">
        <f t="shared" si="9"/>
        <v>0</v>
      </c>
      <c r="E53" s="85">
        <f t="shared" si="10"/>
        <v>0</v>
      </c>
      <c r="F53" s="55">
        <f t="shared" si="11"/>
        <v>0</v>
      </c>
      <c r="G53" s="78">
        <f t="shared" si="6"/>
        <v>0</v>
      </c>
      <c r="H53" s="75">
        <f t="shared" si="12"/>
        <v>0</v>
      </c>
      <c r="I53" s="103"/>
      <c r="J53" s="107">
        <f t="shared" si="13"/>
        <v>1125</v>
      </c>
    </row>
    <row r="54" spans="2:11" ht="14.45">
      <c r="B54" s="58" t="str">
        <f t="shared" si="7"/>
        <v/>
      </c>
      <c r="C54" s="85">
        <f t="shared" si="8"/>
        <v>0</v>
      </c>
      <c r="D54" s="85">
        <f t="shared" si="9"/>
        <v>0</v>
      </c>
      <c r="E54" s="85">
        <f t="shared" si="10"/>
        <v>0</v>
      </c>
      <c r="F54" s="55">
        <f t="shared" si="11"/>
        <v>0</v>
      </c>
      <c r="G54" s="78">
        <f t="shared" si="6"/>
        <v>0</v>
      </c>
      <c r="H54" s="75">
        <f t="shared" si="12"/>
        <v>0</v>
      </c>
      <c r="I54" s="103"/>
      <c r="J54" s="107">
        <f t="shared" si="13"/>
        <v>1100</v>
      </c>
    </row>
    <row r="55" spans="2:11" ht="14.45">
      <c r="B55" s="58" t="str">
        <f t="shared" si="7"/>
        <v/>
      </c>
      <c r="C55" s="85">
        <f t="shared" si="8"/>
        <v>0</v>
      </c>
      <c r="D55" s="85">
        <f t="shared" si="9"/>
        <v>0</v>
      </c>
      <c r="E55" s="85">
        <f t="shared" si="10"/>
        <v>0</v>
      </c>
      <c r="F55" s="55">
        <f t="shared" si="11"/>
        <v>0</v>
      </c>
      <c r="G55" s="78">
        <f t="shared" si="6"/>
        <v>0</v>
      </c>
      <c r="H55" s="75">
        <f t="shared" si="12"/>
        <v>0</v>
      </c>
      <c r="I55" s="103"/>
      <c r="J55" s="107">
        <f t="shared" si="13"/>
        <v>1150</v>
      </c>
    </row>
    <row r="56" spans="2:11" ht="14.45">
      <c r="B56" s="58" t="str">
        <f t="shared" si="7"/>
        <v/>
      </c>
      <c r="C56" s="85">
        <f t="shared" si="8"/>
        <v>0</v>
      </c>
      <c r="D56" s="85">
        <f t="shared" si="9"/>
        <v>0</v>
      </c>
      <c r="E56" s="85">
        <f t="shared" si="10"/>
        <v>0</v>
      </c>
      <c r="F56" s="55">
        <f t="shared" si="11"/>
        <v>0</v>
      </c>
      <c r="G56" s="79">
        <f t="shared" si="6"/>
        <v>0</v>
      </c>
      <c r="H56" s="75">
        <f t="shared" si="12"/>
        <v>0</v>
      </c>
      <c r="I56" s="103"/>
      <c r="J56" s="107">
        <f t="shared" si="13"/>
        <v>1250</v>
      </c>
    </row>
    <row r="57" spans="2:11" ht="14.45">
      <c r="B57" s="58" t="str">
        <f t="shared" si="7"/>
        <v/>
      </c>
      <c r="C57" s="85">
        <f t="shared" si="8"/>
        <v>0</v>
      </c>
      <c r="D57" s="85">
        <f t="shared" si="9"/>
        <v>0</v>
      </c>
      <c r="E57" s="85">
        <f t="shared" si="10"/>
        <v>0</v>
      </c>
      <c r="F57" s="55">
        <f t="shared" si="11"/>
        <v>0</v>
      </c>
      <c r="G57" s="77">
        <f t="shared" si="6"/>
        <v>0</v>
      </c>
      <c r="H57" s="75">
        <f t="shared" si="12"/>
        <v>0</v>
      </c>
      <c r="I57" s="103"/>
      <c r="J57" s="107">
        <f t="shared" si="13"/>
        <v>1200</v>
      </c>
    </row>
    <row r="58" spans="2:11" ht="14.45">
      <c r="B58" s="58" t="str">
        <f t="shared" si="7"/>
        <v/>
      </c>
      <c r="C58" s="85">
        <f t="shared" si="8"/>
        <v>0</v>
      </c>
      <c r="D58" s="85">
        <f t="shared" si="9"/>
        <v>0</v>
      </c>
      <c r="E58" s="85">
        <f t="shared" si="10"/>
        <v>0</v>
      </c>
      <c r="F58" s="55">
        <f t="shared" si="11"/>
        <v>0</v>
      </c>
      <c r="G58" s="77">
        <f t="shared" si="6"/>
        <v>0</v>
      </c>
      <c r="H58" s="75">
        <f t="shared" si="12"/>
        <v>0</v>
      </c>
      <c r="I58" s="103"/>
      <c r="J58" s="107">
        <f t="shared" si="13"/>
        <v>1275</v>
      </c>
    </row>
    <row r="59" spans="2:11" ht="15" thickBot="1">
      <c r="B59" s="154" t="str">
        <f t="shared" si="7"/>
        <v/>
      </c>
      <c r="C59" s="86">
        <f t="shared" si="8"/>
        <v>0</v>
      </c>
      <c r="D59" s="86">
        <f t="shared" si="9"/>
        <v>0</v>
      </c>
      <c r="E59" s="86">
        <f t="shared" si="10"/>
        <v>0</v>
      </c>
      <c r="F59" s="87">
        <f t="shared" si="11"/>
        <v>0</v>
      </c>
      <c r="G59" s="80">
        <f t="shared" si="6"/>
        <v>0</v>
      </c>
      <c r="H59" s="76">
        <f t="shared" si="12"/>
        <v>0</v>
      </c>
      <c r="I59" s="103"/>
      <c r="J59" s="107">
        <f t="shared" si="13"/>
        <v>1375</v>
      </c>
    </row>
    <row r="60" spans="2:11" ht="32.1" customHeight="1">
      <c r="B60" s="46"/>
      <c r="C60" s="46"/>
      <c r="D60" s="46"/>
      <c r="E60" s="46"/>
      <c r="F60" s="46"/>
      <c r="G60" s="46"/>
      <c r="H60" s="111" t="s">
        <v>101</v>
      </c>
      <c r="I60" s="53"/>
      <c r="J60" s="53"/>
    </row>
    <row r="61" spans="2:11">
      <c r="B61" s="46"/>
      <c r="C61" s="46"/>
      <c r="D61" s="46"/>
      <c r="E61" s="46"/>
      <c r="F61" s="46"/>
      <c r="G61" s="46"/>
      <c r="H61" s="46"/>
      <c r="I61" s="46"/>
      <c r="J61" s="46"/>
    </row>
    <row r="62" spans="2:11" ht="16.5">
      <c r="B62" s="398" t="s">
        <v>105</v>
      </c>
      <c r="C62" s="398"/>
      <c r="D62" s="398"/>
      <c r="E62" s="398"/>
      <c r="F62" s="398"/>
      <c r="G62" s="398"/>
      <c r="H62" s="398"/>
      <c r="I62" s="398"/>
      <c r="J62" s="398"/>
      <c r="K62" s="398"/>
    </row>
    <row r="63" spans="2:11" ht="19.5" customHeight="1">
      <c r="B63" s="54" t="s">
        <v>102</v>
      </c>
      <c r="C63" s="46"/>
      <c r="D63" s="46"/>
      <c r="E63" s="46"/>
      <c r="F63" s="46"/>
      <c r="G63" s="46"/>
      <c r="H63" s="46"/>
      <c r="I63" s="46"/>
      <c r="J63" s="46"/>
    </row>
    <row r="64" spans="2:11" ht="8.4499999999999993" customHeight="1" thickBot="1">
      <c r="B64" s="54"/>
      <c r="C64" s="46"/>
      <c r="D64" s="46"/>
      <c r="E64" s="46"/>
      <c r="F64" s="46"/>
      <c r="G64" s="46"/>
      <c r="H64" s="46"/>
      <c r="I64" s="46"/>
      <c r="J64" s="46"/>
    </row>
    <row r="65" spans="2:10" ht="36.950000000000003" customHeight="1">
      <c r="B65" s="50" t="s">
        <v>98</v>
      </c>
      <c r="C65" s="73" t="str">
        <f>C33</f>
        <v>Test 1</v>
      </c>
      <c r="D65" s="73" t="str">
        <f t="shared" ref="D65:F65" si="14">D33</f>
        <v>Test 2</v>
      </c>
      <c r="E65" s="73" t="str">
        <f t="shared" si="14"/>
        <v/>
      </c>
      <c r="F65" s="73" t="str">
        <f t="shared" si="14"/>
        <v/>
      </c>
      <c r="G65" s="74" t="s">
        <v>106</v>
      </c>
      <c r="H65" s="70" t="s">
        <v>107</v>
      </c>
      <c r="I65" s="102"/>
      <c r="J65" s="109" t="s">
        <v>79</v>
      </c>
    </row>
    <row r="66" spans="2:10" ht="14.45">
      <c r="B66" s="51" t="str">
        <f>B34</f>
        <v/>
      </c>
      <c r="C66" s="85">
        <f>SUM($C$26*C34)</f>
        <v>0</v>
      </c>
      <c r="D66" s="85">
        <f>SUM($D$26*D34)</f>
        <v>0</v>
      </c>
      <c r="E66" s="85">
        <f>SUM($E$26*E34)</f>
        <v>0</v>
      </c>
      <c r="F66" s="55">
        <f>SUM($F$26*F34)</f>
        <v>0</v>
      </c>
      <c r="G66" s="88">
        <f t="shared" ref="G66:G75" si="15">SUM(C66:F66)</f>
        <v>0</v>
      </c>
      <c r="H66" s="91">
        <f>SUM(G66/12)</f>
        <v>0</v>
      </c>
      <c r="I66" s="104"/>
      <c r="J66" s="113">
        <f>SUM($J$26*J34)</f>
        <v>360</v>
      </c>
    </row>
    <row r="67" spans="2:10" ht="14.45">
      <c r="B67" s="51" t="str">
        <f t="shared" ref="B67:B75" si="16">B35</f>
        <v/>
      </c>
      <c r="C67" s="85">
        <f t="shared" ref="C67:C75" si="17">SUM($C$26*C35)</f>
        <v>0</v>
      </c>
      <c r="D67" s="85">
        <f t="shared" ref="D67:D75" si="18">SUM($D$26*D35)</f>
        <v>0</v>
      </c>
      <c r="E67" s="85">
        <f t="shared" ref="E67:E75" si="19">SUM($E$26*E35)</f>
        <v>0</v>
      </c>
      <c r="F67" s="55">
        <f t="shared" ref="F67:F75" si="20">SUM($F$26*F35)</f>
        <v>0</v>
      </c>
      <c r="G67" s="88">
        <f t="shared" si="15"/>
        <v>0</v>
      </c>
      <c r="H67" s="91">
        <f t="shared" ref="H67:H75" si="21">SUM(G67/12)</f>
        <v>0</v>
      </c>
      <c r="I67" s="104"/>
      <c r="J67" s="113">
        <f t="shared" ref="J67:J75" si="22">SUM($J$26*J35)</f>
        <v>336</v>
      </c>
    </row>
    <row r="68" spans="2:10" ht="14.45">
      <c r="B68" s="51" t="str">
        <f t="shared" si="16"/>
        <v/>
      </c>
      <c r="C68" s="85">
        <f t="shared" si="17"/>
        <v>0</v>
      </c>
      <c r="D68" s="85">
        <f t="shared" si="18"/>
        <v>0</v>
      </c>
      <c r="E68" s="85">
        <f t="shared" si="19"/>
        <v>0</v>
      </c>
      <c r="F68" s="55">
        <f t="shared" si="20"/>
        <v>0</v>
      </c>
      <c r="G68" s="88">
        <f t="shared" si="15"/>
        <v>0</v>
      </c>
      <c r="H68" s="91">
        <f t="shared" si="21"/>
        <v>0</v>
      </c>
      <c r="I68" s="104"/>
      <c r="J68" s="113">
        <f t="shared" si="22"/>
        <v>360</v>
      </c>
    </row>
    <row r="69" spans="2:10" ht="14.45">
      <c r="B69" s="51" t="str">
        <f t="shared" si="16"/>
        <v/>
      </c>
      <c r="C69" s="85">
        <f t="shared" si="17"/>
        <v>0</v>
      </c>
      <c r="D69" s="85">
        <f t="shared" si="18"/>
        <v>0</v>
      </c>
      <c r="E69" s="85">
        <f t="shared" si="19"/>
        <v>0</v>
      </c>
      <c r="F69" s="55">
        <f t="shared" si="20"/>
        <v>0</v>
      </c>
      <c r="G69" s="88">
        <f t="shared" si="15"/>
        <v>0</v>
      </c>
      <c r="H69" s="91">
        <f t="shared" si="21"/>
        <v>0</v>
      </c>
      <c r="I69" s="104"/>
      <c r="J69" s="113">
        <f t="shared" si="22"/>
        <v>540</v>
      </c>
    </row>
    <row r="70" spans="2:10" ht="14.45">
      <c r="B70" s="51" t="str">
        <f t="shared" si="16"/>
        <v/>
      </c>
      <c r="C70" s="85">
        <f t="shared" si="17"/>
        <v>0</v>
      </c>
      <c r="D70" s="85">
        <f t="shared" si="18"/>
        <v>0</v>
      </c>
      <c r="E70" s="85">
        <f t="shared" si="19"/>
        <v>0</v>
      </c>
      <c r="F70" s="55">
        <f t="shared" si="20"/>
        <v>0</v>
      </c>
      <c r="G70" s="89">
        <f t="shared" si="15"/>
        <v>0</v>
      </c>
      <c r="H70" s="91">
        <f t="shared" si="21"/>
        <v>0</v>
      </c>
      <c r="I70" s="104"/>
      <c r="J70" s="113">
        <f t="shared" si="22"/>
        <v>528</v>
      </c>
    </row>
    <row r="71" spans="2:10" ht="14.45">
      <c r="B71" s="51" t="str">
        <f t="shared" si="16"/>
        <v/>
      </c>
      <c r="C71" s="85">
        <f t="shared" si="17"/>
        <v>0</v>
      </c>
      <c r="D71" s="85">
        <f t="shared" si="18"/>
        <v>0</v>
      </c>
      <c r="E71" s="85">
        <f t="shared" si="19"/>
        <v>0</v>
      </c>
      <c r="F71" s="55">
        <f t="shared" si="20"/>
        <v>0</v>
      </c>
      <c r="G71" s="88">
        <f t="shared" si="15"/>
        <v>0</v>
      </c>
      <c r="H71" s="91">
        <f>SUM(G71/12)</f>
        <v>0</v>
      </c>
      <c r="I71" s="104"/>
      <c r="J71" s="113">
        <f t="shared" si="22"/>
        <v>552</v>
      </c>
    </row>
    <row r="72" spans="2:10" ht="14.45">
      <c r="B72" s="51" t="str">
        <f t="shared" si="16"/>
        <v/>
      </c>
      <c r="C72" s="85">
        <f t="shared" si="17"/>
        <v>0</v>
      </c>
      <c r="D72" s="85">
        <f t="shared" si="18"/>
        <v>0</v>
      </c>
      <c r="E72" s="85">
        <f t="shared" si="19"/>
        <v>0</v>
      </c>
      <c r="F72" s="55">
        <f t="shared" si="20"/>
        <v>0</v>
      </c>
      <c r="G72" s="89">
        <f t="shared" si="15"/>
        <v>0</v>
      </c>
      <c r="H72" s="91">
        <f t="shared" si="21"/>
        <v>0</v>
      </c>
      <c r="I72" s="104"/>
      <c r="J72" s="113">
        <f t="shared" si="22"/>
        <v>600</v>
      </c>
    </row>
    <row r="73" spans="2:10" ht="14.45">
      <c r="B73" s="51" t="str">
        <f t="shared" si="16"/>
        <v/>
      </c>
      <c r="C73" s="85">
        <f t="shared" si="17"/>
        <v>0</v>
      </c>
      <c r="D73" s="85">
        <f t="shared" si="18"/>
        <v>0</v>
      </c>
      <c r="E73" s="85">
        <f t="shared" si="19"/>
        <v>0</v>
      </c>
      <c r="F73" s="55">
        <f t="shared" si="20"/>
        <v>0</v>
      </c>
      <c r="G73" s="88">
        <f t="shared" si="15"/>
        <v>0</v>
      </c>
      <c r="H73" s="91">
        <f t="shared" si="21"/>
        <v>0</v>
      </c>
      <c r="I73" s="104"/>
      <c r="J73" s="113">
        <f t="shared" si="22"/>
        <v>576</v>
      </c>
    </row>
    <row r="74" spans="2:10" ht="14.45">
      <c r="B74" s="51" t="str">
        <f t="shared" si="16"/>
        <v/>
      </c>
      <c r="C74" s="85">
        <f t="shared" si="17"/>
        <v>0</v>
      </c>
      <c r="D74" s="85">
        <f t="shared" si="18"/>
        <v>0</v>
      </c>
      <c r="E74" s="85">
        <f t="shared" si="19"/>
        <v>0</v>
      </c>
      <c r="F74" s="55">
        <f t="shared" si="20"/>
        <v>0</v>
      </c>
      <c r="G74" s="88">
        <f t="shared" si="15"/>
        <v>0</v>
      </c>
      <c r="H74" s="91">
        <f t="shared" si="21"/>
        <v>0</v>
      </c>
      <c r="I74" s="104"/>
      <c r="J74" s="113">
        <f t="shared" si="22"/>
        <v>612</v>
      </c>
    </row>
    <row r="75" spans="2:10" ht="15" thickBot="1">
      <c r="B75" s="170" t="str">
        <f t="shared" si="16"/>
        <v/>
      </c>
      <c r="C75" s="86">
        <f t="shared" si="17"/>
        <v>0</v>
      </c>
      <c r="D75" s="86">
        <f t="shared" si="18"/>
        <v>0</v>
      </c>
      <c r="E75" s="86">
        <f t="shared" si="19"/>
        <v>0</v>
      </c>
      <c r="F75" s="87">
        <f t="shared" si="20"/>
        <v>0</v>
      </c>
      <c r="G75" s="90">
        <f t="shared" si="15"/>
        <v>0</v>
      </c>
      <c r="H75" s="92">
        <f t="shared" si="21"/>
        <v>0</v>
      </c>
      <c r="I75" s="104"/>
      <c r="J75" s="113">
        <f t="shared" si="22"/>
        <v>660</v>
      </c>
    </row>
    <row r="76" spans="2:10" ht="29.1" customHeight="1">
      <c r="H76" s="111" t="s">
        <v>101</v>
      </c>
      <c r="I76" s="53"/>
      <c r="J76" s="53"/>
    </row>
  </sheetData>
  <sheetProtection algorithmName="SHA-512" hashValue="XTmcOkRSfWKv+p+VQvN+Ffzi5SxsF8Hx18MpBoLKua+3tBlifCivj8a1MAOVnFuLI4sKnddFS3tYLj2Hd2hQpg==" saltValue="Tej3Iw8HB4bHYbj65bIStA==" spinCount="100000" sheet="1" objects="1" scenarios="1"/>
  <mergeCells count="7">
    <mergeCell ref="B2:K2"/>
    <mergeCell ref="B9:K9"/>
    <mergeCell ref="B29:K29"/>
    <mergeCell ref="B46:K46"/>
    <mergeCell ref="B62:K62"/>
    <mergeCell ref="B4:K7"/>
    <mergeCell ref="B30:K31"/>
  </mergeCells>
  <conditionalFormatting sqref="C34:F43">
    <cfRule type="containsBlanks" dxfId="2" priority="1">
      <formula>LEN(TRIM(C34))=0</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Y1003"/>
  <sheetViews>
    <sheetView showGridLines="0" zoomScale="70" zoomScaleNormal="70" workbookViewId="0"/>
  </sheetViews>
  <sheetFormatPr defaultColWidth="12.625" defaultRowHeight="15" customHeight="1"/>
  <cols>
    <col min="1" max="1" width="2.5" customWidth="1"/>
    <col min="2" max="2" width="34.125" customWidth="1"/>
    <col min="3" max="3" width="12.5" customWidth="1"/>
    <col min="4" max="4" width="15.375" customWidth="1"/>
    <col min="5" max="6" width="11.25" customWidth="1"/>
    <col min="7" max="7" width="12.5" customWidth="1"/>
    <col min="8" max="8" width="11.25" customWidth="1"/>
    <col min="9" max="9" width="18.625" customWidth="1"/>
    <col min="10" max="10" width="16.25" customWidth="1"/>
    <col min="11" max="22" width="11.25" customWidth="1"/>
    <col min="23" max="23" width="2.875" customWidth="1"/>
    <col min="24" max="27" width="8.5" customWidth="1"/>
    <col min="28" max="29" width="8.75" customWidth="1"/>
    <col min="30" max="31" width="8.125" customWidth="1"/>
    <col min="32" max="32" width="11.375" customWidth="1"/>
    <col min="33" max="49" width="8.75" customWidth="1"/>
    <col min="50" max="51" width="8.125" customWidth="1"/>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row>
    <row r="2" spans="1:51" ht="39.6" customHeight="1">
      <c r="A2" s="11"/>
      <c r="B2" s="386" t="s">
        <v>108</v>
      </c>
      <c r="C2" s="448"/>
      <c r="D2" s="448"/>
      <c r="E2" s="448"/>
      <c r="F2" s="448"/>
      <c r="G2" s="448"/>
      <c r="H2" s="448"/>
      <c r="I2" s="448"/>
      <c r="J2" s="448"/>
      <c r="K2" s="448"/>
      <c r="L2" s="448"/>
      <c r="M2" s="448"/>
      <c r="N2" s="448"/>
      <c r="O2" s="448"/>
      <c r="P2" s="448"/>
      <c r="Q2" s="448"/>
      <c r="R2" s="448"/>
      <c r="S2" s="448"/>
      <c r="T2" s="448"/>
      <c r="U2" s="448"/>
      <c r="V2" s="448"/>
      <c r="W2" s="115"/>
      <c r="X2" s="115"/>
    </row>
    <row r="3" spans="1:51" ht="9" customHeight="1">
      <c r="A3" s="11"/>
      <c r="B3" s="116"/>
      <c r="C3" s="116"/>
      <c r="D3" s="116"/>
      <c r="E3" s="116"/>
      <c r="F3" s="116"/>
      <c r="G3" s="116"/>
      <c r="H3" s="116"/>
      <c r="I3" s="116"/>
      <c r="J3" s="116"/>
      <c r="K3" s="116"/>
      <c r="L3" s="116"/>
      <c r="M3" s="116"/>
      <c r="N3" s="116"/>
      <c r="O3" s="116"/>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row>
    <row r="4" spans="1:51" ht="53.45" customHeight="1">
      <c r="A4" s="11"/>
      <c r="B4" s="409" t="s">
        <v>109</v>
      </c>
      <c r="C4" s="449"/>
      <c r="D4" s="449"/>
      <c r="E4" s="449"/>
      <c r="F4" s="449"/>
      <c r="G4" s="449"/>
      <c r="H4" s="449"/>
      <c r="I4" s="449"/>
      <c r="J4" s="449"/>
      <c r="K4" s="449"/>
      <c r="L4" s="449"/>
      <c r="M4" s="449"/>
      <c r="N4" s="449"/>
      <c r="O4" s="449"/>
      <c r="P4" s="449"/>
      <c r="Q4" s="449"/>
      <c r="R4" s="449"/>
      <c r="S4" s="449"/>
      <c r="T4" s="449"/>
      <c r="U4" s="449"/>
      <c r="V4" s="450"/>
      <c r="W4" s="117"/>
      <c r="X4" s="117"/>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row>
    <row r="5" spans="1:51" ht="13.5" customHeight="1">
      <c r="A5" s="11"/>
      <c r="B5" s="452"/>
      <c r="C5" s="453"/>
      <c r="D5" s="453"/>
      <c r="E5" s="453"/>
      <c r="F5" s="453"/>
      <c r="G5" s="453"/>
      <c r="H5" s="453"/>
      <c r="I5" s="453"/>
      <c r="J5" s="453"/>
      <c r="K5" s="453"/>
      <c r="L5" s="453"/>
      <c r="M5" s="453"/>
      <c r="N5" s="453"/>
      <c r="O5" s="453"/>
      <c r="P5" s="453"/>
      <c r="Q5" s="453"/>
      <c r="R5" s="453"/>
      <c r="S5" s="453"/>
      <c r="T5" s="453"/>
      <c r="U5" s="453"/>
      <c r="V5" s="454"/>
      <c r="W5" s="117"/>
      <c r="X5" s="117"/>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row>
    <row r="6" spans="1:51" ht="13.5" customHeight="1">
      <c r="A6" s="11"/>
      <c r="B6" s="118"/>
      <c r="C6" s="118"/>
      <c r="D6" s="118"/>
      <c r="E6" s="118"/>
      <c r="F6" s="118"/>
      <c r="G6" s="118"/>
      <c r="H6" s="118"/>
      <c r="I6" s="118"/>
      <c r="J6" s="118"/>
      <c r="K6" s="118"/>
      <c r="L6" s="118"/>
      <c r="M6" s="118"/>
      <c r="N6" s="118"/>
      <c r="O6" s="118"/>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row>
    <row r="7" spans="1:51" ht="13.5" customHeight="1">
      <c r="A7" s="11"/>
      <c r="B7" s="389" t="s">
        <v>110</v>
      </c>
      <c r="C7" s="448"/>
      <c r="D7" s="448"/>
      <c r="E7" s="448"/>
      <c r="F7" s="448"/>
      <c r="G7" s="448"/>
      <c r="H7" s="448"/>
      <c r="I7" s="448"/>
      <c r="J7" s="448"/>
      <c r="K7" s="448"/>
      <c r="L7" s="448"/>
      <c r="M7" s="448"/>
      <c r="N7" s="448"/>
      <c r="O7" s="448"/>
      <c r="P7" s="448"/>
      <c r="Q7" s="448"/>
      <c r="R7" s="448"/>
      <c r="S7" s="448"/>
      <c r="T7" s="448"/>
      <c r="U7" s="448"/>
      <c r="V7" s="448"/>
      <c r="W7" s="119"/>
      <c r="X7" s="119"/>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row>
    <row r="8" spans="1:51" ht="3" customHeight="1">
      <c r="A8" s="11"/>
      <c r="B8" s="120"/>
      <c r="C8" s="120"/>
      <c r="D8" s="120"/>
      <c r="E8" s="120"/>
      <c r="F8" s="120"/>
      <c r="G8" s="120"/>
      <c r="H8" s="120"/>
      <c r="I8" s="120"/>
      <c r="J8" s="120"/>
      <c r="K8" s="120"/>
      <c r="L8" s="120"/>
      <c r="M8" s="120"/>
      <c r="N8" s="120"/>
      <c r="O8" s="120"/>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row>
    <row r="9" spans="1:51" ht="13.5" customHeight="1">
      <c r="A9" s="11"/>
      <c r="B9" s="9" t="s">
        <v>111</v>
      </c>
      <c r="C9" s="140"/>
      <c r="D9" s="120"/>
      <c r="E9" s="120"/>
      <c r="F9" s="120"/>
      <c r="G9" s="120"/>
      <c r="H9" s="120"/>
      <c r="I9" s="120"/>
      <c r="J9" s="120"/>
      <c r="K9" s="120"/>
      <c r="L9" s="120"/>
      <c r="M9" s="120"/>
      <c r="N9" s="120"/>
      <c r="O9" s="120"/>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row>
    <row r="10" spans="1:51" ht="13.5" customHeight="1">
      <c r="A10" s="11"/>
      <c r="B10" s="9" t="s">
        <v>112</v>
      </c>
      <c r="C10" s="140"/>
      <c r="E10" s="11"/>
      <c r="F10" s="411" t="s">
        <v>113</v>
      </c>
      <c r="G10" s="455"/>
      <c r="H10" s="11"/>
      <c r="I10" s="411" t="s">
        <v>114</v>
      </c>
      <c r="J10" s="455"/>
      <c r="K10" s="11"/>
      <c r="L10" s="121" t="s">
        <v>115</v>
      </c>
      <c r="M10" s="11"/>
      <c r="N10" s="11"/>
      <c r="O10" s="11"/>
      <c r="P10" s="11"/>
      <c r="Q10" s="11"/>
      <c r="R10" s="11"/>
      <c r="S10" s="11"/>
      <c r="T10" s="11"/>
      <c r="U10" s="11"/>
      <c r="V10" s="11"/>
      <c r="W10" s="11"/>
      <c r="X10" s="11"/>
      <c r="AD10">
        <v>1</v>
      </c>
      <c r="AE10" t="s">
        <v>116</v>
      </c>
    </row>
    <row r="11" spans="1:51" ht="13.5" customHeight="1">
      <c r="A11" s="11"/>
      <c r="B11" s="11"/>
      <c r="C11" s="29" t="s">
        <v>117</v>
      </c>
      <c r="D11" s="122" t="s">
        <v>118</v>
      </c>
      <c r="E11" s="11"/>
      <c r="F11" s="9" t="s">
        <v>119</v>
      </c>
      <c r="G11" s="140"/>
      <c r="H11" s="11"/>
      <c r="I11" s="9" t="s">
        <v>119</v>
      </c>
      <c r="J11" s="10">
        <f>G11</f>
        <v>0</v>
      </c>
      <c r="K11" s="11"/>
      <c r="L11" s="123" t="s">
        <v>120</v>
      </c>
      <c r="M11" s="124">
        <v>0</v>
      </c>
      <c r="N11" s="11"/>
      <c r="O11" s="11"/>
      <c r="P11" s="11"/>
      <c r="Q11" s="11"/>
      <c r="R11" s="11"/>
      <c r="S11" s="11"/>
      <c r="T11" s="11"/>
      <c r="U11" s="11"/>
      <c r="V11" s="11"/>
      <c r="W11" s="11"/>
      <c r="X11" s="11"/>
      <c r="AD11">
        <v>2</v>
      </c>
      <c r="AE11" t="s">
        <v>121</v>
      </c>
    </row>
    <row r="12" spans="1:51" ht="13.5" customHeight="1">
      <c r="A12" s="11"/>
      <c r="B12" s="9" t="s">
        <v>122</v>
      </c>
      <c r="C12" s="141"/>
      <c r="D12" s="125" t="str">
        <f>IFERROR(VLOOKUP(C12,AD:AE,2,FALSE),"")</f>
        <v/>
      </c>
      <c r="E12" s="11"/>
      <c r="F12" s="9" t="s">
        <v>123</v>
      </c>
      <c r="G12" s="140"/>
      <c r="H12" s="11"/>
      <c r="I12" s="9" t="s">
        <v>123</v>
      </c>
      <c r="J12" s="10">
        <f>+J11+G12</f>
        <v>0</v>
      </c>
      <c r="K12" s="11"/>
      <c r="L12" s="123" t="s">
        <v>124</v>
      </c>
      <c r="M12" s="126">
        <v>0</v>
      </c>
      <c r="N12" s="11"/>
      <c r="O12" s="11"/>
      <c r="P12" s="11"/>
      <c r="Q12" s="11"/>
      <c r="R12" s="11"/>
      <c r="S12" s="11"/>
      <c r="T12" s="11"/>
      <c r="U12" s="11"/>
      <c r="V12" s="11"/>
      <c r="W12" s="11"/>
      <c r="X12" s="11"/>
      <c r="AD12">
        <v>3</v>
      </c>
      <c r="AE12" t="s">
        <v>125</v>
      </c>
    </row>
    <row r="13" spans="1:51" ht="13.5" customHeight="1">
      <c r="A13" s="11"/>
      <c r="B13" s="9" t="s">
        <v>126</v>
      </c>
      <c r="C13" s="141"/>
      <c r="D13" s="125" t="str">
        <f>IFERROR(VLOOKUP(C13,AD:AE,2,FALSE),"")</f>
        <v/>
      </c>
      <c r="E13" s="11"/>
      <c r="F13" s="9" t="s">
        <v>127</v>
      </c>
      <c r="G13" s="140"/>
      <c r="H13" s="11"/>
      <c r="I13" s="9" t="s">
        <v>127</v>
      </c>
      <c r="J13" s="10">
        <f t="shared" ref="J13:J14" si="0">+J12+G13</f>
        <v>0</v>
      </c>
      <c r="K13" s="11"/>
      <c r="L13" s="121" t="s">
        <v>128</v>
      </c>
      <c r="M13" s="11"/>
      <c r="N13" s="11"/>
      <c r="O13" s="11"/>
      <c r="P13" s="11"/>
      <c r="Q13" s="11"/>
      <c r="R13" s="11"/>
      <c r="S13" s="11"/>
      <c r="T13" s="11"/>
      <c r="U13" s="11"/>
      <c r="V13" s="11"/>
      <c r="W13" s="11"/>
      <c r="X13" s="11"/>
      <c r="AD13">
        <v>4</v>
      </c>
      <c r="AE13" t="s">
        <v>129</v>
      </c>
    </row>
    <row r="14" spans="1:51" ht="13.5" customHeight="1">
      <c r="A14" s="11"/>
      <c r="B14" s="9" t="s">
        <v>130</v>
      </c>
      <c r="C14" s="141"/>
      <c r="D14" s="125" t="str">
        <f>IFERROR(VLOOKUP(C14,AD:AE,2,FALSE),"")</f>
        <v/>
      </c>
      <c r="E14" s="11"/>
      <c r="F14" s="351" t="s">
        <v>131</v>
      </c>
      <c r="G14" s="352"/>
      <c r="H14" s="11"/>
      <c r="I14" s="351" t="s">
        <v>131</v>
      </c>
      <c r="J14" s="353">
        <f t="shared" si="0"/>
        <v>0</v>
      </c>
      <c r="K14" s="11"/>
      <c r="L14" s="123" t="s">
        <v>132</v>
      </c>
      <c r="M14" s="126">
        <v>0.1424</v>
      </c>
      <c r="N14" s="11" t="s">
        <v>133</v>
      </c>
      <c r="O14" s="11"/>
      <c r="P14" s="11"/>
      <c r="Q14" s="11"/>
      <c r="R14" s="11"/>
      <c r="S14" s="11"/>
      <c r="T14" s="11"/>
      <c r="U14" s="11"/>
      <c r="V14" s="11"/>
      <c r="W14" s="11"/>
      <c r="X14" s="11"/>
      <c r="AD14">
        <v>5</v>
      </c>
      <c r="AE14" t="s">
        <v>134</v>
      </c>
    </row>
    <row r="15" spans="1:51" ht="13.5" customHeight="1">
      <c r="A15" s="11"/>
      <c r="B15" s="36" t="s">
        <v>135</v>
      </c>
      <c r="C15" s="37">
        <f>C14</f>
        <v>0</v>
      </c>
      <c r="D15" s="413" t="str">
        <f>IF(SUM(C12:C14)&gt;28,"Total loan term exceeds 7 years","")</f>
        <v/>
      </c>
      <c r="E15" s="11"/>
      <c r="F15" s="351" t="s">
        <v>136</v>
      </c>
      <c r="G15" s="352"/>
      <c r="H15" s="11"/>
      <c r="I15" s="351" t="s">
        <v>136</v>
      </c>
      <c r="J15" s="353">
        <f t="shared" ref="J15:J18" si="1">+J14+G15</f>
        <v>0</v>
      </c>
      <c r="K15" s="11"/>
      <c r="L15" s="121" t="s">
        <v>11</v>
      </c>
      <c r="M15" s="127">
        <f>M16+M17</f>
        <v>7.3999999999999996E-2</v>
      </c>
      <c r="N15" s="38"/>
      <c r="O15" s="11"/>
      <c r="P15" s="11"/>
      <c r="Q15" s="11"/>
      <c r="R15" s="11"/>
      <c r="S15" s="11"/>
      <c r="T15" s="11"/>
      <c r="U15" s="11"/>
      <c r="V15" s="11"/>
      <c r="W15" s="11"/>
      <c r="X15" s="11"/>
      <c r="AD15">
        <v>6</v>
      </c>
      <c r="AE15" t="s">
        <v>137</v>
      </c>
    </row>
    <row r="16" spans="1:51" ht="14.1">
      <c r="A16" s="11"/>
      <c r="B16" s="36"/>
      <c r="C16" s="37"/>
      <c r="D16" s="413"/>
      <c r="E16" s="11"/>
      <c r="F16" s="351" t="s">
        <v>138</v>
      </c>
      <c r="G16" s="352"/>
      <c r="H16" s="11"/>
      <c r="I16" s="351" t="s">
        <v>138</v>
      </c>
      <c r="J16" s="353">
        <f t="shared" si="1"/>
        <v>0</v>
      </c>
      <c r="K16" s="11"/>
      <c r="L16" s="11" t="s">
        <v>139</v>
      </c>
      <c r="M16" s="126">
        <v>3.6999999999999998E-2</v>
      </c>
      <c r="N16" s="38"/>
      <c r="O16" s="11"/>
      <c r="P16" s="11"/>
      <c r="Q16" s="11"/>
      <c r="R16" s="11"/>
      <c r="S16" s="11"/>
      <c r="T16" s="11"/>
      <c r="U16" s="11"/>
      <c r="V16" s="11"/>
      <c r="W16" s="11"/>
      <c r="X16" s="11"/>
    </row>
    <row r="17" spans="1:31" ht="13.5" customHeight="1">
      <c r="A17" s="11"/>
      <c r="B17" s="11"/>
      <c r="C17" s="11"/>
      <c r="D17" s="11"/>
      <c r="E17" s="11"/>
      <c r="F17" s="351" t="s">
        <v>140</v>
      </c>
      <c r="G17" s="352"/>
      <c r="H17" s="11"/>
      <c r="I17" s="351" t="s">
        <v>140</v>
      </c>
      <c r="J17" s="353">
        <f t="shared" si="1"/>
        <v>0</v>
      </c>
      <c r="K17" s="11"/>
      <c r="L17" s="11" t="s">
        <v>141</v>
      </c>
      <c r="M17" s="126">
        <v>3.6999999999999998E-2</v>
      </c>
      <c r="N17" s="11"/>
      <c r="O17" s="11"/>
      <c r="P17" s="11"/>
      <c r="Q17" s="11"/>
      <c r="R17" s="11"/>
      <c r="S17" s="11"/>
      <c r="T17" s="11"/>
      <c r="U17" s="11"/>
      <c r="V17" s="11"/>
      <c r="W17" s="11"/>
      <c r="X17" s="11"/>
      <c r="AD17">
        <v>7</v>
      </c>
      <c r="AE17" t="s">
        <v>142</v>
      </c>
    </row>
    <row r="18" spans="1:31" ht="13.5" customHeight="1">
      <c r="A18" s="11"/>
      <c r="B18" s="9" t="s">
        <v>143</v>
      </c>
      <c r="C18" s="9" t="s">
        <v>144</v>
      </c>
      <c r="D18" s="9" t="s">
        <v>145</v>
      </c>
      <c r="E18" s="11"/>
      <c r="F18" s="351" t="s">
        <v>146</v>
      </c>
      <c r="G18" s="352"/>
      <c r="H18" s="11"/>
      <c r="I18" s="351" t="s">
        <v>146</v>
      </c>
      <c r="J18" s="353">
        <f t="shared" si="1"/>
        <v>0</v>
      </c>
      <c r="K18" s="11"/>
      <c r="N18" s="11"/>
      <c r="O18" s="11"/>
      <c r="P18" s="11"/>
      <c r="Q18" s="11"/>
      <c r="R18" s="11"/>
      <c r="S18" s="11"/>
      <c r="T18" s="11"/>
      <c r="U18" s="11"/>
      <c r="V18" s="11"/>
      <c r="W18" s="11"/>
      <c r="X18" s="11"/>
      <c r="AD18">
        <v>8</v>
      </c>
      <c r="AE18" t="s">
        <v>147</v>
      </c>
    </row>
    <row r="19" spans="1:31" ht="13.5" customHeight="1">
      <c r="A19" s="11"/>
      <c r="B19" s="9" t="s">
        <v>148</v>
      </c>
      <c r="C19" s="28">
        <f>(M16*91.25/365)</f>
        <v>9.2499999999999995E-3</v>
      </c>
      <c r="D19" s="28">
        <f>(M17*91.25/365)</f>
        <v>9.2499999999999995E-3</v>
      </c>
      <c r="E19" s="11"/>
      <c r="F19" s="351" t="s">
        <v>149</v>
      </c>
      <c r="G19" s="352"/>
      <c r="H19" s="11"/>
      <c r="I19" s="351" t="s">
        <v>149</v>
      </c>
      <c r="J19" s="353">
        <f t="shared" ref="J19:J22" si="2">+J18+G19</f>
        <v>0</v>
      </c>
      <c r="K19" s="11"/>
      <c r="N19" s="11"/>
      <c r="O19" s="11"/>
      <c r="P19" s="11"/>
      <c r="Q19" s="11"/>
      <c r="R19" s="11"/>
      <c r="S19" s="11"/>
      <c r="T19" s="11"/>
      <c r="U19" s="11"/>
      <c r="V19" s="11"/>
      <c r="W19" s="11"/>
      <c r="X19" s="11"/>
      <c r="AD19">
        <v>9</v>
      </c>
      <c r="AE19" t="s">
        <v>150</v>
      </c>
    </row>
    <row r="20" spans="1:31" ht="13.5" customHeight="1">
      <c r="A20" s="11"/>
      <c r="B20" s="9" t="s">
        <v>126</v>
      </c>
      <c r="C20" s="28">
        <f>(M16*91.25/365)</f>
        <v>9.2499999999999995E-3</v>
      </c>
      <c r="D20" s="28">
        <f>(M17*91.25/365)</f>
        <v>9.2499999999999995E-3</v>
      </c>
      <c r="E20" s="11"/>
      <c r="F20" s="351" t="s">
        <v>151</v>
      </c>
      <c r="G20" s="352"/>
      <c r="H20" s="11"/>
      <c r="I20" s="351" t="s">
        <v>151</v>
      </c>
      <c r="J20" s="353">
        <f t="shared" si="2"/>
        <v>0</v>
      </c>
      <c r="K20" s="11"/>
      <c r="N20" s="11"/>
      <c r="O20" s="11"/>
      <c r="P20" s="11"/>
      <c r="Q20" s="11"/>
      <c r="R20" s="11"/>
      <c r="S20" s="11"/>
      <c r="T20" s="11"/>
      <c r="U20" s="11"/>
      <c r="V20" s="11"/>
      <c r="W20" s="11"/>
      <c r="X20" s="11"/>
      <c r="AD20">
        <v>10</v>
      </c>
      <c r="AE20" t="s">
        <v>152</v>
      </c>
    </row>
    <row r="21" spans="1:31" ht="13.5" customHeight="1">
      <c r="A21" s="11"/>
      <c r="B21" s="9" t="s">
        <v>130</v>
      </c>
      <c r="C21" s="28">
        <f>($M$15*91.25/365)</f>
        <v>1.8499999999999999E-2</v>
      </c>
      <c r="D21" s="28">
        <v>0</v>
      </c>
      <c r="E21" s="11"/>
      <c r="F21" s="351" t="s">
        <v>153</v>
      </c>
      <c r="G21" s="352"/>
      <c r="H21" s="11"/>
      <c r="I21" s="351" t="s">
        <v>153</v>
      </c>
      <c r="J21" s="353">
        <f t="shared" si="2"/>
        <v>0</v>
      </c>
      <c r="K21" s="11"/>
      <c r="L21" s="11"/>
      <c r="M21" s="11"/>
      <c r="N21" s="11"/>
      <c r="O21" s="11"/>
      <c r="P21" s="11"/>
      <c r="Q21" s="11"/>
      <c r="R21" s="11"/>
      <c r="S21" s="11"/>
      <c r="T21" s="11"/>
      <c r="U21" s="11"/>
      <c r="V21" s="11"/>
      <c r="W21" s="11"/>
      <c r="X21" s="11"/>
      <c r="AD21">
        <v>11</v>
      </c>
      <c r="AE21" t="s">
        <v>154</v>
      </c>
    </row>
    <row r="22" spans="1:31" ht="13.5" customHeight="1">
      <c r="A22" s="11"/>
      <c r="D22" s="11"/>
      <c r="E22" s="11"/>
      <c r="F22" s="351" t="s">
        <v>155</v>
      </c>
      <c r="G22" s="352"/>
      <c r="H22" s="11"/>
      <c r="I22" s="351" t="s">
        <v>155</v>
      </c>
      <c r="J22" s="353">
        <f t="shared" si="2"/>
        <v>0</v>
      </c>
      <c r="K22" s="11"/>
      <c r="L22" s="11"/>
      <c r="M22" s="11"/>
      <c r="N22" s="11"/>
      <c r="O22" s="11"/>
      <c r="P22" s="11"/>
      <c r="Q22" s="11"/>
      <c r="R22" s="11"/>
      <c r="S22" s="11"/>
      <c r="T22" s="11"/>
      <c r="U22" s="11"/>
      <c r="V22" s="11"/>
      <c r="W22" s="11"/>
      <c r="X22" s="11"/>
      <c r="AD22">
        <v>12</v>
      </c>
      <c r="AE22" t="s">
        <v>156</v>
      </c>
    </row>
    <row r="23" spans="1:31" ht="13.5" customHeight="1">
      <c r="A23" s="11"/>
      <c r="B23" s="9" t="s">
        <v>157</v>
      </c>
      <c r="C23" s="10">
        <f>SUM(C50:J50)+SUM(C41:N41)+SUM(C57:V57)</f>
        <v>0</v>
      </c>
      <c r="D23" s="128"/>
      <c r="E23" s="11"/>
      <c r="F23" s="11"/>
      <c r="G23" s="11"/>
      <c r="H23" s="11"/>
      <c r="I23" s="11"/>
      <c r="J23" s="11"/>
      <c r="K23" s="11"/>
      <c r="L23" s="11"/>
      <c r="M23" s="11"/>
      <c r="N23" s="11"/>
      <c r="O23" s="11"/>
      <c r="P23" s="11"/>
      <c r="Q23" s="11"/>
      <c r="R23" s="11"/>
      <c r="S23" s="11"/>
      <c r="T23" s="11"/>
      <c r="U23" s="11"/>
      <c r="V23" s="11"/>
      <c r="W23" s="11"/>
      <c r="X23" s="11"/>
      <c r="AD23">
        <v>13</v>
      </c>
      <c r="AE23" t="s">
        <v>158</v>
      </c>
    </row>
    <row r="24" spans="1:31" ht="13.5" customHeight="1">
      <c r="A24" s="11"/>
      <c r="B24" s="9" t="s">
        <v>159</v>
      </c>
      <c r="C24" s="10">
        <f>SUM(C47:J47)+SUM(C38:N38)</f>
        <v>0</v>
      </c>
      <c r="D24" s="11"/>
      <c r="E24" s="11"/>
      <c r="F24" s="11"/>
      <c r="G24" s="11"/>
      <c r="H24" s="11"/>
      <c r="I24" s="11"/>
      <c r="J24" s="11"/>
      <c r="K24" s="11"/>
      <c r="L24" s="11"/>
      <c r="M24" s="11"/>
      <c r="N24" s="11"/>
      <c r="O24" s="11"/>
      <c r="P24" s="11"/>
      <c r="Q24" s="11"/>
      <c r="R24" s="11"/>
      <c r="S24" s="11"/>
      <c r="T24" s="11"/>
      <c r="U24" s="11"/>
      <c r="V24" s="11"/>
      <c r="W24" s="11"/>
      <c r="X24" s="11"/>
      <c r="AD24">
        <v>14</v>
      </c>
      <c r="AE24" t="s">
        <v>160</v>
      </c>
    </row>
    <row r="25" spans="1:31" ht="13.5" customHeight="1">
      <c r="A25" s="11"/>
      <c r="B25" s="9" t="s">
        <v>161</v>
      </c>
      <c r="C25" s="10">
        <f>SUM(C48:J48)+SUM(C39:N39)</f>
        <v>0</v>
      </c>
      <c r="D25" s="11"/>
      <c r="E25" s="11"/>
      <c r="F25" s="11"/>
      <c r="G25" s="11"/>
      <c r="H25" s="11"/>
      <c r="I25" s="11"/>
      <c r="J25" s="11"/>
      <c r="K25" s="11"/>
      <c r="L25" s="11"/>
      <c r="M25" s="11"/>
      <c r="N25" s="11"/>
      <c r="O25" s="11"/>
      <c r="P25" s="11"/>
      <c r="Q25" s="11"/>
      <c r="R25" s="11"/>
      <c r="S25" s="11"/>
      <c r="T25" s="11"/>
      <c r="U25" s="11"/>
      <c r="V25" s="11"/>
      <c r="W25" s="11"/>
      <c r="X25" s="11"/>
      <c r="AD25">
        <v>15</v>
      </c>
      <c r="AE25" t="s">
        <v>162</v>
      </c>
    </row>
    <row r="26" spans="1:31" ht="13.5" customHeight="1">
      <c r="A26" s="11"/>
      <c r="B26" s="9" t="s">
        <v>163</v>
      </c>
      <c r="C26" s="10">
        <f>SUM(C57:V57)</f>
        <v>0</v>
      </c>
      <c r="D26" s="11"/>
      <c r="E26" s="11"/>
      <c r="F26" s="11"/>
      <c r="G26" s="11"/>
      <c r="H26" s="11"/>
      <c r="I26" s="11"/>
      <c r="J26" s="11"/>
      <c r="K26" s="11"/>
      <c r="L26" s="11"/>
      <c r="M26" s="11"/>
      <c r="N26" s="11"/>
      <c r="O26" s="11"/>
      <c r="P26" s="11"/>
      <c r="Q26" s="11"/>
      <c r="R26" s="11"/>
      <c r="S26" s="11"/>
      <c r="T26" s="11"/>
      <c r="U26" s="11"/>
      <c r="V26" s="11"/>
      <c r="W26" s="11"/>
      <c r="X26" s="11"/>
    </row>
    <row r="27" spans="1:31" ht="13.5" customHeight="1">
      <c r="A27" s="11"/>
      <c r="B27" s="9" t="s">
        <v>164</v>
      </c>
      <c r="C27" s="10">
        <f>SUM(C40:N40)+SUM(C49:J49)+SUM(C58:V58)</f>
        <v>0</v>
      </c>
      <c r="D27" s="11"/>
      <c r="E27" s="11"/>
      <c r="F27" s="11"/>
      <c r="G27" s="11"/>
      <c r="H27" s="11"/>
      <c r="I27" s="11"/>
      <c r="J27" s="11"/>
      <c r="K27" s="11"/>
      <c r="L27" s="11"/>
      <c r="M27" s="11"/>
      <c r="N27" s="11"/>
      <c r="O27" s="11"/>
      <c r="P27" s="11"/>
      <c r="Q27" s="11"/>
      <c r="R27" s="11"/>
      <c r="S27" s="11"/>
      <c r="T27" s="11"/>
      <c r="U27" s="11"/>
      <c r="V27" s="11"/>
      <c r="W27" s="11"/>
      <c r="X27" s="11"/>
    </row>
    <row r="28" spans="1:31" ht="13.5" customHeight="1">
      <c r="A28" s="11"/>
      <c r="B28" s="9" t="s">
        <v>165</v>
      </c>
      <c r="C28" s="10">
        <f>SUM(G11:G22)</f>
        <v>0</v>
      </c>
      <c r="D28" s="11"/>
      <c r="E28" s="11"/>
      <c r="F28" s="11"/>
      <c r="G28" s="11"/>
      <c r="H28" s="11"/>
      <c r="I28" s="11"/>
      <c r="J28" s="11"/>
      <c r="K28" s="11"/>
      <c r="L28" s="11"/>
      <c r="M28" s="11"/>
      <c r="N28" s="11"/>
      <c r="O28" s="11"/>
      <c r="P28" s="11"/>
      <c r="Q28" s="11"/>
      <c r="R28" s="11"/>
      <c r="S28" s="11"/>
      <c r="T28" s="11"/>
      <c r="U28" s="11"/>
      <c r="V28" s="11"/>
      <c r="W28" s="11"/>
      <c r="X28" s="11"/>
    </row>
    <row r="29" spans="1:31" ht="13.5" customHeight="1">
      <c r="A29" s="11"/>
      <c r="B29" s="9" t="s">
        <v>166</v>
      </c>
      <c r="C29" s="10">
        <f>SUM(G11:G22)+C25</f>
        <v>0</v>
      </c>
      <c r="D29" s="12"/>
      <c r="E29" s="11"/>
      <c r="F29" s="11"/>
      <c r="G29" s="11"/>
      <c r="H29" s="11"/>
      <c r="I29" s="11"/>
      <c r="J29" s="11"/>
      <c r="K29" s="11"/>
      <c r="L29" s="11"/>
      <c r="M29" s="11"/>
      <c r="N29" s="11"/>
      <c r="O29" s="11"/>
      <c r="P29" s="11"/>
      <c r="Q29" s="11"/>
      <c r="R29" s="11"/>
      <c r="S29" s="11"/>
      <c r="T29" s="11"/>
      <c r="U29" s="11"/>
      <c r="V29" s="11"/>
      <c r="W29" s="11"/>
      <c r="X29" s="11"/>
    </row>
    <row r="30" spans="1:31" ht="13.5" customHeight="1">
      <c r="A30" s="11"/>
      <c r="B30" s="9" t="s">
        <v>167</v>
      </c>
      <c r="C30" s="10">
        <f>SUM(C59:V59)+SUM(C47:J47)+SUM(C38:N38)</f>
        <v>0</v>
      </c>
      <c r="D30" s="12"/>
      <c r="E30" s="11"/>
      <c r="F30" s="11"/>
      <c r="G30" s="11"/>
      <c r="H30" s="11"/>
      <c r="I30" s="11"/>
      <c r="J30" s="11"/>
      <c r="K30" s="11"/>
      <c r="L30" s="11"/>
      <c r="M30" s="11"/>
      <c r="N30" s="11"/>
      <c r="O30" s="11"/>
      <c r="P30" s="11"/>
      <c r="Q30" s="11"/>
      <c r="R30" s="11"/>
      <c r="S30" s="11"/>
      <c r="T30" s="11"/>
      <c r="U30" s="11"/>
      <c r="V30" s="11"/>
      <c r="W30" s="11"/>
      <c r="X30" s="11"/>
    </row>
    <row r="31" spans="1:31" ht="13.5" customHeight="1">
      <c r="A31" s="11"/>
      <c r="B31" s="9" t="s">
        <v>168</v>
      </c>
      <c r="C31" s="13">
        <f>IFERROR(-PMT(M15*91.25/365,C14,C29,0),0)</f>
        <v>0</v>
      </c>
      <c r="D31" s="129">
        <f>C31*C14</f>
        <v>0</v>
      </c>
      <c r="E31" s="11"/>
      <c r="F31" s="11"/>
      <c r="G31" s="11"/>
      <c r="H31" s="11"/>
      <c r="I31" s="11"/>
      <c r="J31" s="11"/>
      <c r="K31" s="11"/>
      <c r="L31" s="11"/>
      <c r="M31" s="11"/>
      <c r="N31" s="11"/>
      <c r="O31" s="11"/>
      <c r="P31" s="11"/>
      <c r="Q31" s="11"/>
      <c r="R31" s="11"/>
      <c r="S31" s="11"/>
      <c r="T31" s="11"/>
      <c r="U31" s="11"/>
      <c r="V31" s="11"/>
      <c r="W31" s="11"/>
      <c r="X31" s="11"/>
    </row>
    <row r="32" spans="1:31" ht="13.5" customHeight="1">
      <c r="A32" s="11"/>
      <c r="B32" s="121"/>
      <c r="C32" s="130"/>
      <c r="D32" s="38"/>
      <c r="E32" s="11"/>
      <c r="F32" s="11"/>
      <c r="G32" s="11"/>
      <c r="H32" s="11"/>
      <c r="I32" s="11"/>
      <c r="J32" s="11"/>
      <c r="K32" s="11"/>
      <c r="L32" s="11"/>
      <c r="M32" s="11"/>
      <c r="N32" s="11"/>
      <c r="O32" s="11"/>
      <c r="P32" s="11"/>
      <c r="Q32" s="11"/>
      <c r="R32" s="11"/>
      <c r="S32" s="11"/>
      <c r="T32" s="11"/>
      <c r="U32" s="11"/>
      <c r="V32" s="11"/>
      <c r="W32" s="11"/>
      <c r="X32" s="11"/>
    </row>
    <row r="33" spans="1:51" ht="13.5" customHeight="1">
      <c r="A33" s="11"/>
      <c r="B33" s="389" t="s">
        <v>169</v>
      </c>
      <c r="C33" s="448"/>
      <c r="D33" s="448"/>
      <c r="E33" s="448"/>
      <c r="F33" s="448"/>
      <c r="G33" s="448"/>
      <c r="H33" s="448"/>
      <c r="I33" s="448"/>
      <c r="J33" s="448"/>
      <c r="K33" s="448"/>
      <c r="L33" s="448"/>
      <c r="M33" s="448"/>
      <c r="N33" s="448"/>
      <c r="O33" s="448"/>
      <c r="P33" s="448"/>
      <c r="Q33" s="448"/>
      <c r="R33" s="448"/>
      <c r="S33" s="448"/>
      <c r="T33" s="448"/>
      <c r="U33" s="448"/>
      <c r="V33" s="448"/>
      <c r="W33" s="11"/>
      <c r="X33" s="11"/>
    </row>
    <row r="34" spans="1:51" ht="13.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AD34">
        <v>16</v>
      </c>
      <c r="AE34" t="s">
        <v>170</v>
      </c>
    </row>
    <row r="35" spans="1:51" ht="15" customHeight="1">
      <c r="A35" s="11"/>
      <c r="B35" s="414" t="s">
        <v>171</v>
      </c>
      <c r="C35" s="415"/>
      <c r="D35" s="415"/>
      <c r="E35" s="415"/>
      <c r="F35" s="415"/>
      <c r="G35" s="415"/>
      <c r="H35" s="415"/>
      <c r="I35" s="415"/>
      <c r="J35" s="415"/>
      <c r="K35" s="415"/>
      <c r="L35" s="415"/>
      <c r="M35" s="415"/>
      <c r="N35" s="415"/>
      <c r="O35" s="11"/>
      <c r="P35" s="11"/>
      <c r="Q35" s="11"/>
      <c r="R35" s="11"/>
      <c r="S35" s="11"/>
      <c r="T35" s="11"/>
      <c r="U35" s="11"/>
      <c r="V35" s="11"/>
      <c r="W35" s="11"/>
      <c r="X35" s="11"/>
      <c r="AD35">
        <v>17</v>
      </c>
      <c r="AE35" t="s">
        <v>172</v>
      </c>
    </row>
    <row r="36" spans="1:51" ht="13.5" customHeight="1">
      <c r="A36" s="11"/>
      <c r="B36" s="14"/>
      <c r="C36" s="15" t="s">
        <v>119</v>
      </c>
      <c r="D36" s="15" t="s">
        <v>123</v>
      </c>
      <c r="E36" s="15" t="s">
        <v>127</v>
      </c>
      <c r="F36" s="137" t="s">
        <v>131</v>
      </c>
      <c r="G36" s="137" t="s">
        <v>136</v>
      </c>
      <c r="H36" s="137" t="s">
        <v>138</v>
      </c>
      <c r="I36" s="137" t="s">
        <v>140</v>
      </c>
      <c r="J36" s="137" t="s">
        <v>146</v>
      </c>
      <c r="K36" s="137" t="s">
        <v>149</v>
      </c>
      <c r="L36" s="137" t="s">
        <v>151</v>
      </c>
      <c r="M36" s="137" t="s">
        <v>153</v>
      </c>
      <c r="N36" s="137" t="s">
        <v>155</v>
      </c>
      <c r="O36" s="11"/>
      <c r="P36" s="11"/>
      <c r="Q36" s="11"/>
      <c r="R36" s="11"/>
      <c r="S36" s="11"/>
      <c r="T36" s="11"/>
      <c r="U36" s="11"/>
      <c r="V36" s="11"/>
      <c r="W36" s="11"/>
      <c r="X36" s="11"/>
      <c r="AD36">
        <v>18</v>
      </c>
      <c r="AE36" t="s">
        <v>173</v>
      </c>
    </row>
    <row r="37" spans="1:51" ht="15.95" hidden="1" customHeight="1">
      <c r="A37" s="11"/>
      <c r="B37" s="14"/>
      <c r="C37" s="15">
        <v>1</v>
      </c>
      <c r="D37" s="15">
        <f t="shared" ref="D37:J37" si="3">IF(C37=0,0,IF($C$12&gt;C37,C37+1,0))</f>
        <v>0</v>
      </c>
      <c r="E37" s="15">
        <f t="shared" si="3"/>
        <v>0</v>
      </c>
      <c r="F37" s="137">
        <f t="shared" si="3"/>
        <v>0</v>
      </c>
      <c r="G37" s="137">
        <f t="shared" si="3"/>
        <v>0</v>
      </c>
      <c r="H37" s="137">
        <f t="shared" si="3"/>
        <v>0</v>
      </c>
      <c r="I37" s="137">
        <f t="shared" si="3"/>
        <v>0</v>
      </c>
      <c r="J37" s="137">
        <f t="shared" si="3"/>
        <v>0</v>
      </c>
      <c r="K37" s="137">
        <f t="shared" ref="K37:N37" si="4">IF(J37=0,0,IF($C$12&gt;J37,J37+1,0))</f>
        <v>0</v>
      </c>
      <c r="L37" s="137">
        <f t="shared" si="4"/>
        <v>0</v>
      </c>
      <c r="M37" s="137">
        <f t="shared" si="4"/>
        <v>0</v>
      </c>
      <c r="N37" s="137">
        <f t="shared" si="4"/>
        <v>0</v>
      </c>
      <c r="O37" s="11"/>
      <c r="P37" s="11"/>
      <c r="Q37" s="11"/>
      <c r="R37" s="11"/>
      <c r="S37" s="11"/>
      <c r="T37" s="11"/>
      <c r="U37" s="11"/>
      <c r="V37" s="11"/>
      <c r="W37" s="11"/>
      <c r="X37" s="11"/>
    </row>
    <row r="38" spans="1:51" ht="13.5" customHeight="1">
      <c r="A38" s="128"/>
      <c r="B38" s="13" t="s">
        <v>174</v>
      </c>
      <c r="C38" s="10">
        <f>IF($C12&gt;=1,$G11*$C19,0)</f>
        <v>0</v>
      </c>
      <c r="D38" s="10">
        <f>IF($C12&gt;=2,SUM($G11:$G12)*$C19,0)</f>
        <v>0</v>
      </c>
      <c r="E38" s="10">
        <f>IF($C12&gt;=3,SUM($G11:$G13)*$C19,0)</f>
        <v>0</v>
      </c>
      <c r="F38" s="138">
        <f>IF($C12&gt;=4,SUM($G11:$G14)*$C19,0)</f>
        <v>0</v>
      </c>
      <c r="G38" s="138">
        <f>IF($C12&gt;=5,SUM($G11:$G15)*$C19,0)</f>
        <v>0</v>
      </c>
      <c r="H38" s="138">
        <f>IF($C12&gt;=6,SUM($G11:$G16)*$C19,0)</f>
        <v>0</v>
      </c>
      <c r="I38" s="138">
        <f>IF($C12&gt;=7,SUM($G11:$G17)*$C19,0)</f>
        <v>0</v>
      </c>
      <c r="J38" s="138">
        <f>IF($C12&gt;=8,SUM($G11:$G18)*$C19,0)</f>
        <v>0</v>
      </c>
      <c r="K38" s="138">
        <f>IF($C12&gt;=9,SUM($G11:$G19)*$C19,0)</f>
        <v>0</v>
      </c>
      <c r="L38" s="138">
        <f>IF($C12&gt;=10,SUM($G11:$G20)*$C19,0)</f>
        <v>0</v>
      </c>
      <c r="M38" s="138">
        <f>IF($C12&gt;=11,SUM($G11:$G21)*$C19,0)</f>
        <v>0</v>
      </c>
      <c r="N38" s="138">
        <f>IF($C12&gt;=12,SUM($G11:$G22)*$C19,0)</f>
        <v>0</v>
      </c>
      <c r="O38" s="128"/>
      <c r="P38" s="128"/>
      <c r="Q38" s="128"/>
      <c r="R38" s="128"/>
      <c r="S38" s="128"/>
      <c r="T38" s="128"/>
      <c r="U38" s="128"/>
      <c r="V38" s="128"/>
      <c r="W38" s="128"/>
      <c r="X38" s="128"/>
      <c r="Y38" s="16"/>
      <c r="Z38" s="16"/>
      <c r="AA38" s="16"/>
      <c r="AB38" s="16"/>
      <c r="AC38" s="16"/>
      <c r="AD38" s="16">
        <v>19</v>
      </c>
      <c r="AE38" s="16" t="s">
        <v>175</v>
      </c>
      <c r="AF38" s="16"/>
      <c r="AG38" s="16"/>
      <c r="AH38" s="16"/>
      <c r="AI38" s="16"/>
      <c r="AJ38" s="16"/>
      <c r="AK38" s="16"/>
      <c r="AL38" s="16"/>
      <c r="AM38" s="16"/>
      <c r="AN38" s="16"/>
      <c r="AO38" s="16"/>
      <c r="AP38" s="16"/>
      <c r="AQ38" s="16"/>
      <c r="AR38" s="16"/>
      <c r="AS38" s="16"/>
      <c r="AT38" s="16"/>
      <c r="AU38" s="16"/>
      <c r="AV38" s="16"/>
      <c r="AW38" s="16"/>
      <c r="AX38" s="16"/>
      <c r="AY38" s="16"/>
    </row>
    <row r="39" spans="1:51" ht="13.5" customHeight="1">
      <c r="A39" s="128"/>
      <c r="B39" s="13" t="s">
        <v>176</v>
      </c>
      <c r="C39" s="10">
        <f>IF($C12&gt;=1,$G11*$D19,0)</f>
        <v>0</v>
      </c>
      <c r="D39" s="10">
        <f>IF($C12&gt;=2,SUM($G11:$G12)*$D19,0)</f>
        <v>0</v>
      </c>
      <c r="E39" s="10">
        <f>IF($C12&gt;=3,SUM($G11:$G13)*$D19,0)</f>
        <v>0</v>
      </c>
      <c r="F39" s="138">
        <f>IF($C12&gt;=4,SUM($G11:$G14)*$D19,0)</f>
        <v>0</v>
      </c>
      <c r="G39" s="138">
        <f>IF($C12&gt;=5,SUM($G11:$G15)*$D19,0)</f>
        <v>0</v>
      </c>
      <c r="H39" s="138">
        <f>IF($C12&gt;=6,SUM($G11:$G16)*$D19,0)</f>
        <v>0</v>
      </c>
      <c r="I39" s="138">
        <f>IF($C12&gt;=7,SUM($G11:$G17)*$D19,0)</f>
        <v>0</v>
      </c>
      <c r="J39" s="138">
        <f>IF($C12&gt;=8,SUM($G11:$G18)*$D19,0)</f>
        <v>0</v>
      </c>
      <c r="K39" s="138">
        <f>IF($C12&gt;=9,SUM($G11:$G19)*$D19,0)</f>
        <v>0</v>
      </c>
      <c r="L39" s="138">
        <f>IF($C12&gt;=10,SUM($G11:$G20)*$D19,0)</f>
        <v>0</v>
      </c>
      <c r="M39" s="138">
        <f>IF($C12&gt;=11,SUM($G11:$G21)*$D19,0)</f>
        <v>0</v>
      </c>
      <c r="N39" s="138">
        <f>IF($C12&gt;=12,SUM($G11:$G22)*$D19,0)</f>
        <v>0</v>
      </c>
      <c r="O39" s="128"/>
      <c r="P39" s="128"/>
      <c r="Q39" s="128"/>
      <c r="R39" s="128"/>
      <c r="S39" s="128"/>
      <c r="T39" s="128"/>
      <c r="U39" s="128"/>
      <c r="V39" s="128"/>
      <c r="W39" s="128"/>
      <c r="X39" s="128"/>
      <c r="Y39" s="16"/>
      <c r="Z39" s="16"/>
      <c r="AA39" s="16"/>
      <c r="AB39" s="16"/>
      <c r="AC39" s="16"/>
      <c r="AD39" s="16">
        <v>20</v>
      </c>
      <c r="AE39" s="16" t="s">
        <v>177</v>
      </c>
      <c r="AF39" s="16"/>
      <c r="AG39" s="16"/>
      <c r="AH39" s="16"/>
      <c r="AI39" s="16"/>
      <c r="AJ39" s="16"/>
      <c r="AK39" s="16"/>
      <c r="AL39" s="16"/>
      <c r="AM39" s="16"/>
      <c r="AN39" s="16"/>
      <c r="AO39" s="16"/>
      <c r="AP39" s="16"/>
      <c r="AQ39" s="16"/>
      <c r="AR39" s="16"/>
      <c r="AS39" s="16"/>
      <c r="AT39" s="16"/>
      <c r="AU39" s="16"/>
      <c r="AV39" s="16"/>
      <c r="AW39" s="16"/>
      <c r="AX39" s="16"/>
      <c r="AY39" s="16"/>
    </row>
    <row r="40" spans="1:51" ht="13.5" customHeight="1">
      <c r="A40" s="128"/>
      <c r="B40" s="13" t="s">
        <v>115</v>
      </c>
      <c r="C40" s="10">
        <f>IF($C12&gt;=1,((C10*M11)+($J11*$M12/4)),0)</f>
        <v>0</v>
      </c>
      <c r="D40" s="10">
        <f>IF($C12&gt;=2,(($J12*$M12/4)),0)</f>
        <v>0</v>
      </c>
      <c r="E40" s="10">
        <f>IF($C12&gt;=3,(($J13*$M12/4)),0)</f>
        <v>0</v>
      </c>
      <c r="F40" s="138">
        <f>IF($C12&gt;=4,(($J14*$M12/4)),0)</f>
        <v>0</v>
      </c>
      <c r="G40" s="138">
        <f>IF($C12&gt;=5,(($J15*$M12/4)),0)</f>
        <v>0</v>
      </c>
      <c r="H40" s="138">
        <f>IF($C12&gt;=6,(($J16*$M12/4)),0)</f>
        <v>0</v>
      </c>
      <c r="I40" s="138">
        <f>IF($C12&gt;=7,(($J17*$M12/4)),0)</f>
        <v>0</v>
      </c>
      <c r="J40" s="138">
        <f>IF($C12&gt;=8,(($J18*$M12/4)),0)</f>
        <v>0</v>
      </c>
      <c r="K40" s="138">
        <f>IF($C12&gt;=9,(($J19*$M12/4)),0)</f>
        <v>0</v>
      </c>
      <c r="L40" s="138">
        <f>IF($C12&gt;=10,(($J20*$M12/4)),0)</f>
        <v>0</v>
      </c>
      <c r="M40" s="138">
        <f>IF($C12&gt;=11,(($J21*$M12/4)),0)</f>
        <v>0</v>
      </c>
      <c r="N40" s="138">
        <f>IF($C12&gt;=12,(($J22*$M12/4)),0)</f>
        <v>0</v>
      </c>
      <c r="O40" s="128"/>
      <c r="P40" s="128"/>
      <c r="Q40" s="128"/>
      <c r="R40" s="128"/>
      <c r="S40" s="128"/>
      <c r="T40" s="128"/>
      <c r="U40" s="128"/>
      <c r="V40" s="128"/>
      <c r="W40" s="128"/>
      <c r="X40" s="128"/>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row>
    <row r="41" spans="1:51" ht="13.5" customHeight="1" thickBot="1">
      <c r="A41" s="128"/>
      <c r="B41" s="17" t="s">
        <v>178</v>
      </c>
      <c r="C41" s="18">
        <f>SUM(C38:C40)</f>
        <v>0</v>
      </c>
      <c r="D41" s="18">
        <f t="shared" ref="D41:F41" si="5">SUM(D38:D40)</f>
        <v>0</v>
      </c>
      <c r="E41" s="18">
        <f t="shared" si="5"/>
        <v>0</v>
      </c>
      <c r="F41" s="139">
        <f t="shared" si="5"/>
        <v>0</v>
      </c>
      <c r="G41" s="139">
        <f t="shared" ref="G41:J41" si="6">SUM(G38:G40)</f>
        <v>0</v>
      </c>
      <c r="H41" s="139">
        <f t="shared" si="6"/>
        <v>0</v>
      </c>
      <c r="I41" s="139">
        <f t="shared" si="6"/>
        <v>0</v>
      </c>
      <c r="J41" s="139">
        <f t="shared" si="6"/>
        <v>0</v>
      </c>
      <c r="K41" s="139">
        <f t="shared" ref="K41:N41" si="7">SUM(K38:K40)</f>
        <v>0</v>
      </c>
      <c r="L41" s="139">
        <f t="shared" si="7"/>
        <v>0</v>
      </c>
      <c r="M41" s="139">
        <f t="shared" si="7"/>
        <v>0</v>
      </c>
      <c r="N41" s="139">
        <f t="shared" si="7"/>
        <v>0</v>
      </c>
      <c r="O41" s="128"/>
      <c r="P41" s="128"/>
      <c r="Q41" s="128"/>
      <c r="R41" s="128"/>
      <c r="S41" s="128"/>
      <c r="T41" s="128"/>
      <c r="U41" s="128"/>
      <c r="V41" s="128"/>
      <c r="W41" s="128"/>
      <c r="X41" s="128"/>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row>
    <row r="42" spans="1:51" ht="13.5" customHeight="1" thickTop="1">
      <c r="A42" s="11"/>
      <c r="B42" s="11"/>
      <c r="C42" s="11"/>
      <c r="D42" s="11"/>
      <c r="E42" s="11"/>
      <c r="F42" s="131"/>
      <c r="G42" s="131"/>
      <c r="H42" s="131"/>
      <c r="I42" s="131"/>
      <c r="J42" s="131"/>
      <c r="K42" s="135"/>
      <c r="L42" s="135"/>
      <c r="M42" s="135"/>
      <c r="N42" s="135"/>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row>
    <row r="43" spans="1:51" ht="13.5" customHeight="1">
      <c r="A43" s="11"/>
      <c r="B43" s="11"/>
      <c r="C43" s="11"/>
      <c r="D43" s="11"/>
      <c r="E43" s="11"/>
      <c r="F43" s="11"/>
      <c r="G43" s="131"/>
      <c r="H43" s="131"/>
      <c r="I43" s="131"/>
      <c r="J43" s="13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row>
    <row r="44" spans="1:51" ht="15" customHeight="1">
      <c r="A44" s="11"/>
      <c r="B44" s="412" t="s">
        <v>179</v>
      </c>
      <c r="C44" s="456"/>
      <c r="D44" s="456"/>
      <c r="E44" s="456"/>
      <c r="F44" s="456"/>
      <c r="G44" s="456"/>
      <c r="H44" s="456"/>
      <c r="I44" s="456"/>
      <c r="J44" s="456"/>
      <c r="K44" s="11"/>
      <c r="L44" s="11"/>
      <c r="M44" s="11"/>
      <c r="N44" s="11"/>
      <c r="O44" s="11"/>
      <c r="P44" s="11"/>
      <c r="Q44" s="11"/>
      <c r="R44" s="11"/>
      <c r="S44" s="11"/>
      <c r="T44" s="11"/>
      <c r="U44" s="11"/>
      <c r="V44" s="11"/>
      <c r="W44" s="11"/>
      <c r="X44" s="11"/>
    </row>
    <row r="45" spans="1:51" ht="13.5" customHeight="1">
      <c r="A45" s="11"/>
      <c r="B45" s="19"/>
      <c r="C45" s="20" t="s">
        <v>119</v>
      </c>
      <c r="D45" s="20" t="s">
        <v>123</v>
      </c>
      <c r="E45" s="20" t="s">
        <v>127</v>
      </c>
      <c r="F45" s="20" t="s">
        <v>131</v>
      </c>
      <c r="G45" s="20" t="s">
        <v>136</v>
      </c>
      <c r="H45" s="20" t="s">
        <v>138</v>
      </c>
      <c r="I45" s="20" t="s">
        <v>140</v>
      </c>
      <c r="J45" s="20" t="s">
        <v>146</v>
      </c>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row>
    <row r="46" spans="1:51" ht="20.45" hidden="1" customHeight="1">
      <c r="A46" s="11"/>
      <c r="B46" s="19"/>
      <c r="C46" s="20">
        <f>IF(C13=0,0,MAX(C37:N37)+1)</f>
        <v>0</v>
      </c>
      <c r="D46" s="20">
        <f t="shared" ref="D46:J46" si="8">IF(C46=0,0,IF(($C$12+$C$13)&gt;C46,C46+1,0))</f>
        <v>0</v>
      </c>
      <c r="E46" s="20">
        <f t="shared" si="8"/>
        <v>0</v>
      </c>
      <c r="F46" s="20">
        <f t="shared" si="8"/>
        <v>0</v>
      </c>
      <c r="G46" s="20">
        <f t="shared" si="8"/>
        <v>0</v>
      </c>
      <c r="H46" s="20">
        <f t="shared" si="8"/>
        <v>0</v>
      </c>
      <c r="I46" s="20">
        <f t="shared" si="8"/>
        <v>0</v>
      </c>
      <c r="J46" s="20">
        <f t="shared" si="8"/>
        <v>0</v>
      </c>
      <c r="K46" s="20"/>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row>
    <row r="47" spans="1:51" ht="13.5" customHeight="1">
      <c r="A47" s="132"/>
      <c r="B47" s="21" t="s">
        <v>180</v>
      </c>
      <c r="C47" s="22">
        <f>IF($C13&gt;=1,SUM($G11:$G23)*$C20,0)</f>
        <v>0</v>
      </c>
      <c r="D47" s="22">
        <f>IF($C13&gt;=2,SUM($G11:$G23)*$C20,0)</f>
        <v>0</v>
      </c>
      <c r="E47" s="22">
        <f>IF($C13&gt;=3,SUM($G11:$G23)*$C20,0)</f>
        <v>0</v>
      </c>
      <c r="F47" s="22">
        <f>IF($C13&gt;=4,SUM($G11:$G23)*$C20,0)</f>
        <v>0</v>
      </c>
      <c r="G47" s="22">
        <f>IF($C13&gt;=5,SUM($G11:$G23)*$C20,0)</f>
        <v>0</v>
      </c>
      <c r="H47" s="22">
        <f>IF($C13&gt;=6,SUM($G11:$G23)*$C20,0)</f>
        <v>0</v>
      </c>
      <c r="I47" s="22">
        <f>IF($C13&gt;=7,SUM($G11:$G23)*$C20,0)</f>
        <v>0</v>
      </c>
      <c r="J47" s="22">
        <f>IF($C13&gt;=8,SUM($G11:$G23)*$C20,0)</f>
        <v>0</v>
      </c>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c r="AV47" s="132"/>
      <c r="AW47" s="132"/>
      <c r="AX47" s="132"/>
      <c r="AY47" s="132"/>
    </row>
    <row r="48" spans="1:51" ht="13.5" customHeight="1">
      <c r="A48" s="132"/>
      <c r="B48" s="21" t="s">
        <v>176</v>
      </c>
      <c r="C48" s="22">
        <f>IF($C13&gt;=1,SUM($G11:$G23)*$D20,0)</f>
        <v>0</v>
      </c>
      <c r="D48" s="22">
        <f>IF($C13&gt;=2,SUM($G11:$G23)*$D20,0)</f>
        <v>0</v>
      </c>
      <c r="E48" s="22">
        <f>IF($C13&gt;=3,SUM($G11:$G23)*$D20,0)</f>
        <v>0</v>
      </c>
      <c r="F48" s="22">
        <f>IF($C13&gt;=4,SUM($G11:$G23)*$D20,0)</f>
        <v>0</v>
      </c>
      <c r="G48" s="22">
        <f>IF($C13&gt;=5,SUM($G11:$G23)*$D20,0)</f>
        <v>0</v>
      </c>
      <c r="H48" s="22">
        <f>IF($C13&gt;=6,SUM($G11:$G23)*$D20,0)</f>
        <v>0</v>
      </c>
      <c r="I48" s="22">
        <f>IF($C13&gt;=7,SUM($G11:$G23)*$D20,0)</f>
        <v>0</v>
      </c>
      <c r="J48" s="22">
        <f>IF($C13&gt;=8,SUM($G11:$G23)*$D20,0)</f>
        <v>0</v>
      </c>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132"/>
      <c r="AH48" s="132"/>
      <c r="AI48" s="132"/>
      <c r="AJ48" s="132"/>
      <c r="AK48" s="132"/>
      <c r="AL48" s="132"/>
      <c r="AM48" s="132"/>
      <c r="AN48" s="132"/>
      <c r="AO48" s="132"/>
      <c r="AP48" s="132"/>
      <c r="AQ48" s="132"/>
      <c r="AR48" s="132"/>
      <c r="AS48" s="132"/>
      <c r="AT48" s="132"/>
      <c r="AU48" s="132"/>
      <c r="AV48" s="132"/>
      <c r="AW48" s="132"/>
      <c r="AX48" s="132"/>
      <c r="AY48" s="132"/>
    </row>
    <row r="49" spans="1:51" ht="13.5" customHeight="1">
      <c r="A49" s="128"/>
      <c r="B49" s="13" t="s">
        <v>115</v>
      </c>
      <c r="C49" s="10">
        <f>IF($C13&gt;=1,(($J18*$M12/4)),0)</f>
        <v>0</v>
      </c>
      <c r="D49" s="10">
        <f>IF($C13&gt;=2,(($J18*$M12/4)),0)</f>
        <v>0</v>
      </c>
      <c r="E49" s="10">
        <f>IF($C13&gt;=3,(($J18*$M12/4)),0)</f>
        <v>0</v>
      </c>
      <c r="F49" s="10">
        <f>IF($C13&gt;=4,(($J18*$M12/4)),0)</f>
        <v>0</v>
      </c>
      <c r="G49" s="10">
        <f>IF($C13&gt;=5,(($J18*$M12/4)),0)</f>
        <v>0</v>
      </c>
      <c r="H49" s="10">
        <f>IF($C13&gt;=6,(($J18*$M12/4)),0)</f>
        <v>0</v>
      </c>
      <c r="I49" s="10">
        <f>IF($C13&gt;=7,(($J18*$M12/4)),0)</f>
        <v>0</v>
      </c>
      <c r="J49" s="10">
        <f>IF($C13&gt;=8,(($J18*$M12/4)),0)</f>
        <v>0</v>
      </c>
      <c r="K49" s="132"/>
      <c r="L49" s="132"/>
      <c r="M49" s="132"/>
      <c r="N49" s="132"/>
      <c r="O49" s="128"/>
      <c r="P49" s="128"/>
      <c r="Q49" s="128"/>
      <c r="R49" s="128"/>
      <c r="S49" s="128"/>
      <c r="T49" s="128"/>
      <c r="U49" s="128"/>
      <c r="V49" s="128"/>
      <c r="W49" s="128"/>
      <c r="X49" s="128"/>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row>
    <row r="50" spans="1:51" ht="13.5" customHeight="1" thickBot="1">
      <c r="A50" s="132"/>
      <c r="B50" s="23" t="s">
        <v>178</v>
      </c>
      <c r="C50" s="23">
        <f>SUM(C47:C49)</f>
        <v>0</v>
      </c>
      <c r="D50" s="23">
        <f t="shared" ref="D50:F50" si="9">SUM(D47:D49)</f>
        <v>0</v>
      </c>
      <c r="E50" s="23">
        <f t="shared" si="9"/>
        <v>0</v>
      </c>
      <c r="F50" s="23">
        <f t="shared" si="9"/>
        <v>0</v>
      </c>
      <c r="G50" s="23">
        <f t="shared" ref="G50:J50" si="10">SUM(G47:G48)</f>
        <v>0</v>
      </c>
      <c r="H50" s="23">
        <f t="shared" si="10"/>
        <v>0</v>
      </c>
      <c r="I50" s="23">
        <f t="shared" si="10"/>
        <v>0</v>
      </c>
      <c r="J50" s="23">
        <f t="shared" si="10"/>
        <v>0</v>
      </c>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row>
    <row r="51" spans="1:51" ht="13.5" customHeight="1" thickTop="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row>
    <row r="52" spans="1:51"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row>
    <row r="53" spans="1:51" ht="15" customHeight="1">
      <c r="A53" s="11"/>
      <c r="B53" s="410" t="s">
        <v>181</v>
      </c>
      <c r="C53" s="456"/>
      <c r="D53" s="456"/>
      <c r="E53" s="456"/>
      <c r="F53" s="456"/>
      <c r="G53" s="456"/>
      <c r="H53" s="456"/>
      <c r="I53" s="456"/>
      <c r="J53" s="456"/>
      <c r="K53" s="456"/>
      <c r="L53" s="456"/>
      <c r="M53" s="456"/>
      <c r="N53" s="456"/>
      <c r="O53" s="456"/>
      <c r="P53" s="456"/>
      <c r="Q53" s="456"/>
      <c r="R53" s="456"/>
      <c r="S53" s="456"/>
      <c r="T53" s="456"/>
      <c r="U53" s="456"/>
      <c r="V53" s="456"/>
      <c r="W53" s="11"/>
      <c r="X53" s="11"/>
    </row>
    <row r="54" spans="1:51" ht="13.5" customHeight="1">
      <c r="A54" s="11"/>
      <c r="B54" s="14"/>
      <c r="C54" s="15" t="s">
        <v>119</v>
      </c>
      <c r="D54" s="15" t="s">
        <v>123</v>
      </c>
      <c r="E54" s="15" t="s">
        <v>127</v>
      </c>
      <c r="F54" s="15" t="s">
        <v>131</v>
      </c>
      <c r="G54" s="15" t="s">
        <v>136</v>
      </c>
      <c r="H54" s="15" t="s">
        <v>138</v>
      </c>
      <c r="I54" s="15" t="s">
        <v>140</v>
      </c>
      <c r="J54" s="15" t="s">
        <v>146</v>
      </c>
      <c r="K54" s="15" t="s">
        <v>149</v>
      </c>
      <c r="L54" s="15" t="s">
        <v>151</v>
      </c>
      <c r="M54" s="15" t="s">
        <v>153</v>
      </c>
      <c r="N54" s="15" t="s">
        <v>155</v>
      </c>
      <c r="O54" s="15" t="s">
        <v>182</v>
      </c>
      <c r="P54" s="15" t="s">
        <v>183</v>
      </c>
      <c r="Q54" s="15" t="s">
        <v>184</v>
      </c>
      <c r="R54" s="15" t="s">
        <v>185</v>
      </c>
      <c r="S54" s="15" t="s">
        <v>186</v>
      </c>
      <c r="T54" s="15" t="s">
        <v>187</v>
      </c>
      <c r="U54" s="15" t="s">
        <v>188</v>
      </c>
      <c r="V54" s="15" t="s">
        <v>189</v>
      </c>
      <c r="W54" s="11"/>
      <c r="X54" s="11"/>
    </row>
    <row r="55" spans="1:51" ht="13.5" hidden="1" customHeight="1">
      <c r="A55" s="11"/>
      <c r="B55" s="14"/>
      <c r="C55" s="15">
        <f>IF(C13=0,MAX(C37:J37)+1,MAX(C46:K46)+1)</f>
        <v>2</v>
      </c>
      <c r="D55" s="15">
        <f t="shared" ref="D55:V55" si="11">IF(C55=0,0,IF(($C$12+$C$13+$C$14)&gt;C55,C55+1,0))</f>
        <v>0</v>
      </c>
      <c r="E55" s="15">
        <f t="shared" si="11"/>
        <v>0</v>
      </c>
      <c r="F55" s="15">
        <f t="shared" si="11"/>
        <v>0</v>
      </c>
      <c r="G55" s="15">
        <f t="shared" si="11"/>
        <v>0</v>
      </c>
      <c r="H55" s="15">
        <f t="shared" si="11"/>
        <v>0</v>
      </c>
      <c r="I55" s="15">
        <f t="shared" si="11"/>
        <v>0</v>
      </c>
      <c r="J55" s="15">
        <f t="shared" si="11"/>
        <v>0</v>
      </c>
      <c r="K55" s="15">
        <f t="shared" si="11"/>
        <v>0</v>
      </c>
      <c r="L55" s="15">
        <f t="shared" si="11"/>
        <v>0</v>
      </c>
      <c r="M55" s="15">
        <f t="shared" si="11"/>
        <v>0</v>
      </c>
      <c r="N55" s="15">
        <f t="shared" si="11"/>
        <v>0</v>
      </c>
      <c r="O55" s="15">
        <f t="shared" si="11"/>
        <v>0</v>
      </c>
      <c r="P55" s="15">
        <f t="shared" si="11"/>
        <v>0</v>
      </c>
      <c r="Q55" s="15">
        <f t="shared" si="11"/>
        <v>0</v>
      </c>
      <c r="R55" s="15">
        <f t="shared" si="11"/>
        <v>0</v>
      </c>
      <c r="S55" s="15">
        <f t="shared" si="11"/>
        <v>0</v>
      </c>
      <c r="T55" s="15">
        <f t="shared" si="11"/>
        <v>0</v>
      </c>
      <c r="U55" s="15">
        <f t="shared" si="11"/>
        <v>0</v>
      </c>
      <c r="V55" s="15">
        <f t="shared" si="11"/>
        <v>0</v>
      </c>
      <c r="W55" s="11"/>
      <c r="X55" s="11"/>
    </row>
    <row r="56" spans="1:51" ht="13.5" customHeight="1">
      <c r="A56" s="11"/>
      <c r="B56" s="24" t="s">
        <v>190</v>
      </c>
      <c r="C56" s="25">
        <f>IF($C14&gt;=1,-PPMT($C21,1,$C15,$C29),0)</f>
        <v>0</v>
      </c>
      <c r="D56" s="25">
        <f>IF($C14&gt;=2,-PPMT($C21,2,$C15,$C29),0)</f>
        <v>0</v>
      </c>
      <c r="E56" s="25">
        <f>IF($C14&gt;=3,-PPMT($C21,3,$C15,$C29),0)</f>
        <v>0</v>
      </c>
      <c r="F56" s="25">
        <f>IF($C14&gt;=4,-PPMT($C21,4,$C15,$C29),0)</f>
        <v>0</v>
      </c>
      <c r="G56" s="25">
        <f>IF($C14&gt;=5,-PPMT($C21,5,$C15,$C29),0)</f>
        <v>0</v>
      </c>
      <c r="H56" s="25">
        <f>IF($C14&gt;=6,-PPMT($C21,6,$C15,$C29),0)</f>
        <v>0</v>
      </c>
      <c r="I56" s="25">
        <f>IF($C14&gt;=7,-PPMT($C21,7,$C15,$C29),0)</f>
        <v>0</v>
      </c>
      <c r="J56" s="25">
        <f>IF($C14&gt;=8,-PPMT($C21,8,$C15,$C29),0)</f>
        <v>0</v>
      </c>
      <c r="K56" s="25">
        <f>IF($C14&gt;=9,-PPMT($C21,9,$C15,$C29),0)</f>
        <v>0</v>
      </c>
      <c r="L56" s="25">
        <f>IF($C14&gt;=10,-PPMT($C21,10,$C15,$C29),0)</f>
        <v>0</v>
      </c>
      <c r="M56" s="25">
        <f>IF($C14&gt;=11,-PPMT($C21,11,$C15,$C29),0)</f>
        <v>0</v>
      </c>
      <c r="N56" s="25">
        <f>IF($C14&gt;=12,-PPMT($C21,12,$C15,$C29),0)</f>
        <v>0</v>
      </c>
      <c r="O56" s="25">
        <f>IF($C14&gt;=13,-PPMT($C21,13,$C15,$C29),0)</f>
        <v>0</v>
      </c>
      <c r="P56" s="25">
        <f>IF($C14&gt;=14,-PPMT($C21,14,$C15,$C29),0)</f>
        <v>0</v>
      </c>
      <c r="Q56" s="25">
        <f>IF($C14&gt;=15,-PPMT($C21,15,$C15,$C29),0)</f>
        <v>0</v>
      </c>
      <c r="R56" s="25">
        <f>IF($C14&gt;=16,-PPMT($C21,16,$C15,$C29),0)</f>
        <v>0</v>
      </c>
      <c r="S56" s="25">
        <f>IF($C14&gt;=17,-PPMT($C21,17,$C15,$C29),0)</f>
        <v>0</v>
      </c>
      <c r="T56" s="25">
        <f>IF($C14&gt;=18,-PPMT($C21,18,$C15,$C29),0)</f>
        <v>0</v>
      </c>
      <c r="U56" s="25">
        <f>IF($C14&gt;=19,-PPMT($C21,19,$C15,$C29),0)</f>
        <v>0</v>
      </c>
      <c r="V56" s="25">
        <f>IF($C14&gt;=20,-PPMT($C21,20,$C15,$C29),0)</f>
        <v>0</v>
      </c>
      <c r="W56" s="11"/>
      <c r="X56" s="11"/>
    </row>
    <row r="57" spans="1:51" ht="13.5" customHeight="1">
      <c r="A57" s="11"/>
      <c r="B57" s="24" t="s">
        <v>128</v>
      </c>
      <c r="C57" s="25">
        <f>IF($C14&gt;=1,-IPMT($C21,1,$C$14,$C$29,0),0)</f>
        <v>0</v>
      </c>
      <c r="D57" s="25">
        <f>IF($C14&gt;=2,-IPMT($C21,2,$C$14,$C$29,0),0)</f>
        <v>0</v>
      </c>
      <c r="E57" s="25">
        <f>IF($C14&gt;=3,-IPMT($C21,3,$C$14,$C$29,0),0)</f>
        <v>0</v>
      </c>
      <c r="F57" s="25">
        <f>IF($C14&gt;=4,-IPMT($C21,4,$C$14,$C$29,0),0)</f>
        <v>0</v>
      </c>
      <c r="G57" s="25">
        <f>IF($C14&gt;=5,-IPMT($C21,5,$C$14,$C$29,0),0)</f>
        <v>0</v>
      </c>
      <c r="H57" s="25">
        <f>IF($C14&gt;=6,-IPMT($C21,6,$C$14,$C$29,0),0)</f>
        <v>0</v>
      </c>
      <c r="I57" s="25">
        <f>IF($C14&gt;=7,-IPMT($C21,7,$C$14,$C$29,0),0)</f>
        <v>0</v>
      </c>
      <c r="J57" s="25">
        <f>IF($C14&gt;=8,-IPMT($C21,8,$C$14,$C$29,0),0)</f>
        <v>0</v>
      </c>
      <c r="K57" s="25">
        <f>IF($C14&gt;=9,-IPMT($C21,9,$C$14,$C$29,0),0)</f>
        <v>0</v>
      </c>
      <c r="L57" s="25">
        <f>IF($C14&gt;=10,-IPMT($C21,10,$C$14,$C$29,0),0)</f>
        <v>0</v>
      </c>
      <c r="M57" s="25">
        <f>IF($C14&gt;=11,-IPMT($C21,11,$C$14,$C$29,0),0)</f>
        <v>0</v>
      </c>
      <c r="N57" s="25">
        <f>IF($C14&gt;=12,-IPMT($C21,12,$C$14,$C$29,0),0)</f>
        <v>0</v>
      </c>
      <c r="O57" s="25">
        <f>IF($C14&gt;=13,-IPMT($C21,13,$C$14,$C$29,0),0)</f>
        <v>0</v>
      </c>
      <c r="P57" s="25">
        <f>IF($C14&gt;=14,-IPMT($C21,14,$C$14,$C$29,0),0)</f>
        <v>0</v>
      </c>
      <c r="Q57" s="25">
        <f>IF($C14&gt;=15,-IPMT($C21,15,$C$14,$C$29,0),0)</f>
        <v>0</v>
      </c>
      <c r="R57" s="25">
        <f>IF($C14&gt;=16,-IPMT($C21,16,$C$14,$C$29,0),0)</f>
        <v>0</v>
      </c>
      <c r="S57" s="26">
        <f>IF($C14&gt;=17,-IPMT($C21,17,$C$14,$C$29,0),0)</f>
        <v>0</v>
      </c>
      <c r="T57" s="26">
        <f>IF($C14&gt;=18,-IPMT($C21,18,$C$14,$C$29,0),0)</f>
        <v>0</v>
      </c>
      <c r="U57" s="26">
        <f>IF($C14&gt;=19,-IPMT($C21,19,$C$14,$C$29,0),0)</f>
        <v>0</v>
      </c>
      <c r="V57" s="26">
        <f>IF($C14&gt;=20,-IPMT($C21,20,$C$14,$C$29,0),0)</f>
        <v>0</v>
      </c>
      <c r="W57" s="11"/>
      <c r="X57" s="11"/>
    </row>
    <row r="58" spans="1:51" ht="13.5" customHeight="1">
      <c r="A58" s="128"/>
      <c r="B58" s="13" t="s">
        <v>115</v>
      </c>
      <c r="C58" s="22">
        <f>IF($C14&gt;=1,(($J$18-C56)*$M12/4),0)</f>
        <v>0</v>
      </c>
      <c r="D58" s="22">
        <f>IF($C14&gt;=2,(($J$18-(C56+D56))*$M12/4),0)</f>
        <v>0</v>
      </c>
      <c r="E58" s="10">
        <f>IF($C14&gt;=3,(($J$18-(C56+D56+E56))*$M$12/4),0)</f>
        <v>0</v>
      </c>
      <c r="F58" s="10">
        <f>IF($C14&gt;=4,(($J$18-(C56+D56+E56+F56))*$M$12/4),0)</f>
        <v>0</v>
      </c>
      <c r="G58" s="10">
        <f>IF($C14&gt;=5,(($J$18-(C56+D56+E56+F56+G56))*$M$12/4),0)</f>
        <v>0</v>
      </c>
      <c r="H58" s="10">
        <f>IF($C14&gt;=6,(($J$18-(C56+D56+E56+F56+G56+H56))*$M$12/4),0)</f>
        <v>0</v>
      </c>
      <c r="I58" s="10">
        <f>IF($C14&gt;=7,(($J$18-(C56+D56+E56+F56+G56+H56+I56))*$M$12/4),0)</f>
        <v>0</v>
      </c>
      <c r="J58" s="10">
        <f>IF($C14&gt;=8,(($J$18-(C56+D56+E56+F56+G56+H56+I56+J56))*$M$12/4),0)</f>
        <v>0</v>
      </c>
      <c r="K58" s="10">
        <f>IF($C14&gt;=9,(($J$18-(C56+D56+E56+F56+G56+H56+I56+J56+K56))*$M$12/4),0)</f>
        <v>0</v>
      </c>
      <c r="L58" s="10">
        <f>IF($C14&gt;=10,(($J$18-(C56+D56+E56+F56+G56+H56+I56+J56+K56+L56))*$M$12/4),0)</f>
        <v>0</v>
      </c>
      <c r="M58" s="10">
        <f>IF($C14&gt;=11,(($J$18-(C56+D56+E56+F56+G56+H56+I56+J56+K56+L56+M56))*$M$12/4),0)</f>
        <v>0</v>
      </c>
      <c r="N58" s="10">
        <f>IF($C14&gt;=12,(($J$18-(C56+D56+E56+F56+G56+H56+I56+J56+K56+L56+M56+N56))*$M$12/4),0)</f>
        <v>0</v>
      </c>
      <c r="O58" s="10">
        <f>IF($C14&gt;=13,(($J$18-(C56+D56+E56+F56+G56+H56+I56+J56+K56+L56+M56+N56+O56))*$M$12/4),0)</f>
        <v>0</v>
      </c>
      <c r="P58" s="10">
        <f>IF($C14&gt;=14,(($J$18-(C56+D56+E56+F56+G56+H56+I56+J56+K56+L56+M56+N56+O56+P56))*$M$12/4),0)</f>
        <v>0</v>
      </c>
      <c r="Q58" s="10">
        <f>IF($C14&gt;=15,(($J$18-(C56+D56+E56+F56+G56+H56+I56+J56+K56+L56+M56+N56+O56+P56+Q56))*$M$12/4),0)</f>
        <v>0</v>
      </c>
      <c r="R58" s="10">
        <f>IF($C14&gt;=16,(($J$18-(C56+D56+E56+F56+G56+H56+I56+J56+K56+L56+M56+N56+O56+P56+Q56+R56))*$M$12/4),0)</f>
        <v>0</v>
      </c>
      <c r="S58" s="10">
        <f>IF($C14&gt;=17,(($J$18-(D56+E56+F56+G56+H56+I56+J56+K56+L56+M56+N56+O56+P56+Q56+R56+S56))*$M$12/4),0)</f>
        <v>0</v>
      </c>
      <c r="T58" s="10">
        <f>IF($C14&gt;=18,(($J$18-(E56+F56+G56+H56+I56+J56+K56+L56+M56+N56+O56+P56+Q56+R56+S56+T56))*$M$12/4),0)</f>
        <v>0</v>
      </c>
      <c r="U58" s="10">
        <f>IF($C14&gt;=19,(($J$18-(F56+G56+H56+I56+J56+K56+L56+M56+N56+O56+P56+Q56+R56+S56+T56+U56))*$M$12/4),0)</f>
        <v>0</v>
      </c>
      <c r="V58" s="10">
        <f>IF($C14&gt;=20,(($J$18-(G56+H56+I56+J56+K56+L56+M56+N56+O56+P56+Q56+R56+S56+T56+U56+V56))*$M$12/4),0)</f>
        <v>0</v>
      </c>
      <c r="W58" s="128"/>
      <c r="X58" s="128"/>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row>
    <row r="59" spans="1:51" ht="13.5" customHeight="1" thickBot="1">
      <c r="A59" s="11"/>
      <c r="B59" s="23" t="s">
        <v>178</v>
      </c>
      <c r="C59" s="23">
        <f>SUM(C56:C58)</f>
        <v>0</v>
      </c>
      <c r="D59" s="23">
        <f t="shared" ref="D59:V59" si="12">SUM(D56:D58)</f>
        <v>0</v>
      </c>
      <c r="E59" s="23">
        <f t="shared" si="12"/>
        <v>0</v>
      </c>
      <c r="F59" s="23">
        <f t="shared" si="12"/>
        <v>0</v>
      </c>
      <c r="G59" s="23">
        <f t="shared" si="12"/>
        <v>0</v>
      </c>
      <c r="H59" s="23">
        <f t="shared" si="12"/>
        <v>0</v>
      </c>
      <c r="I59" s="23">
        <f t="shared" si="12"/>
        <v>0</v>
      </c>
      <c r="J59" s="23">
        <f t="shared" si="12"/>
        <v>0</v>
      </c>
      <c r="K59" s="23">
        <f t="shared" si="12"/>
        <v>0</v>
      </c>
      <c r="L59" s="23">
        <f t="shared" si="12"/>
        <v>0</v>
      </c>
      <c r="M59" s="23">
        <f t="shared" si="12"/>
        <v>0</v>
      </c>
      <c r="N59" s="23">
        <f t="shared" si="12"/>
        <v>0</v>
      </c>
      <c r="O59" s="23">
        <f t="shared" si="12"/>
        <v>0</v>
      </c>
      <c r="P59" s="23">
        <f t="shared" si="12"/>
        <v>0</v>
      </c>
      <c r="Q59" s="23">
        <f t="shared" si="12"/>
        <v>0</v>
      </c>
      <c r="R59" s="23">
        <f t="shared" si="12"/>
        <v>0</v>
      </c>
      <c r="S59" s="23">
        <f t="shared" si="12"/>
        <v>0</v>
      </c>
      <c r="T59" s="23">
        <f t="shared" si="12"/>
        <v>0</v>
      </c>
      <c r="U59" s="23">
        <f t="shared" si="12"/>
        <v>0</v>
      </c>
      <c r="V59" s="27">
        <f t="shared" si="12"/>
        <v>0</v>
      </c>
      <c r="W59" s="11"/>
      <c r="X59" s="11"/>
    </row>
    <row r="60" spans="1:51" ht="13.5" customHeight="1" thickTop="1">
      <c r="A60" s="11"/>
      <c r="B60" s="132"/>
      <c r="C60" s="132"/>
      <c r="D60" s="132"/>
      <c r="E60" s="132"/>
      <c r="F60" s="132"/>
      <c r="G60" s="132"/>
      <c r="H60" s="132"/>
      <c r="I60" s="132"/>
      <c r="J60" s="132"/>
      <c r="K60" s="132"/>
      <c r="L60" s="132"/>
      <c r="M60" s="132"/>
      <c r="N60" s="132"/>
      <c r="O60" s="132"/>
      <c r="P60" s="132"/>
      <c r="Q60" s="132"/>
      <c r="R60" s="132"/>
      <c r="S60" s="132"/>
      <c r="T60" s="132"/>
      <c r="U60" s="132"/>
      <c r="V60" s="132"/>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row>
    <row r="61" spans="1:51" ht="13.5" customHeight="1">
      <c r="A61" s="11"/>
      <c r="B61" s="133" t="s">
        <v>191</v>
      </c>
      <c r="C61" s="134">
        <f t="shared" ref="C61:N61" si="13">C62-C59</f>
        <v>595328.94999999995</v>
      </c>
      <c r="D61" s="134">
        <f t="shared" si="13"/>
        <v>595328.94999999995</v>
      </c>
      <c r="E61" s="134">
        <f t="shared" si="13"/>
        <v>595328.94999999995</v>
      </c>
      <c r="F61" s="134">
        <f t="shared" si="13"/>
        <v>595328.94999999995</v>
      </c>
      <c r="G61" s="134">
        <f t="shared" si="13"/>
        <v>595328.94999999995</v>
      </c>
      <c r="H61" s="134">
        <f t="shared" si="13"/>
        <v>595328.94999999995</v>
      </c>
      <c r="I61" s="134">
        <f t="shared" si="13"/>
        <v>595328.94999999995</v>
      </c>
      <c r="J61" s="134">
        <f t="shared" si="13"/>
        <v>595328.94999999995</v>
      </c>
      <c r="K61" s="134">
        <f t="shared" si="13"/>
        <v>595328.94999999995</v>
      </c>
      <c r="L61" s="134">
        <f t="shared" si="13"/>
        <v>595328.94999999995</v>
      </c>
      <c r="M61" s="134">
        <f t="shared" si="13"/>
        <v>595328.94999999995</v>
      </c>
      <c r="N61" s="134">
        <f t="shared" si="13"/>
        <v>595328.94999999995</v>
      </c>
      <c r="O61" s="132"/>
      <c r="P61" s="132"/>
      <c r="Q61" s="132"/>
      <c r="R61" s="132"/>
      <c r="S61" s="132"/>
      <c r="T61" s="132"/>
      <c r="U61" s="132"/>
      <c r="V61" s="132"/>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row>
    <row r="62" spans="1:51" ht="13.5" customHeight="1">
      <c r="A62" s="11"/>
      <c r="B62" s="134"/>
      <c r="C62" s="134">
        <v>595328.94999999995</v>
      </c>
      <c r="D62" s="134">
        <f t="shared" ref="D62:N62" si="14">C61</f>
        <v>595328.94999999995</v>
      </c>
      <c r="E62" s="134">
        <f t="shared" si="14"/>
        <v>595328.94999999995</v>
      </c>
      <c r="F62" s="134">
        <f t="shared" si="14"/>
        <v>595328.94999999995</v>
      </c>
      <c r="G62" s="134">
        <f t="shared" si="14"/>
        <v>595328.94999999995</v>
      </c>
      <c r="H62" s="134">
        <f t="shared" si="14"/>
        <v>595328.94999999995</v>
      </c>
      <c r="I62" s="134">
        <f t="shared" si="14"/>
        <v>595328.94999999995</v>
      </c>
      <c r="J62" s="134">
        <f t="shared" si="14"/>
        <v>595328.94999999995</v>
      </c>
      <c r="K62" s="134">
        <f t="shared" si="14"/>
        <v>595328.94999999995</v>
      </c>
      <c r="L62" s="134">
        <f t="shared" si="14"/>
        <v>595328.94999999995</v>
      </c>
      <c r="M62" s="134">
        <f t="shared" si="14"/>
        <v>595328.94999999995</v>
      </c>
      <c r="N62" s="134">
        <f t="shared" si="14"/>
        <v>595328.94999999995</v>
      </c>
      <c r="O62" s="132"/>
      <c r="P62" s="132"/>
      <c r="Q62" s="132"/>
      <c r="R62" s="132"/>
      <c r="S62" s="132"/>
      <c r="T62" s="132"/>
      <c r="U62" s="132"/>
      <c r="V62" s="132"/>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row>
    <row r="63" spans="1:51" ht="13.5" customHeight="1">
      <c r="A63" s="11"/>
      <c r="B63" s="135"/>
      <c r="C63" s="135"/>
      <c r="D63" s="135"/>
      <c r="E63" s="135"/>
      <c r="F63" s="135"/>
      <c r="G63" s="135"/>
      <c r="H63" s="135"/>
      <c r="I63" s="135"/>
      <c r="J63" s="135"/>
      <c r="K63" s="135"/>
      <c r="L63" s="135"/>
      <c r="M63" s="135"/>
      <c r="N63" s="135"/>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row>
    <row r="64" spans="1:51"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row>
    <row r="65" spans="1:51"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row>
    <row r="66" spans="1:51"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row>
    <row r="67" spans="1:51"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row>
    <row r="68" spans="1:51"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row>
    <row r="69" spans="1:51"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row>
    <row r="70" spans="1:51"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row>
    <row r="71" spans="1:51"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row>
    <row r="72" spans="1:51"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row>
    <row r="73" spans="1:51"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row>
    <row r="74" spans="1:51"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row>
    <row r="75" spans="1:51"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row>
    <row r="76" spans="1:51"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row>
    <row r="77" spans="1:51"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row>
    <row r="78" spans="1:51"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row>
    <row r="79" spans="1:51"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row>
    <row r="80" spans="1:51"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row>
    <row r="81" spans="1:51"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row>
    <row r="82" spans="1:51"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row>
    <row r="83" spans="1:51"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row>
    <row r="84" spans="1:51"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row>
    <row r="85" spans="1:51"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row>
    <row r="86" spans="1:51"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row>
    <row r="87" spans="1:51"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row>
    <row r="88" spans="1:51"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row>
    <row r="89" spans="1:51"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row>
    <row r="90" spans="1:51"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row>
    <row r="91" spans="1:51"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row>
    <row r="92" spans="1:51"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row>
    <row r="93" spans="1:51"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1:51"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1"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1"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spans="1:51"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spans="1:51"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spans="1:51"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spans="1:51"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spans="1:5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spans="1:51"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spans="1:51"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spans="1:51"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spans="1:51"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spans="1:51"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row>
    <row r="247" spans="1:51"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row>
    <row r="248" spans="1:51"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row>
    <row r="249" spans="1:51"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row>
    <row r="250" spans="1:51"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row>
    <row r="251" spans="1: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row>
    <row r="252" spans="1:51"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row>
    <row r="253" spans="1:51"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row>
    <row r="254" spans="1:51"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row>
    <row r="255" spans="1:51"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row>
    <row r="256" spans="1:51"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row>
    <row r="257" spans="1:51"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row>
    <row r="258" spans="1:51"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row>
    <row r="259" spans="1:51"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row>
    <row r="260" spans="1:51"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row>
    <row r="261" spans="1:5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row>
    <row r="262" spans="1:51"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row>
    <row r="263" spans="1:51"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row>
    <row r="264" spans="1:51"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row>
    <row r="265" spans="1:51"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row>
    <row r="266" spans="1:51"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row>
    <row r="267" spans="1:51"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row>
    <row r="268" spans="1:51"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row>
    <row r="269" spans="1:51"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row>
    <row r="270" spans="1:51"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row>
    <row r="271" spans="1:5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row>
    <row r="272" spans="1:51"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row>
    <row r="273" spans="1:51"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row>
    <row r="274" spans="1:51"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row>
    <row r="275" spans="1:51"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row>
    <row r="276" spans="1:51"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row>
    <row r="277" spans="1:51"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row>
    <row r="278" spans="1:51"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row>
    <row r="279" spans="1:51"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row>
    <row r="280" spans="1:51"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row>
    <row r="281" spans="1:5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row>
    <row r="282" spans="1:51"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row>
    <row r="283" spans="1:51"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row>
    <row r="284" spans="1:51"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row>
    <row r="285" spans="1:51"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row>
    <row r="286" spans="1:51"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row>
    <row r="287" spans="1:51"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row>
    <row r="288" spans="1:51"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row>
    <row r="289" spans="1:51"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row>
    <row r="290" spans="1:51"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row>
    <row r="291" spans="1:5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row>
    <row r="292" spans="1:51"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row>
    <row r="293" spans="1:51"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row>
    <row r="294" spans="1:51"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row>
    <row r="295" spans="1:51"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row>
    <row r="296" spans="1:51"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row>
    <row r="297" spans="1:51"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row>
    <row r="298" spans="1:51"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row>
    <row r="299" spans="1:51"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row>
    <row r="300" spans="1:51"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row>
    <row r="301" spans="1:5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row>
    <row r="302" spans="1:51"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row>
    <row r="303" spans="1:51"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row>
    <row r="304" spans="1:51"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row>
    <row r="305" spans="1:51"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row>
    <row r="306" spans="1:51"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row>
    <row r="307" spans="1:51"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row>
    <row r="308" spans="1:51"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row>
    <row r="309" spans="1:51"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row>
    <row r="310" spans="1:51"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row>
    <row r="311" spans="1:5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row>
    <row r="312" spans="1:51"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row>
    <row r="313" spans="1:51"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row>
    <row r="314" spans="1:51"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row>
    <row r="315" spans="1:51"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row>
    <row r="316" spans="1:51"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row>
    <row r="317" spans="1:51"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row>
    <row r="318" spans="1:51"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row>
    <row r="319" spans="1:51"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row>
    <row r="320" spans="1:51"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row>
    <row r="321" spans="1:5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row>
    <row r="322" spans="1:51"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row>
    <row r="323" spans="1:51"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row>
    <row r="324" spans="1:51"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row>
    <row r="325" spans="1:51"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row>
    <row r="326" spans="1:51"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row>
    <row r="327" spans="1:51"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row>
    <row r="328" spans="1:51"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row>
    <row r="329" spans="1:51"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row>
    <row r="330" spans="1:51"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row>
    <row r="331" spans="1:5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row>
    <row r="332" spans="1:51"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row>
    <row r="333" spans="1:51"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row>
    <row r="334" spans="1:51"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row>
    <row r="335" spans="1:51"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row>
    <row r="336" spans="1:51"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row>
    <row r="337" spans="1:51"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row>
    <row r="338" spans="1:51"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row>
    <row r="339" spans="1:51"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row>
    <row r="340" spans="1:51"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row>
    <row r="341" spans="1:5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row>
    <row r="342" spans="1:51"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row>
    <row r="343" spans="1:51"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row>
    <row r="344" spans="1:51"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row>
    <row r="345" spans="1:51"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row>
    <row r="346" spans="1:51"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row>
    <row r="347" spans="1:51"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row>
    <row r="348" spans="1:51"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row>
    <row r="349" spans="1:51"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row>
    <row r="350" spans="1:51"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row>
    <row r="351" spans="1: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row>
    <row r="352" spans="1:51"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row>
    <row r="353" spans="1:51"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row>
    <row r="354" spans="1:51"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row>
    <row r="355" spans="1:51"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row>
    <row r="356" spans="1:51"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row>
    <row r="357" spans="1:51"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row>
    <row r="358" spans="1:51"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row>
    <row r="359" spans="1:51"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row>
    <row r="360" spans="1:51"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row>
    <row r="361" spans="1:5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row>
    <row r="362" spans="1:51"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row>
    <row r="363" spans="1:51"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row>
    <row r="364" spans="1:51"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row>
    <row r="365" spans="1:51"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row>
    <row r="366" spans="1:51"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row>
    <row r="367" spans="1:51"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row>
    <row r="368" spans="1:51"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row>
    <row r="369" spans="1:51"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row>
    <row r="370" spans="1:51"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row>
    <row r="371" spans="1:5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row>
    <row r="372" spans="1:51"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row>
    <row r="373" spans="1:51"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row>
    <row r="374" spans="1:51"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row>
    <row r="375" spans="1:51"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row>
    <row r="376" spans="1:51"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row>
    <row r="377" spans="1:51"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row>
    <row r="378" spans="1:51"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row>
    <row r="379" spans="1:51"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row>
    <row r="380" spans="1:51"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row>
    <row r="381" spans="1:5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row>
    <row r="382" spans="1:51"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row>
    <row r="383" spans="1:51"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row>
    <row r="384" spans="1:51"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row>
    <row r="385" spans="1:51"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row>
    <row r="386" spans="1:51"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row>
    <row r="387" spans="1:51"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row>
    <row r="388" spans="1:51"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row>
    <row r="389" spans="1:51"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row>
    <row r="390" spans="1:51"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row>
    <row r="391" spans="1:5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row>
    <row r="392" spans="1:51"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row>
    <row r="393" spans="1:51"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row>
    <row r="394" spans="1:51"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row>
    <row r="395" spans="1:51"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row>
    <row r="396" spans="1:51"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row>
    <row r="397" spans="1:51"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row>
    <row r="398" spans="1:51"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row>
    <row r="399" spans="1:51"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row>
    <row r="400" spans="1:51"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row>
    <row r="401" spans="1:5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row>
    <row r="402" spans="1:51"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row>
    <row r="403" spans="1:51"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row>
    <row r="404" spans="1:51"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row>
    <row r="405" spans="1:51"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row>
    <row r="406" spans="1:51"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row>
    <row r="407" spans="1:51"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row>
    <row r="408" spans="1:51"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row>
    <row r="409" spans="1:51"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row>
    <row r="410" spans="1:51"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row>
    <row r="411" spans="1:5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row>
    <row r="412" spans="1:51"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row>
    <row r="413" spans="1:51"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row>
    <row r="414" spans="1:51"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row>
    <row r="415" spans="1:51"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row>
    <row r="416" spans="1:51"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row>
    <row r="417" spans="1:51"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row>
    <row r="418" spans="1:51"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row>
    <row r="419" spans="1:51"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row>
    <row r="420" spans="1:51"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row>
    <row r="421" spans="1:5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row>
    <row r="422" spans="1:51"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row>
    <row r="423" spans="1:51"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row>
    <row r="424" spans="1:51"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row>
    <row r="425" spans="1:51"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row>
    <row r="426" spans="1:51"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row>
    <row r="427" spans="1:51"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row>
    <row r="428" spans="1:51"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row>
    <row r="429" spans="1:51"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row>
    <row r="430" spans="1:51"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row>
    <row r="431" spans="1:5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row>
    <row r="432" spans="1:51"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row>
    <row r="433" spans="1:51"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row>
    <row r="434" spans="1:51"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row>
    <row r="435" spans="1:51"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row>
    <row r="436" spans="1:51"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row>
    <row r="437" spans="1:51"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row>
    <row r="438" spans="1:51"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row>
    <row r="439" spans="1:51"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row>
    <row r="440" spans="1:51"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row>
    <row r="441" spans="1:5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row>
    <row r="442" spans="1:51"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row>
    <row r="443" spans="1:51"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row>
    <row r="444" spans="1:51"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row>
    <row r="445" spans="1:51"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row>
    <row r="446" spans="1:51"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row>
    <row r="447" spans="1:51"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row>
    <row r="448" spans="1:51"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row>
    <row r="449" spans="1:51"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row>
    <row r="450" spans="1:51"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row>
    <row r="451" spans="1: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row>
    <row r="452" spans="1:51"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row>
    <row r="453" spans="1:51"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row>
    <row r="454" spans="1:51"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row>
    <row r="455" spans="1:51"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row>
    <row r="456" spans="1:51"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row>
    <row r="457" spans="1:51"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row>
    <row r="458" spans="1:51"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row>
    <row r="459" spans="1:51"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row>
    <row r="460" spans="1:51"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row>
    <row r="461" spans="1:5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row>
    <row r="462" spans="1:51"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row>
    <row r="463" spans="1:51"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row>
    <row r="464" spans="1:51"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row>
    <row r="465" spans="1:51"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row>
    <row r="466" spans="1:51"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row>
    <row r="467" spans="1:51"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row>
    <row r="468" spans="1:51"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row>
    <row r="469" spans="1:51"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row>
    <row r="470" spans="1:51"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row>
    <row r="471" spans="1:5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row>
    <row r="472" spans="1:51"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row>
    <row r="473" spans="1:51"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row>
    <row r="474" spans="1:51"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row>
    <row r="475" spans="1:51"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row>
    <row r="476" spans="1:51"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row>
    <row r="477" spans="1:51"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row>
    <row r="478" spans="1:51"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row>
    <row r="479" spans="1:51"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row>
    <row r="480" spans="1:51"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row>
    <row r="481" spans="1:5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row>
    <row r="482" spans="1:51"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row>
    <row r="483" spans="1:51"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row>
    <row r="484" spans="1:51"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row>
    <row r="485" spans="1:51"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row>
    <row r="486" spans="1:51"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row>
    <row r="487" spans="1:51"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row>
    <row r="488" spans="1:51"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row>
    <row r="489" spans="1:51"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row>
    <row r="490" spans="1:51"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row>
    <row r="491" spans="1:5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row>
    <row r="492" spans="1:51"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row>
    <row r="493" spans="1:51"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row>
    <row r="494" spans="1:51"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row>
    <row r="495" spans="1:51"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row>
    <row r="496" spans="1:51"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row>
    <row r="497" spans="1:51"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row>
    <row r="498" spans="1:51"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row>
    <row r="499" spans="1:51"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row>
    <row r="500" spans="1:51"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row>
    <row r="501" spans="1:5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row>
    <row r="502" spans="1:51"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row>
    <row r="503" spans="1:51"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row>
    <row r="504" spans="1:51"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row>
    <row r="505" spans="1:51"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row>
    <row r="506" spans="1:51"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row>
    <row r="507" spans="1:51"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row>
    <row r="508" spans="1:51"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row>
    <row r="509" spans="1:51"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row>
    <row r="510" spans="1:51"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row>
    <row r="511" spans="1:5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row>
    <row r="512" spans="1:51"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row>
    <row r="513" spans="1:51"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row>
    <row r="514" spans="1:51"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row>
    <row r="515" spans="1:51"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row>
    <row r="516" spans="1:51"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row>
    <row r="517" spans="1:51"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row>
    <row r="518" spans="1:51"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row>
    <row r="519" spans="1:51"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row>
    <row r="520" spans="1:51"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row>
    <row r="521" spans="1:5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row>
    <row r="522" spans="1:51"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row>
    <row r="523" spans="1:51"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row>
    <row r="524" spans="1:51"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row>
    <row r="525" spans="1:51"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row>
    <row r="526" spans="1:51"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row>
    <row r="527" spans="1:51"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row>
    <row r="528" spans="1:51"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row>
    <row r="529" spans="1:51"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row>
    <row r="530" spans="1:51"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row>
    <row r="531" spans="1:5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row>
    <row r="532" spans="1:51"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row>
    <row r="533" spans="1:51"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row>
    <row r="534" spans="1:51"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row>
    <row r="535" spans="1:51"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row>
    <row r="536" spans="1:51"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row>
    <row r="537" spans="1:51"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row>
    <row r="538" spans="1:51"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row>
    <row r="539" spans="1:51"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row>
    <row r="540" spans="1:51"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row>
    <row r="541" spans="1:5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row>
    <row r="542" spans="1:51"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row>
    <row r="543" spans="1:51"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row>
    <row r="544" spans="1:51"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row>
    <row r="545" spans="1:51"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row>
    <row r="546" spans="1:51"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row>
    <row r="547" spans="1:51"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row>
    <row r="548" spans="1:51"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row>
    <row r="549" spans="1:51"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row>
    <row r="550" spans="1:51"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row>
    <row r="551" spans="1: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row>
    <row r="552" spans="1:51"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row>
    <row r="553" spans="1:51"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row>
    <row r="554" spans="1:51"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row>
    <row r="555" spans="1:51"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row>
    <row r="556" spans="1:51"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row>
    <row r="557" spans="1:51"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row>
    <row r="558" spans="1:51"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row>
    <row r="559" spans="1:51"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row>
    <row r="560" spans="1:51"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row>
    <row r="561" spans="1:5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row>
    <row r="562" spans="1:51"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row>
    <row r="563" spans="1:51"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row>
    <row r="564" spans="1:51"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row>
    <row r="565" spans="1:51"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row>
    <row r="566" spans="1:51"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row>
    <row r="567" spans="1:51"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row>
    <row r="568" spans="1:51"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row>
    <row r="569" spans="1:51"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row>
    <row r="570" spans="1:51"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row>
    <row r="571" spans="1:5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row>
    <row r="572" spans="1:51"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row>
    <row r="573" spans="1:51"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row>
    <row r="574" spans="1:51"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row>
    <row r="575" spans="1:51"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row>
    <row r="576" spans="1:51"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row>
    <row r="577" spans="1:51"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row>
    <row r="578" spans="1:51"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row>
    <row r="579" spans="1:51"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row>
    <row r="580" spans="1:51"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row>
    <row r="581" spans="1:5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row>
    <row r="582" spans="1:51"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row>
    <row r="583" spans="1:51"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row>
    <row r="584" spans="1:51"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row>
    <row r="585" spans="1:51"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row>
    <row r="586" spans="1:51"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row>
    <row r="587" spans="1:51"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row>
    <row r="588" spans="1:51"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row>
    <row r="589" spans="1:51"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row>
    <row r="590" spans="1:51"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row>
    <row r="591" spans="1:5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row>
    <row r="592" spans="1:51"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row>
    <row r="593" spans="1:51"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row>
    <row r="594" spans="1:51"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row>
    <row r="595" spans="1:51"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row>
    <row r="596" spans="1:51"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row>
    <row r="597" spans="1:51"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row>
    <row r="598" spans="1:51"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row>
    <row r="599" spans="1:51"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row>
    <row r="600" spans="1:51"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row>
    <row r="601" spans="1:5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row>
    <row r="602" spans="1:51"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row>
    <row r="603" spans="1:51"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row>
    <row r="604" spans="1:51"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row>
    <row r="605" spans="1:51"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row>
    <row r="606" spans="1:51"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row>
    <row r="607" spans="1:51"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row>
    <row r="608" spans="1:51"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row>
    <row r="609" spans="1:51"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row>
    <row r="610" spans="1:51"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row>
    <row r="611" spans="1:5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row>
    <row r="612" spans="1:51"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row>
    <row r="613" spans="1:51"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row>
    <row r="614" spans="1:51"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row>
    <row r="615" spans="1:51"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row>
    <row r="616" spans="1:51"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row>
    <row r="617" spans="1:51"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row>
    <row r="618" spans="1:51"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row>
    <row r="619" spans="1:51"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row>
    <row r="620" spans="1:51"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row>
    <row r="621" spans="1:5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row>
    <row r="622" spans="1:51"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row>
    <row r="623" spans="1:51"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row>
    <row r="624" spans="1:51"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row>
    <row r="625" spans="1:51"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row>
    <row r="626" spans="1:51"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row>
    <row r="627" spans="1:51"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row>
    <row r="628" spans="1:51"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row>
    <row r="629" spans="1:51"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row>
    <row r="630" spans="1:51"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row>
    <row r="631" spans="1:5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row>
    <row r="632" spans="1:51"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row>
    <row r="633" spans="1:51"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row>
    <row r="634" spans="1:51"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row>
    <row r="635" spans="1:51"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row>
    <row r="636" spans="1:51"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row>
    <row r="637" spans="1:51"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row>
    <row r="638" spans="1:51"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row>
    <row r="639" spans="1:51"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row>
    <row r="640" spans="1:51"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row>
    <row r="641" spans="1:5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row>
    <row r="642" spans="1:51"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row>
    <row r="643" spans="1:51"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row>
    <row r="644" spans="1:51"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row>
    <row r="645" spans="1:51"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row>
    <row r="646" spans="1:51"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row>
    <row r="647" spans="1:51"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row>
    <row r="648" spans="1:51"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row>
    <row r="649" spans="1:51"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row>
    <row r="650" spans="1:51"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row>
    <row r="651" spans="1: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row>
    <row r="652" spans="1:51"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row>
    <row r="653" spans="1:51"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row>
    <row r="654" spans="1:51"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row>
    <row r="655" spans="1:51"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row>
    <row r="656" spans="1:51"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row>
    <row r="657" spans="1:51"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row>
    <row r="658" spans="1:51"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row>
    <row r="659" spans="1:51"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row>
    <row r="660" spans="1:51"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row>
    <row r="661" spans="1:5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row>
    <row r="662" spans="1:51"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row>
    <row r="663" spans="1:51"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row>
    <row r="664" spans="1:51"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row>
    <row r="665" spans="1:51"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row>
    <row r="666" spans="1:51"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row>
    <row r="667" spans="1:51"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row>
    <row r="668" spans="1:51"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row>
    <row r="669" spans="1:51"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row>
    <row r="670" spans="1:51"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row>
    <row r="671" spans="1:5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row>
    <row r="672" spans="1:51"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row>
    <row r="673" spans="1:51"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row>
    <row r="674" spans="1:51"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row>
    <row r="675" spans="1:51"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row>
    <row r="676" spans="1:51"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row>
    <row r="677" spans="1:51"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row>
    <row r="678" spans="1:51"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row>
    <row r="679" spans="1:51"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row>
    <row r="680" spans="1:51"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row>
    <row r="681" spans="1:5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row>
    <row r="682" spans="1:51"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row>
    <row r="683" spans="1:51"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row>
    <row r="684" spans="1:51"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row>
    <row r="685" spans="1:51"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row>
    <row r="686" spans="1:51"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row>
    <row r="687" spans="1:51"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row>
    <row r="688" spans="1:51"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row>
    <row r="689" spans="1:51"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row>
    <row r="690" spans="1:51"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row>
    <row r="691" spans="1:5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row>
    <row r="692" spans="1:51"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row>
    <row r="693" spans="1:51"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row>
    <row r="694" spans="1:51"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row>
    <row r="695" spans="1:51"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row>
    <row r="696" spans="1:51"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row>
    <row r="697" spans="1:51"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row>
    <row r="698" spans="1:51"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row>
    <row r="699" spans="1:51"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row>
    <row r="700" spans="1:51"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row>
    <row r="701" spans="1:5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row>
    <row r="702" spans="1:51"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row>
    <row r="703" spans="1:51"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row>
    <row r="704" spans="1:51"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row>
    <row r="705" spans="1:51"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row>
    <row r="706" spans="1:51"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row>
    <row r="707" spans="1:51"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row>
    <row r="708" spans="1:51"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row>
    <row r="709" spans="1:51"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row>
    <row r="710" spans="1:51"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row>
    <row r="711" spans="1:5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row>
    <row r="712" spans="1:51"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row>
    <row r="713" spans="1:51"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row>
    <row r="714" spans="1:51"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row>
    <row r="715" spans="1:51"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row>
    <row r="716" spans="1:51"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row>
    <row r="717" spans="1:51"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row>
    <row r="718" spans="1:51"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row>
    <row r="719" spans="1:51"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row>
    <row r="720" spans="1:51"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row>
    <row r="721" spans="1:5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row>
    <row r="722" spans="1:51"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row>
    <row r="723" spans="1:51"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row>
    <row r="724" spans="1:51"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row>
    <row r="725" spans="1:51"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row>
    <row r="726" spans="1:51"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row>
    <row r="727" spans="1:51"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row>
    <row r="728" spans="1:51"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row>
    <row r="729" spans="1:51"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row>
    <row r="730" spans="1:51"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row>
    <row r="731" spans="1:5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row>
    <row r="732" spans="1:51"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row>
    <row r="733" spans="1:51"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row>
    <row r="734" spans="1:51"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row>
    <row r="735" spans="1:51"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row>
    <row r="736" spans="1:51"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row>
    <row r="737" spans="1:51"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row>
    <row r="738" spans="1:51"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row>
    <row r="739" spans="1:51"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row>
    <row r="740" spans="1:51"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row>
    <row r="741" spans="1:5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row>
    <row r="742" spans="1:51"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row>
    <row r="743" spans="1:51"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row>
    <row r="744" spans="1:51"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row>
    <row r="745" spans="1:51"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row>
    <row r="746" spans="1:51"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row>
    <row r="747" spans="1:51"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row>
    <row r="748" spans="1:51"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row>
    <row r="749" spans="1:51"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row>
    <row r="750" spans="1:51"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row>
    <row r="751" spans="1: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row>
    <row r="752" spans="1:51"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row>
    <row r="753" spans="1:51"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row>
    <row r="754" spans="1:51"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row>
    <row r="755" spans="1:51"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row>
    <row r="756" spans="1:51"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row>
    <row r="757" spans="1:51"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row>
    <row r="758" spans="1:51"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row>
    <row r="759" spans="1:51"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row>
    <row r="760" spans="1:51"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row>
    <row r="761" spans="1:5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row>
    <row r="762" spans="1:51"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row>
    <row r="763" spans="1:51"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row>
    <row r="764" spans="1:51"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row>
    <row r="765" spans="1:51"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row>
    <row r="766" spans="1:51"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row>
    <row r="767" spans="1:51"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row>
    <row r="768" spans="1:51"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row>
    <row r="769" spans="1:51"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row>
    <row r="770" spans="1:51"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row>
    <row r="771" spans="1:5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row>
    <row r="772" spans="1:51"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row>
    <row r="773" spans="1:51"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row>
    <row r="774" spans="1:51"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row>
    <row r="775" spans="1:51"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row>
    <row r="776" spans="1:51"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row>
    <row r="777" spans="1:51"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row>
    <row r="778" spans="1:51"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row>
    <row r="779" spans="1:51"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row>
    <row r="780" spans="1:51"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row>
    <row r="781" spans="1:5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row>
    <row r="782" spans="1:51"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row>
    <row r="783" spans="1:51"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row>
    <row r="784" spans="1:51"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row>
    <row r="785" spans="1:51"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row>
    <row r="786" spans="1:51"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row>
    <row r="787" spans="1:51"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row>
    <row r="788" spans="1:51"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row>
    <row r="789" spans="1:51"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row>
    <row r="790" spans="1:51"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row>
    <row r="791" spans="1:5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row>
    <row r="792" spans="1:51"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row>
    <row r="793" spans="1:51"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row>
    <row r="794" spans="1:51"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row>
    <row r="795" spans="1:51"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row>
    <row r="796" spans="1:51"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row>
    <row r="797" spans="1:51"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row>
    <row r="798" spans="1:51"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row>
    <row r="799" spans="1:51"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row>
    <row r="800" spans="1:51"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row>
    <row r="801" spans="1:5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row>
    <row r="802" spans="1:51"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row>
    <row r="803" spans="1:51"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row>
    <row r="804" spans="1:51"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row>
    <row r="805" spans="1:51"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row>
    <row r="806" spans="1:51"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row>
    <row r="807" spans="1:51"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row>
    <row r="808" spans="1:51"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row>
    <row r="809" spans="1:51"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row>
    <row r="810" spans="1:51"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row>
    <row r="811" spans="1:5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row>
    <row r="812" spans="1:51"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row>
    <row r="813" spans="1:51"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row>
    <row r="814" spans="1:51"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row>
    <row r="815" spans="1:51"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row>
    <row r="816" spans="1:51"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row>
    <row r="817" spans="1:51"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row>
    <row r="818" spans="1:51"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row>
    <row r="819" spans="1:51"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row>
    <row r="820" spans="1:51"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row>
    <row r="821" spans="1:5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row>
    <row r="822" spans="1:51"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row>
    <row r="823" spans="1:51"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row>
    <row r="824" spans="1:51"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row>
    <row r="825" spans="1:51"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row>
    <row r="826" spans="1:51"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row>
    <row r="827" spans="1:51"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row>
    <row r="828" spans="1:51"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row>
    <row r="829" spans="1:51"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row>
    <row r="830" spans="1:51"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row>
    <row r="831" spans="1:5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row>
    <row r="832" spans="1:51"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row>
    <row r="833" spans="1:51"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row>
    <row r="834" spans="1:51"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row>
    <row r="835" spans="1:51"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row>
    <row r="836" spans="1:51"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row>
    <row r="837" spans="1:51"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row>
    <row r="838" spans="1:51"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row>
    <row r="839" spans="1:51"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row>
    <row r="840" spans="1:51"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row>
    <row r="841" spans="1:5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row>
    <row r="842" spans="1:51"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row>
    <row r="843" spans="1:51"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row>
    <row r="844" spans="1:51"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row>
    <row r="845" spans="1:51"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row>
    <row r="846" spans="1:51"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row>
    <row r="847" spans="1:51"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row>
    <row r="848" spans="1:51"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row>
    <row r="849" spans="1:51"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row>
    <row r="850" spans="1:51"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row>
    <row r="851" spans="1: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row>
    <row r="852" spans="1:51"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row>
    <row r="853" spans="1:51"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row>
    <row r="854" spans="1:51"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row>
    <row r="855" spans="1:51"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row>
    <row r="856" spans="1:51"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row>
    <row r="857" spans="1:51"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row>
    <row r="858" spans="1:51"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row>
    <row r="859" spans="1:51"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row>
    <row r="860" spans="1:51"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row>
    <row r="861" spans="1:5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row>
    <row r="862" spans="1:51"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row>
    <row r="863" spans="1:51"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row>
    <row r="864" spans="1:51"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row>
    <row r="865" spans="1:51"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row>
    <row r="866" spans="1:51"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row>
    <row r="867" spans="1:51"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row>
    <row r="868" spans="1:51"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row>
    <row r="869" spans="1:51"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row>
    <row r="870" spans="1:51"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row>
    <row r="871" spans="1:5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row>
    <row r="872" spans="1:51"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row>
    <row r="873" spans="1:51"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row>
    <row r="874" spans="1:51"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row>
    <row r="875" spans="1:51"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row>
    <row r="876" spans="1:51"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row>
    <row r="877" spans="1:51"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row>
    <row r="878" spans="1:51"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row>
    <row r="879" spans="1:51"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row>
    <row r="880" spans="1:51"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row>
    <row r="881" spans="1:5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row>
    <row r="882" spans="1:51"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row>
    <row r="883" spans="1:51"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row>
    <row r="884" spans="1:51"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row>
    <row r="885" spans="1:51"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row>
    <row r="886" spans="1:51"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row>
    <row r="887" spans="1:51"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row>
    <row r="888" spans="1:51"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row>
    <row r="889" spans="1:51"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row>
    <row r="890" spans="1:51"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row>
    <row r="891" spans="1:5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row>
    <row r="892" spans="1:51"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row>
    <row r="893" spans="1:51"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row>
    <row r="894" spans="1:51"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row>
    <row r="895" spans="1:51"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row>
    <row r="896" spans="1:51"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row>
    <row r="897" spans="1:51"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row>
    <row r="898" spans="1:51"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row>
    <row r="899" spans="1:51"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row>
    <row r="900" spans="1:51"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row>
    <row r="901" spans="1:5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row>
    <row r="902" spans="1:51"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row>
    <row r="903" spans="1:51"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row>
    <row r="904" spans="1:51"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row>
    <row r="905" spans="1:51"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row>
    <row r="906" spans="1:51"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row>
    <row r="907" spans="1:51"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row>
    <row r="908" spans="1:51"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row>
    <row r="909" spans="1:51"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row>
    <row r="910" spans="1:51"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row>
    <row r="911" spans="1:5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row>
    <row r="912" spans="1:51"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row>
    <row r="913" spans="1:51"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row>
    <row r="914" spans="1:51"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row>
    <row r="915" spans="1:51"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row>
    <row r="916" spans="1:51"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row>
    <row r="917" spans="1:51"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row>
    <row r="918" spans="1:51"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row>
    <row r="919" spans="1:51"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row>
    <row r="920" spans="1:51"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row>
    <row r="921" spans="1:5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row>
    <row r="922" spans="1:51"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row>
    <row r="923" spans="1:51"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row>
    <row r="924" spans="1:51"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row>
    <row r="925" spans="1:51"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row>
    <row r="926" spans="1:51"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row>
    <row r="927" spans="1:51"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row>
    <row r="928" spans="1:51"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row>
    <row r="929" spans="1:51"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row>
    <row r="930" spans="1:51"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row>
    <row r="931" spans="1:5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row>
    <row r="932" spans="1:51"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row>
    <row r="933" spans="1:51"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row>
    <row r="934" spans="1:51"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row>
    <row r="935" spans="1:51"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row>
    <row r="936" spans="1:51"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row>
    <row r="937" spans="1:51"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row>
    <row r="938" spans="1:51"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row>
    <row r="939" spans="1:51"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row>
    <row r="940" spans="1:51"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row>
    <row r="941" spans="1:5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row>
    <row r="942" spans="1:51"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row>
    <row r="943" spans="1:51"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row>
    <row r="944" spans="1:51"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row>
    <row r="945" spans="1:51"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row>
    <row r="946" spans="1:51"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row>
    <row r="947" spans="1:51"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row>
    <row r="948" spans="1:51"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row>
    <row r="949" spans="1:51"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row>
    <row r="950" spans="1:51"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row>
    <row r="951" spans="1: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row>
    <row r="952" spans="1:51"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row>
    <row r="953" spans="1:51"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row>
    <row r="954" spans="1:51"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row>
    <row r="955" spans="1:51"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row>
    <row r="956" spans="1:51"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row>
    <row r="957" spans="1:51"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row>
    <row r="958" spans="1:51"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row>
    <row r="959" spans="1:51"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row>
    <row r="960" spans="1:51"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row>
    <row r="961" spans="1:5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row>
    <row r="962" spans="1:51"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row>
    <row r="963" spans="1:51"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row>
    <row r="964" spans="1:51"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row>
    <row r="965" spans="1:51"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row>
    <row r="966" spans="1:51"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row>
    <row r="967" spans="1:51"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row>
    <row r="968" spans="1:51"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row>
    <row r="969" spans="1:51"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row>
    <row r="970" spans="1:51"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row>
    <row r="971" spans="1:5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row>
    <row r="972" spans="1:51"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row>
    <row r="973" spans="1:51"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row>
    <row r="974" spans="1:51"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row>
    <row r="975" spans="1:51"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row>
    <row r="976" spans="1:51"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row>
    <row r="977" spans="1:51"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row>
    <row r="978" spans="1:51"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row>
    <row r="979" spans="1:51"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row>
    <row r="980" spans="1:51"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row>
    <row r="981" spans="1:5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row>
    <row r="982" spans="1:51"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row>
    <row r="983" spans="1:51"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row>
    <row r="984" spans="1:51"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row>
    <row r="985" spans="1:51"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row>
    <row r="986" spans="1:51"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row>
    <row r="987" spans="1:51"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row>
    <row r="988" spans="1:51"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row>
    <row r="989" spans="1:51"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row>
    <row r="990" spans="1:51"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row>
    <row r="991" spans="1:5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row>
    <row r="992" spans="1:51"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row>
    <row r="993" spans="1:51"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row>
    <row r="994" spans="1:51"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row>
    <row r="995" spans="1:51"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row>
    <row r="996" spans="1:51"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row>
    <row r="997" spans="1:51"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row>
    <row r="998" spans="1:51"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row>
    <row r="999" spans="1:51"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row>
    <row r="1000" spans="1:51"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row>
    <row r="1001" spans="1:51" ht="13.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row>
    <row r="1002" spans="1:51" ht="13.5"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row>
    <row r="1003" spans="1:51" ht="13.5"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row>
  </sheetData>
  <sheetProtection algorithmName="SHA-512" hashValue="D4YoC9MymTbutTsnYZGIu0aUMGLcVlY/MdmYTTnJBGUsTLTGgp8sKMuG0NpBh557T8voLEC6HVxBxNyQPXE//Q==" saltValue="HG3Hf+LByN3MTseAZla/FA==" spinCount="100000" sheet="1" formatColumns="0" formatRows="0"/>
  <mergeCells count="10">
    <mergeCell ref="B4:V5"/>
    <mergeCell ref="B2:V2"/>
    <mergeCell ref="B53:V53"/>
    <mergeCell ref="I10:J10"/>
    <mergeCell ref="B7:V7"/>
    <mergeCell ref="F10:G10"/>
    <mergeCell ref="B33:V33"/>
    <mergeCell ref="B44:J44"/>
    <mergeCell ref="D15:D16"/>
    <mergeCell ref="B35:N35"/>
  </mergeCells>
  <phoneticPr fontId="18" type="noConversion"/>
  <conditionalFormatting sqref="C10 C12:C14 G11:G22">
    <cfRule type="containsBlanks" dxfId="1" priority="2">
      <formula>LEN(TRIM(C10))=0</formula>
    </cfRule>
  </conditionalFormatting>
  <conditionalFormatting sqref="C9">
    <cfRule type="containsBlanks" dxfId="0" priority="1">
      <formula>LEN(TRIM(C9))=0</formula>
    </cfRule>
  </conditionalFormatting>
  <dataValidations count="3">
    <dataValidation type="list" allowBlank="1" showErrorMessage="1" sqref="C13" xr:uid="{00000000-0002-0000-0100-000001000000}">
      <formula1>"0,1,2,3,4,5,6,7,8"</formula1>
    </dataValidation>
    <dataValidation type="list" allowBlank="1" showErrorMessage="1" sqref="C14" xr:uid="{00000000-0002-0000-0100-000002000000}">
      <formula1>"1,2,3,4,5,6,7,8,9,10,11,12,13,14,15,16,17,18,19,20"</formula1>
    </dataValidation>
    <dataValidation type="list" allowBlank="1" showErrorMessage="1" sqref="C12" xr:uid="{C3ECDDAD-1F8C-45D7-98B9-A299C6A82879}">
      <formula1>"1,2,3,4,5,6,7,8,9,10,11,12"</formula1>
    </dataValidation>
  </dataValidations>
  <pageMargins left="0.7" right="0.7" top="0.75" bottom="0.75"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F987A-D79A-42D6-B52E-F4F6D24EA87A}">
  <dimension ref="B1:AP55"/>
  <sheetViews>
    <sheetView showGridLines="0" zoomScale="70" zoomScaleNormal="70" workbookViewId="0"/>
  </sheetViews>
  <sheetFormatPr defaultColWidth="8.625" defaultRowHeight="14.1"/>
  <cols>
    <col min="1" max="1" width="1.875" style="208" customWidth="1"/>
    <col min="2" max="2" width="16.625" style="208" customWidth="1"/>
    <col min="3" max="3" width="16" style="208" bestFit="1" customWidth="1"/>
    <col min="4" max="4" width="14.375" style="208" customWidth="1"/>
    <col min="5" max="5" width="15.375" style="208" bestFit="1" customWidth="1"/>
    <col min="6" max="6" width="14.25" style="208" bestFit="1" customWidth="1"/>
    <col min="7" max="7" width="11.625" style="208" bestFit="1" customWidth="1"/>
    <col min="8" max="8" width="10.5" style="208" bestFit="1" customWidth="1"/>
    <col min="9" max="9" width="16.25" style="208" bestFit="1" customWidth="1"/>
    <col min="10" max="18" width="10.5" style="208" bestFit="1" customWidth="1"/>
    <col min="19" max="30" width="10.875" style="208" bestFit="1" customWidth="1"/>
    <col min="31" max="42" width="4.875" style="208" bestFit="1" customWidth="1"/>
    <col min="43" max="16384" width="8.625" style="208"/>
  </cols>
  <sheetData>
    <row r="1" spans="2:41">
      <c r="D1" s="209" t="s">
        <v>192</v>
      </c>
    </row>
    <row r="2" spans="2:41" ht="36" customHeight="1">
      <c r="B2" s="386" t="s">
        <v>193</v>
      </c>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c r="AE2" s="386"/>
      <c r="AF2" s="386"/>
      <c r="AG2" s="386"/>
      <c r="AH2" s="386"/>
      <c r="AI2" s="386"/>
      <c r="AJ2" s="386"/>
      <c r="AK2" s="386"/>
      <c r="AL2" s="386"/>
      <c r="AM2" s="386"/>
      <c r="AN2" s="386"/>
      <c r="AO2" s="386"/>
    </row>
    <row r="4" spans="2:41">
      <c r="B4" s="416" t="s">
        <v>194</v>
      </c>
      <c r="C4" s="417"/>
      <c r="D4" s="417"/>
      <c r="E4" s="417"/>
      <c r="F4" s="417"/>
      <c r="G4" s="417"/>
      <c r="H4" s="417"/>
      <c r="I4" s="417"/>
      <c r="J4" s="417"/>
      <c r="K4" s="417"/>
      <c r="L4" s="417"/>
      <c r="M4" s="417"/>
      <c r="N4" s="417"/>
      <c r="O4" s="418"/>
    </row>
    <row r="5" spans="2:41">
      <c r="B5" s="419"/>
      <c r="C5" s="420"/>
      <c r="D5" s="420"/>
      <c r="E5" s="420"/>
      <c r="F5" s="420"/>
      <c r="G5" s="420"/>
      <c r="H5" s="420"/>
      <c r="I5" s="420"/>
      <c r="J5" s="420"/>
      <c r="K5" s="420"/>
      <c r="L5" s="420"/>
      <c r="M5" s="420"/>
      <c r="N5" s="420"/>
      <c r="O5" s="421"/>
    </row>
    <row r="6" spans="2:41">
      <c r="B6" s="419"/>
      <c r="C6" s="420"/>
      <c r="D6" s="420"/>
      <c r="E6" s="420"/>
      <c r="F6" s="420"/>
      <c r="G6" s="420"/>
      <c r="H6" s="420"/>
      <c r="I6" s="420"/>
      <c r="J6" s="420"/>
      <c r="K6" s="420"/>
      <c r="L6" s="420"/>
      <c r="M6" s="420"/>
      <c r="N6" s="420"/>
      <c r="O6" s="421"/>
    </row>
    <row r="7" spans="2:41">
      <c r="B7" s="422"/>
      <c r="C7" s="423"/>
      <c r="D7" s="423"/>
      <c r="E7" s="423"/>
      <c r="F7" s="423"/>
      <c r="G7" s="423"/>
      <c r="H7" s="423"/>
      <c r="I7" s="423"/>
      <c r="J7" s="423"/>
      <c r="K7" s="423"/>
      <c r="L7" s="423"/>
      <c r="M7" s="423"/>
      <c r="N7" s="423"/>
      <c r="O7" s="424"/>
    </row>
    <row r="9" spans="2:41">
      <c r="B9" s="427" t="s">
        <v>195</v>
      </c>
      <c r="C9" s="427"/>
      <c r="D9" s="427"/>
      <c r="E9" s="427"/>
      <c r="F9" s="427"/>
      <c r="G9" s="427"/>
      <c r="I9" s="425" t="s">
        <v>196</v>
      </c>
      <c r="J9" s="425"/>
      <c r="K9" s="425"/>
      <c r="L9" s="425"/>
      <c r="M9" s="425"/>
    </row>
    <row r="10" spans="2:41">
      <c r="B10" s="427"/>
      <c r="C10" s="427"/>
      <c r="D10" s="427"/>
      <c r="E10" s="427"/>
      <c r="F10" s="427"/>
      <c r="G10" s="427"/>
      <c r="I10" s="425"/>
      <c r="J10" s="425"/>
      <c r="K10" s="425"/>
      <c r="L10" s="425"/>
      <c r="M10" s="425"/>
    </row>
    <row r="11" spans="2:41" ht="14.45" thickBot="1">
      <c r="B11" s="428"/>
      <c r="C11" s="428"/>
      <c r="D11" s="428"/>
      <c r="E11" s="428"/>
      <c r="F11" s="428"/>
      <c r="G11" s="428"/>
      <c r="I11" s="426"/>
      <c r="J11" s="426"/>
      <c r="K11" s="426"/>
      <c r="L11" s="426"/>
      <c r="M11" s="426"/>
    </row>
    <row r="12" spans="2:41" ht="42.6" thickBot="1">
      <c r="B12" s="210" t="s">
        <v>197</v>
      </c>
      <c r="C12" s="373" t="s">
        <v>198</v>
      </c>
      <c r="D12" s="211" t="s">
        <v>199</v>
      </c>
      <c r="E12" s="373" t="s">
        <v>200</v>
      </c>
      <c r="F12" s="211" t="s">
        <v>201</v>
      </c>
      <c r="G12" s="212" t="s">
        <v>202</v>
      </c>
      <c r="I12" s="213" t="s">
        <v>203</v>
      </c>
      <c r="J12" s="214">
        <v>1</v>
      </c>
      <c r="K12" s="214">
        <v>2</v>
      </c>
      <c r="L12" s="214">
        <v>3</v>
      </c>
      <c r="M12" s="215">
        <v>4</v>
      </c>
    </row>
    <row r="13" spans="2:41">
      <c r="B13" s="216" t="str">
        <f>'1. Business Financials'!F27</f>
        <v/>
      </c>
      <c r="C13" s="217">
        <f>IFERROR((C47*$C$32+D47*$C$33+E47*$C$34+F47*$C$35+C49*$C$32+D49*$C$33+E49*$C$34+F49*$C$35)-(C53*$C$32+$C$33*D53+E53*$C$34+$C$35*F53),0)</f>
        <v>0</v>
      </c>
      <c r="D13" s="218">
        <f>SUM(C48,C52)*$C$32+SUM(D48,D52)*$C$33+SUM(E48,E52)*$C$34+SUM(F48,F52)*$C$35</f>
        <v>0</v>
      </c>
      <c r="E13" s="218">
        <f>(C53*$C$32+$C$33*D53+E53*$C$34+$C$35*F53)</f>
        <v>0</v>
      </c>
      <c r="F13" s="219">
        <f>(C47*$C$32+D47*$C$33+E47*$C$34+F47*$C$35)</f>
        <v>0</v>
      </c>
      <c r="G13" s="220">
        <f>SUM(C48,C49,C52)*$C$32+SUM(D48,D49,D52)*$C$33+SUM(E48,E49,E52)*$C$34+SUM(F48,F49,F52)*$C$35</f>
        <v>0</v>
      </c>
      <c r="I13" s="221">
        <v>0</v>
      </c>
      <c r="J13" s="222">
        <v>1</v>
      </c>
      <c r="K13" s="222">
        <v>1</v>
      </c>
      <c r="L13" s="222">
        <v>1</v>
      </c>
      <c r="M13" s="223">
        <v>1</v>
      </c>
      <c r="N13" s="224"/>
      <c r="O13" s="224"/>
      <c r="P13" s="224"/>
    </row>
    <row r="14" spans="2:41">
      <c r="B14" s="225" t="str">
        <f>'1. Business Financials'!G27</f>
        <v/>
      </c>
      <c r="C14" s="226">
        <f>IFERROR((C13+(1-$C$32)*C47+(1-$C$33)*D47+(1-$C$34)*E47+(1-$C$35)*F47+$C$32*G47+$C$33*H47+$C$34*I47+$C$35*J47+(1-$C$32)*C49+(1-$C$33)*D49+(1-$C$34)*E49+(1-$C$35)*F49+$C$32*G49+$C$33*H49+$C$34*I49+$C$35*J49)-((1-$C$32)*C53+(1-$C$33)*D53+(1-$C$34)*E53+(1-$C$35)*F53+$C$32*G53+$C$33*H53+$C$34*I53+$C$35*J53),0)</f>
        <v>0</v>
      </c>
      <c r="D14" s="227">
        <f>SUM(C48,C52)*(1-$C$32)+SUM(D48,D52)*(1-$C$33)+SUM(E48,E52)*(1-$C$34)+SUM(F48,F52)*(1-$C$35)+SUM(G48,G52)*$C$32+SUM(H48,H52)*$C$33+SUM(I48,I52)*$C$34+SUM(J48,J52)*$C$35</f>
        <v>0</v>
      </c>
      <c r="E14" s="227">
        <f>(1-$C$32)*C53+(1-$C$33)*D53+(1-$C$34)*E53+(1-$C$35)*F53+$C$32*G53+$C$33*H53+$C$34*I53+$C$35*J53</f>
        <v>0</v>
      </c>
      <c r="F14" s="228">
        <f>(1-$C$32)*C47+(1-$C$33)*D47+(1-$C$34)*E47+(1-$C$35)*F47+$C$32*G47+$C$33*H47+$C$34*I47+$C$35*J47</f>
        <v>0</v>
      </c>
      <c r="G14" s="229">
        <f>SUM(C48,C49,C52)*(1-$C$32)+SUM(D48,D49,D52)*(1-$C$33)+SUM(E48,E49,E52)*(1-$C$34)+SUM(F48,F49,F52)*(1-$C$35)+SUM(G48,G49,G52)*$C$32+SUM(H48,H49,H52)*$C$33+SUM(I48,I49,I52)*$C$34+SUM(J48,J49,J52)*$C$35</f>
        <v>0</v>
      </c>
      <c r="I14" s="230">
        <v>1</v>
      </c>
      <c r="J14" s="231">
        <v>0.33</v>
      </c>
      <c r="K14" s="231">
        <v>0</v>
      </c>
      <c r="L14" s="231">
        <v>0</v>
      </c>
      <c r="M14" s="232">
        <v>0</v>
      </c>
    </row>
    <row r="15" spans="2:41">
      <c r="B15" s="225" t="str">
        <f>'1. Business Financials'!H27</f>
        <v/>
      </c>
      <c r="C15" s="226">
        <f>IFERROR((C14+(1-$C$32)*G47+(1-$C$33)*H47+(1-$C$34)*I47+(1-$C$35)*J47+$C$32*K47+$C$33*L47+$C$34*M47+$C$35*N47+(1-$C$32)*G49+(1-$C$33)*H49+(1-$C$34)*I49+(1-$C$35)*J49+$C$32*K49+$C$33*L49+$C$34*M49+$C$35*N49)-((1-$C$32)*G53+(1-$C$33)*H53+(1-$C$34)*I53+(1-$C$35)*J53+$C$32*K53+$C$33*L53+$C$34*M53+$C$35*N53),0)</f>
        <v>0</v>
      </c>
      <c r="D15" s="227">
        <f>SUM(G48,G52)*(1-$C$32)+SUM(H48,H52)*(1-$C$33)+SUM(I48,I52)*(1-$C$34)+SUM(J48,J52)*(1-$C$35)+SUM(K48,K52)*$C$32+SUM(L48,L52)*$C$33+SUM(M48,M52)*$C$34+SUM(N48,N52)*$C$35</f>
        <v>0</v>
      </c>
      <c r="E15" s="227">
        <f>(1-$C$32)*G53+(1-$C$33)*H53+(1-$C$34)*I53+(1-$C$35)*J53+$C$32*K53+$C$33*L53+$C$34*M53+$C$35*N53</f>
        <v>0</v>
      </c>
      <c r="F15" s="233">
        <f>(1-$C$32)*G47+(1-$C$33)*H47+(1-$C$34)*I47+(1-$C$35)*J47+$C$32*K47+$C$33*L47+$C$34*M47+$C$35*N47</f>
        <v>0</v>
      </c>
      <c r="G15" s="229">
        <f>SUM(G48,G49,G52)*(1-$C$32)+SUM(H48,H49,H52)*(1-$C$33)+SUM(I48,I49,I52)*(1-$C$34)+SUM(J48,J49,J52)*(1-$C$35)+SUM(K48,K49,K52)*$C$32+SUM(L48,L49,L52)*$C$33+SUM(M48,M49,M52)*$C$34+SUM(N48,N49,N52)*$C$35</f>
        <v>0</v>
      </c>
      <c r="I15" s="230">
        <v>2</v>
      </c>
      <c r="J15" s="231">
        <v>0.67</v>
      </c>
      <c r="K15" s="231">
        <v>0</v>
      </c>
      <c r="L15" s="231">
        <v>0</v>
      </c>
      <c r="M15" s="232">
        <v>0</v>
      </c>
    </row>
    <row r="16" spans="2:41">
      <c r="B16" s="225" t="str">
        <f>'1. Business Financials'!I27</f>
        <v/>
      </c>
      <c r="C16" s="226">
        <f>IFERROR((C15+(1-$C$32)*K47+(1-$C$33)*L47+(1-$C$34)*M47+(1-$C$35)*N47+$C$32*O47+$C$33*P47+$C$34*Q47+$C$35*R47+(1-$C$32)*K49+(1-$C$33)*L49+(1-$C$34)*M49+(1-$C$35)*N49+$C$32*O49+$C$33*P49+$C$34*Q49+$C$35*R49)-((1-$C$32)*K53+(1-$C$33)*L53+(1-$C$34)*M53+(1-$C$35)*N53+$C$32*O53+$C$33*P53+$C$34*Q53+$C$35*R53),0)</f>
        <v>0</v>
      </c>
      <c r="D16" s="227">
        <f>SUM(K48,K52)*(1-$C$32)+SUM(L48,L52)*(1-$C$33)+SUM(M48,M52)*(1-$C$34)+SUM(N48,N52)*(1-$C$35)+SUM(O48,O52)*$C$32+SUM(P48,P52)*$C$33+SUM(Q48,Q52)*$C$34+SUM(R48,R52)*$C$35</f>
        <v>0</v>
      </c>
      <c r="E16" s="227">
        <f>(1-$C$32)*K53+(1-$C$33)*L53+(1-$C$34)*M53+(1-$C$35)*N53+$C$32*O53+$C$33*P53+$C$34*Q53+$C$35*R53</f>
        <v>0</v>
      </c>
      <c r="F16" s="233">
        <f>(1-$C$32)*K47+(1-$C$33)*L47+(1-$C$34)*M47+(1-$C$35)*N47+$C$32*O47+$C$33*P47+$C$34*Q47+$C$35*R47</f>
        <v>0</v>
      </c>
      <c r="G16" s="229">
        <f>SUM(K48,K49,K52)*(1-$C$32)+SUM(L48,L49,L52)*(1-$C$33)+SUM(M48,M49,M52)*(1-$C$34)+SUM(N48,N49,N52)*(1-$C$35)+SUM(O48,O49,O52)*$C$32+SUM(P48,P49,P52)*$C$33+SUM(Q48,Q49,Q52)*$C$34+SUM(R48,R49,R52)*$C$35</f>
        <v>0</v>
      </c>
      <c r="I16" s="230">
        <v>3</v>
      </c>
      <c r="J16" s="231">
        <v>1</v>
      </c>
      <c r="K16" s="231">
        <v>0</v>
      </c>
      <c r="L16" s="231">
        <v>0</v>
      </c>
      <c r="M16" s="234">
        <v>0</v>
      </c>
    </row>
    <row r="17" spans="2:13">
      <c r="B17" s="225" t="str">
        <f>'1. Business Financials'!J27</f>
        <v/>
      </c>
      <c r="C17" s="226">
        <f>IFERROR((C16+(1-$C$32)*O47+(1-$C$33)*P47+(1-$C$34)*Q47+(1-$C$35)*R47+$C$32*S47+$C$33*T47+$C$34*U47+$C$35*V47+(1-$C$32)*O49+(1-$C$33)*P49+(1-$C$34)*Q49+(1-$C$35)*R49+$C$32*S49+$C$33*T49+$C$34*U49+$C$35*V49)-((1-$C$32)*O53+(1-$C$33)*P53+(1-$C$34)*Q53+(1-$C$35)*R53+$C$32*S53+$C$33*T53+$C$34*U53+$C$35*V53),0)</f>
        <v>0</v>
      </c>
      <c r="D17" s="227">
        <f>SUM(O48,O52)*(1-$C$32)+SUM(P48,P52)*(1-$C$33)+SUM(Q48,Q52)*(1-$C$34)+SUM(R48,R52)*(1-$C$35)+SUM(S48,S52)*$C$32+SUM(T48,T52)*$C$33+SUM(U48,U52)*$C$34+SUM(V48,V52)*$C$35</f>
        <v>0</v>
      </c>
      <c r="E17" s="227">
        <f>(1-$C$32)*O53+(1-$C$33)*P53+(1-$C$34)*Q53+(1-$C$35)*R53+$C$32*S53+$C$33*T53+$C$34*U53+$C$35*V53</f>
        <v>0</v>
      </c>
      <c r="F17" s="233">
        <f>(1-$C$32)*O47+(1-$C$33)*P47+(1-$C$34)*Q47+(1-$C$35)*R47+$C$32*S47+$C$33*T47+$C$34*U47+$C$35*V47</f>
        <v>0</v>
      </c>
      <c r="G17" s="229">
        <f>SUM(O48,O49,O52)*(1-$C$32)+SUM(P48,P49,P52)*(1-$C$33)+SUM(Q48,Q49,Q52)*(1-$C$34)+SUM(R48,R49,R52)*(1-$C$35)+SUM(S48,S49,S52)*$C$32+SUM(T48,T49,T52)*$C$33+SUM(U48,U49,U52)*$C$34+SUM(V48,V49,V52)*$C$35</f>
        <v>0</v>
      </c>
      <c r="I17" s="230">
        <v>4</v>
      </c>
      <c r="J17" s="231">
        <v>1</v>
      </c>
      <c r="K17" s="231">
        <v>0.33</v>
      </c>
      <c r="L17" s="231">
        <v>0</v>
      </c>
      <c r="M17" s="234">
        <v>0</v>
      </c>
    </row>
    <row r="18" spans="2:13">
      <c r="B18" s="225" t="str">
        <f>'1. Business Financials'!K27</f>
        <v/>
      </c>
      <c r="C18" s="226">
        <f>IFERROR((C17+(1-$C$32)*S47+(1-$C$33)*T47+(1-$C$34)*U47+(1-$C$35)*V47+$C$32*W47+$C$33*X47+$C$34*Y47+$C$35*Z47)-((1-$C$32)*S53+(1-$C$33)*T53+(1-$C$34)*U53+(1-$C$35)*V53+$C$32*W53+$C$33*X53+$C$34*Y53+$C$35*Z53),0)</f>
        <v>0</v>
      </c>
      <c r="D18" s="227">
        <f>SUM(S48,S52)*(1-$C$32)+SUM(T48,T52)*(1-$C$33)+SUM(U48,U52)*(1-$C$34)+SUM(V48,V52)*(1-$C$35)+SUM(W48,W52)*$C$32+SUM(X48,X52)*$C$33+SUM(Y48,Y52)*$C$34+SUM(Z48,Z52)*$C$35</f>
        <v>0</v>
      </c>
      <c r="E18" s="227">
        <f>(1-$C$32)*S53+(1-$C$33)*T53+(1-$C$34)*U53+(1-$C$35)*V53+$C$32*W53+$C$33*X53+$C$34*Y53+$C$35*Z53</f>
        <v>0</v>
      </c>
      <c r="F18" s="233">
        <f>(1-$C$32)*S47+(1-$C$33)*T47+(1-$C$34)*U47+(1-$C$35)*V47+$C$32*W47+$C$33*X47+$C$34*Y47+$C$35*Z47</f>
        <v>0</v>
      </c>
      <c r="G18" s="229">
        <f>SUM(S48,S49,S52)*(1-$C$32)+SUM(T48,T49,T52)*(1-$C$33)+SUM(U48,U49,U52)*(1-$C$34)+SUM(V48,V49,V52)*(1-$C$35)+SUM(W48,W49,W52)*$C$32+SUM(X48,X49,X52)*$C$33+SUM(Y48,Y49,Y52)*$C$34+SUM(Z48,Z49,Z52)*$C$35</f>
        <v>0</v>
      </c>
      <c r="I18" s="230">
        <v>5</v>
      </c>
      <c r="J18" s="231">
        <v>1</v>
      </c>
      <c r="K18" s="231">
        <v>0.67</v>
      </c>
      <c r="L18" s="231">
        <v>0</v>
      </c>
      <c r="M18" s="234">
        <v>0</v>
      </c>
    </row>
    <row r="19" spans="2:13">
      <c r="B19" s="225" t="str">
        <f>'1. Business Financials'!L27</f>
        <v/>
      </c>
      <c r="C19" s="226">
        <f>IFERROR((C18+(1-$C$32)*W47+(1-$C$33)*X47+(1-$C$34)*Y47+(1-$C$35)*Z47+$C$32*AA47+$C$33*AB47+$C$34*AC47+$C$35*AD47+(1-$C$32)*W49+(1-$C$33)*X49+(1-$C$34)*Y49+(1-$C$35)*Z49+$C$32*AA49+$C$33*AB49+$C$34*AC49+$C$35*AD49)-((1-$C$32)*W53+(1-$C$33)*X53+(1-$C$34)*Y53+(1-$C$35)*Z53+$C$32*AA53+$C$33*AB53+$C$34*AC53+$C$35*AD53),0)</f>
        <v>0</v>
      </c>
      <c r="D19" s="227">
        <f>SUM(W48,W52)*(1-$C$32)+SUM(X48,X52)*(1-$C$33)+SUM(Y48,Y52)*(1-$C$34)+SUM(Z48,Z52)*(1-$C$35)+SUM(AA48,AA52)*$C$32+SUM(AB48,AB52)*$C$33+SUM(AC48,AC52)*$C$34+SUM(AD48,AD52)*$C$35</f>
        <v>0</v>
      </c>
      <c r="E19" s="227">
        <f>(1-$C$32)*W53+(1-$C$33)*X53+(1-$C$34)*Y53+(1-$C$35)*Z53+$C$32*AA53+$C$33*AB53+$C$34*AC53+$C$35*AD53</f>
        <v>0</v>
      </c>
      <c r="F19" s="233">
        <f>(1-$C$32)*W47+(1-$C$33)*X47+(1-$C$34)*Y47+(1-$C$35)*Z47+$C$32*AA47+$C$33*AB47+$C$34*AC47+$C$35*AD47</f>
        <v>0</v>
      </c>
      <c r="G19" s="229">
        <f>SUM(W48,W49,W52)*(1-$C$32)+SUM(X48,X49,X52)*(1-$C$33)+SUM(Y48,Y49,Y52)*(1-$C$34)+SUM(Z48,Z49,Z52)*(1-$C$35)+SUM(AA48,AA49,AA52)*$C$32+SUM(AB48,AB49,AB52)*$C$33+SUM(AC48,AC49,AC52)*$C$34+SUM(AD48,AD49,AD52)*$C$35</f>
        <v>0</v>
      </c>
      <c r="I19" s="230">
        <v>6</v>
      </c>
      <c r="J19" s="231">
        <v>1</v>
      </c>
      <c r="K19" s="231">
        <v>1</v>
      </c>
      <c r="L19" s="235">
        <v>0</v>
      </c>
      <c r="M19" s="234">
        <v>0</v>
      </c>
    </row>
    <row r="20" spans="2:13">
      <c r="B20" s="225" t="str">
        <f>'1. Business Financials'!M27</f>
        <v/>
      </c>
      <c r="C20" s="226">
        <f>IFERROR((C19+(1-$C$32)*AA47+(1-$C$33)*AB47+(1-$C$34)*AC47+(1-$C$35)*AD47+$C$32*AE47+$C$33*AF47+$C$34*AG47+$C$35*AH47+(1-$C$32)*AA49+(1-$C$33)*AB49+(1-$C$34)*AC49+(1-$C$35)*AD49+$C$32*AE49+$C$33*AF49+$C$34*AG49+$C$35*AH49)-((1-$C$32)*AA53+(1-$C$33)*AB53+(1-$C$34)*AC53+(1-$C$35)*AD53+$C$32*AE53+$C$33*AF53+$C$34*AG53+$C$35*AH53),0)</f>
        <v>0</v>
      </c>
      <c r="D20" s="227">
        <f>SUM(AA48,AA52)*(1-$C$32)+SUM(AB48,AB52)*(1-$C$33)+SUM(AC48,AC52)*(1-$C$34)+SUM(AD48,AD52)*(1-$C$35)+SUM(AE48,AE52)*$C$32+SUM(AF48,AF52)*$C$33+SUM(AG48,AG52)*$C$34+SUM(AH48,AH52)*$C$35</f>
        <v>0</v>
      </c>
      <c r="E20" s="227">
        <f>(1-$C$32)*AA53+(1-$C$33)*AB53+(1-$C$34)*AC53+(1-$C$35)*AD53+$C$32*AE53+$C$33*AF53+$C$34*AG53+$C$35*AH53</f>
        <v>0</v>
      </c>
      <c r="F20" s="233">
        <f>(1-$C$32)*AA47+(1-$C$33)*AB47+(1-$C$34)*AC47+(1-$C$35)*AD47+$C$32*AE47+$C$33*AF47+$C$34*AG47+$C$35*AH47</f>
        <v>0</v>
      </c>
      <c r="G20" s="229">
        <f>SUM(AA48,AA49,AA52)*(1-$C$32)+SUM(AB48,AB49,AB52)*(1-$C$33)+SUM(AC48,AC49,AC52)*(1-$C$34)+SUM(AD48,AD49,AD52)*(1-$C$35)+SUM(AE48,AE49,AE52)*$C$32+SUM(AF48,AF49,AF52)*$C$33+SUM(AG48,AG49,AG52)*$C$34+SUM(AH48,AH49,AH52)*$C$35</f>
        <v>0</v>
      </c>
      <c r="I20" s="230">
        <v>7</v>
      </c>
      <c r="J20" s="231">
        <v>1</v>
      </c>
      <c r="K20" s="231">
        <v>1</v>
      </c>
      <c r="L20" s="235">
        <v>0.33</v>
      </c>
      <c r="M20" s="234">
        <v>0</v>
      </c>
    </row>
    <row r="21" spans="2:13">
      <c r="B21" s="225" t="str">
        <f>'1. Business Financials'!N27</f>
        <v/>
      </c>
      <c r="C21" s="226">
        <f>IFERROR((C20+(1-$C$32)*AE47+(1-$C$33)*AF47+(1-$C$34)*AG47+(1-$C$35)*AH47+$C$32*AI47+$C$33*AJ47+$C$34*AK47+$C$35*AL47+(1-$C$32)*AE49+(1-$C$33)*AF49+(1-$C$34)*AG49+(1-$C$35)*AH49+$C$32*AI49+$C$33*AJ49+$C$34*AK49+$C$35*AL49)-((1-$C$32)*AE53+(1-$C$33)*AF53+(1-$C$34)*AG53+(1-$C$35)*AH53+$C$32*AI53+$C$33*AJ53+$C$34*AK53+$C$35*AL53),0)</f>
        <v>0</v>
      </c>
      <c r="D21" s="227">
        <f>SUM(AE48,AE52)*(1-$C$32)+SUM(AF48,AF52)*(1-$C$33)+SUM(AG48,AG52)*(1-$C$34)+SUM(AH48,AH52)*(1-$C$35)+SUM(AI48,AI52)*$C$32+SUM(AJ48,AJ52)*$C$33+SUM(AK48,AK52)*$C$34+SUM(AL48,AL52)*$C$35</f>
        <v>0</v>
      </c>
      <c r="E21" s="227">
        <f>(1-$C$32)*AE53+(1-$C$33)*AF53+(1-$C$34)*AG53+(1-$C$35)*AH53+$C$32*AI53+$C$33*AJ53+$C$34*AK53+$C$35*AL53</f>
        <v>0</v>
      </c>
      <c r="F21" s="233">
        <f>(1-$C$32)*AE47+(1-$C$33)*AF47+(1-$C$34)*AG47+(1-$C$35)*AH47+$C$32*AI47+$C$33*AJ47+$C$34*AK47+$C$35*AL47</f>
        <v>0</v>
      </c>
      <c r="G21" s="229">
        <f>SUM(AE48,AE49,AE52)*(1-$C$32)+SUM(AF48,AF49,AF52)*(1-$C$33)+SUM(AG48,AG49,AG52)*(1-$C$34)+SUM(AH48,AH49,AH52)*(1-$C$35)+SUM(AI48,AI49,AI52)*$C$32+SUM(AJ48,AJ49,AJ52)*$C$33+SUM(AK48,AK49,AK52)*$C$34+SUM(AL48,AL49,AL52)*$C$35</f>
        <v>0</v>
      </c>
      <c r="I21" s="230">
        <v>8</v>
      </c>
      <c r="J21" s="231">
        <v>1</v>
      </c>
      <c r="K21" s="231">
        <v>1</v>
      </c>
      <c r="L21" s="235">
        <v>0.67</v>
      </c>
      <c r="M21" s="234">
        <v>0</v>
      </c>
    </row>
    <row r="22" spans="2:13" ht="14.45" thickBot="1">
      <c r="B22" s="236" t="str">
        <f>'1. Business Financials'!O27</f>
        <v/>
      </c>
      <c r="C22" s="237">
        <f>IFERROR((C21+(1-$C$32)*AI47+(1-$C$33)*AJ47+(1-$C$34)*AK47+(1-$C$35)*AL47+$C$32*AM47+$C$33*AN47+$C$34*AO47+$C$35*OK47+(1-$C$32)*AI49+(1-$C$33)*AJ49+(1-$C$34)*AK49+(1-$C$35)*AL49+$C$32*AM49+$C$33*AN49+$C$34*AO49+$C$35*OK49)-((1-$C$32)*AI53+(1-$C$33)*AJ53+(1-$C$34)*AK53+(1-$C$35)*AL53+$C$32*AM53+$C$33*AN53+$C$34*AO53+$C$35*AP53),0)</f>
        <v>0</v>
      </c>
      <c r="D22" s="238">
        <f>SUM(AI48,AI52)*(1-$C$32)+SUM(AJ48,AJ52)*(1-$C$33)+SUM(AK48,AK52)*(1-$C$34)+SUM(AL48,AL52)*(1-$C$35)+SUM(AM48,AM52)*$C$32+SUM(AN48,AN52)*$C$33+SUM(AO48,AO52)*$C$34+SUM(AP48,AP52)*$C$35</f>
        <v>0</v>
      </c>
      <c r="E22" s="238">
        <f>(1-$C$32)*AI53+(1-$C$33)*AJ53+(1-$C$34)*AK53+(1-$C$35)*AL53+$C$32*AM53+$C$33*AN53+$C$34*AO53+$C$35*AP53</f>
        <v>0</v>
      </c>
      <c r="F22" s="239">
        <f>(1-$C$32)*AI47+(1-$C$33)*AJ47+(1-$C$34)*AK47+(1-$C$35)*AL47+$C$32*AM47+$C$33*AN47+$C$34*AO47+$C$35*AP47</f>
        <v>0</v>
      </c>
      <c r="G22" s="240">
        <f>SUM(AI48,AI49,AI52)*(1-$C$32)+SUM(AJ48,AJ49,AJ52)*(1-$C$33)+SUM(AK48,AK49,AK52)*(1-$C$34)+SUM(AL48,AL49,AL52)*(1-$C$35)+SUM(AM48,AM49,AM52)*$C$32+SUM(AN48,AN49,AN52)*$C$33+SUM(AO48,AO49,AO52)*$C$34+SUM(AP48,AP49,AP52)*$C$35</f>
        <v>0</v>
      </c>
      <c r="I22" s="230">
        <v>9</v>
      </c>
      <c r="J22" s="231">
        <v>1</v>
      </c>
      <c r="K22" s="235">
        <v>1</v>
      </c>
      <c r="L22" s="235">
        <v>1</v>
      </c>
      <c r="M22" s="234">
        <v>0</v>
      </c>
    </row>
    <row r="23" spans="2:13">
      <c r="G23" s="241"/>
      <c r="I23" s="230">
        <v>10</v>
      </c>
      <c r="J23" s="231">
        <v>1</v>
      </c>
      <c r="K23" s="235">
        <v>1</v>
      </c>
      <c r="L23" s="235">
        <v>1</v>
      </c>
      <c r="M23" s="234">
        <v>0.33</v>
      </c>
    </row>
    <row r="24" spans="2:13" ht="14.45" customHeight="1" thickBot="1">
      <c r="B24" s="425" t="s">
        <v>204</v>
      </c>
      <c r="C24" s="425"/>
      <c r="D24" s="425"/>
      <c r="E24" s="242"/>
      <c r="I24" s="243">
        <v>11</v>
      </c>
      <c r="J24" s="244">
        <v>1</v>
      </c>
      <c r="K24" s="245">
        <v>1</v>
      </c>
      <c r="L24" s="245">
        <v>1</v>
      </c>
      <c r="M24" s="246">
        <v>0.67</v>
      </c>
    </row>
    <row r="25" spans="2:13" ht="14.1" customHeight="1">
      <c r="B25" s="425"/>
      <c r="C25" s="425"/>
      <c r="D25" s="425"/>
      <c r="E25" s="242"/>
      <c r="I25" s="247"/>
      <c r="J25" s="248"/>
      <c r="K25" s="249"/>
      <c r="L25" s="249"/>
      <c r="M25" s="249"/>
    </row>
    <row r="26" spans="2:13" ht="14.1" customHeight="1">
      <c r="B26" s="425"/>
      <c r="C26" s="425"/>
      <c r="D26" s="425"/>
      <c r="E26" s="242"/>
      <c r="I26" s="247"/>
      <c r="J26" s="248"/>
      <c r="K26" s="249"/>
      <c r="L26" s="249"/>
      <c r="M26" s="249"/>
    </row>
    <row r="27" spans="2:13" ht="14.45" customHeight="1">
      <c r="B27" s="425"/>
      <c r="C27" s="425"/>
      <c r="D27" s="425"/>
      <c r="E27" s="242"/>
      <c r="I27" s="247"/>
      <c r="J27" s="248"/>
      <c r="K27" s="249"/>
      <c r="L27" s="249"/>
      <c r="M27" s="249"/>
    </row>
    <row r="28" spans="2:13" ht="14.45" thickBot="1">
      <c r="B28" s="426"/>
      <c r="C28" s="426"/>
      <c r="D28" s="426"/>
      <c r="E28" s="242"/>
      <c r="I28" s="247"/>
      <c r="J28" s="248"/>
      <c r="K28" s="249"/>
      <c r="L28" s="249"/>
      <c r="M28" s="249"/>
    </row>
    <row r="29" spans="2:13">
      <c r="B29" s="250" t="s">
        <v>205</v>
      </c>
      <c r="C29" s="251">
        <f>'1. Business Financials'!C21</f>
        <v>0</v>
      </c>
      <c r="D29" s="252"/>
    </row>
    <row r="30" spans="2:13">
      <c r="B30" s="253" t="s">
        <v>206</v>
      </c>
      <c r="C30" s="380">
        <f>IFERROR('1. Business Financials'!C19,0)</f>
        <v>0</v>
      </c>
      <c r="D30" s="255"/>
    </row>
    <row r="31" spans="2:13">
      <c r="B31" s="253" t="s">
        <v>207</v>
      </c>
      <c r="C31" s="256">
        <f>DATEDIF(C29,C30,"YM")</f>
        <v>0</v>
      </c>
      <c r="D31" s="257" t="s">
        <v>208</v>
      </c>
    </row>
    <row r="32" spans="2:13">
      <c r="B32" s="253" t="s">
        <v>209</v>
      </c>
      <c r="C32" s="258">
        <f>VLOOKUP($C$31,$I$13:$M$24,2,FALSE)</f>
        <v>1</v>
      </c>
      <c r="D32" s="255"/>
    </row>
    <row r="33" spans="2:42">
      <c r="B33" s="253" t="s">
        <v>210</v>
      </c>
      <c r="C33" s="258">
        <f>VLOOKUP($C$31,$I$13:$M$24,3,FALSE)</f>
        <v>1</v>
      </c>
      <c r="D33" s="255"/>
    </row>
    <row r="34" spans="2:42">
      <c r="B34" s="253" t="s">
        <v>211</v>
      </c>
      <c r="C34" s="258">
        <f>VLOOKUP($C$31,$I$13:$M$24,4,FALSE)</f>
        <v>1</v>
      </c>
      <c r="D34" s="255"/>
    </row>
    <row r="35" spans="2:42" ht="14.45" thickBot="1">
      <c r="B35" s="259" t="s">
        <v>212</v>
      </c>
      <c r="C35" s="260">
        <f>VLOOKUP($C$31,$I$13:$M$24,5,FALSE)</f>
        <v>1</v>
      </c>
      <c r="D35" s="261"/>
    </row>
    <row r="37" spans="2:42" ht="15" thickBot="1">
      <c r="B37" s="262" t="s">
        <v>213</v>
      </c>
    </row>
    <row r="38" spans="2:42" ht="14.45" thickBot="1">
      <c r="B38" s="210" t="s">
        <v>117</v>
      </c>
      <c r="C38" s="263">
        <v>1</v>
      </c>
      <c r="D38" s="263">
        <f>C38+1</f>
        <v>2</v>
      </c>
      <c r="E38" s="263">
        <f t="shared" ref="E38:AL38" si="0">D38+1</f>
        <v>3</v>
      </c>
      <c r="F38" s="263">
        <f t="shared" si="0"/>
        <v>4</v>
      </c>
      <c r="G38" s="263">
        <f t="shared" si="0"/>
        <v>5</v>
      </c>
      <c r="H38" s="263">
        <f t="shared" si="0"/>
        <v>6</v>
      </c>
      <c r="I38" s="263">
        <f t="shared" si="0"/>
        <v>7</v>
      </c>
      <c r="J38" s="263">
        <f t="shared" si="0"/>
        <v>8</v>
      </c>
      <c r="K38" s="263">
        <f t="shared" si="0"/>
        <v>9</v>
      </c>
      <c r="L38" s="263">
        <f t="shared" si="0"/>
        <v>10</v>
      </c>
      <c r="M38" s="263">
        <f t="shared" si="0"/>
        <v>11</v>
      </c>
      <c r="N38" s="263">
        <f t="shared" si="0"/>
        <v>12</v>
      </c>
      <c r="O38" s="263">
        <f t="shared" si="0"/>
        <v>13</v>
      </c>
      <c r="P38" s="263">
        <f t="shared" si="0"/>
        <v>14</v>
      </c>
      <c r="Q38" s="263">
        <f t="shared" si="0"/>
        <v>15</v>
      </c>
      <c r="R38" s="263">
        <f t="shared" si="0"/>
        <v>16</v>
      </c>
      <c r="S38" s="263">
        <f t="shared" si="0"/>
        <v>17</v>
      </c>
      <c r="T38" s="263">
        <f t="shared" si="0"/>
        <v>18</v>
      </c>
      <c r="U38" s="263">
        <f t="shared" si="0"/>
        <v>19</v>
      </c>
      <c r="V38" s="263">
        <f t="shared" si="0"/>
        <v>20</v>
      </c>
      <c r="W38" s="263">
        <f t="shared" si="0"/>
        <v>21</v>
      </c>
      <c r="X38" s="263">
        <f t="shared" si="0"/>
        <v>22</v>
      </c>
      <c r="Y38" s="263">
        <f t="shared" si="0"/>
        <v>23</v>
      </c>
      <c r="Z38" s="263">
        <f t="shared" si="0"/>
        <v>24</v>
      </c>
      <c r="AA38" s="263">
        <f t="shared" si="0"/>
        <v>25</v>
      </c>
      <c r="AB38" s="263">
        <f t="shared" si="0"/>
        <v>26</v>
      </c>
      <c r="AC38" s="263">
        <f t="shared" si="0"/>
        <v>27</v>
      </c>
      <c r="AD38" s="263">
        <f t="shared" si="0"/>
        <v>28</v>
      </c>
      <c r="AE38" s="263">
        <f t="shared" si="0"/>
        <v>29</v>
      </c>
      <c r="AF38" s="263">
        <f t="shared" si="0"/>
        <v>30</v>
      </c>
      <c r="AG38" s="263">
        <f t="shared" si="0"/>
        <v>31</v>
      </c>
      <c r="AH38" s="263">
        <f t="shared" si="0"/>
        <v>32</v>
      </c>
      <c r="AI38" s="263">
        <f t="shared" si="0"/>
        <v>33</v>
      </c>
      <c r="AJ38" s="263">
        <f t="shared" si="0"/>
        <v>34</v>
      </c>
      <c r="AK38" s="263">
        <f t="shared" si="0"/>
        <v>35</v>
      </c>
      <c r="AL38" s="263">
        <f t="shared" si="0"/>
        <v>36</v>
      </c>
      <c r="AM38" s="263">
        <f t="shared" ref="AM38" si="1">AL38+1</f>
        <v>37</v>
      </c>
      <c r="AN38" s="263">
        <f t="shared" ref="AN38" si="2">AM38+1</f>
        <v>38</v>
      </c>
      <c r="AO38" s="263">
        <f t="shared" ref="AO38" si="3">AN38+1</f>
        <v>39</v>
      </c>
      <c r="AP38" s="264">
        <f t="shared" ref="AP38" si="4">AO38+1</f>
        <v>40</v>
      </c>
    </row>
    <row r="39" spans="2:42" hidden="1">
      <c r="B39" s="216" t="s">
        <v>214</v>
      </c>
      <c r="C39" s="265">
        <f>'3. Repayment Calc Template'!G11</f>
        <v>0</v>
      </c>
      <c r="D39" s="265">
        <f>'3. Repayment Calc Template'!G12</f>
        <v>0</v>
      </c>
      <c r="E39" s="265">
        <f>'3. Repayment Calc Template'!G13</f>
        <v>0</v>
      </c>
      <c r="F39" s="265">
        <f>'3. Repayment Calc Template'!G14</f>
        <v>0</v>
      </c>
      <c r="G39" s="265">
        <f>'3. Repayment Calc Template'!G15</f>
        <v>0</v>
      </c>
      <c r="H39" s="265">
        <f>'3. Repayment Calc Template'!G16</f>
        <v>0</v>
      </c>
      <c r="I39" s="265">
        <f>'3. Repayment Calc Template'!G17</f>
        <v>0</v>
      </c>
      <c r="J39" s="265">
        <f>'3. Repayment Calc Template'!G18</f>
        <v>0</v>
      </c>
      <c r="K39" s="265">
        <f>'3. Repayment Calc Template'!G19</f>
        <v>0</v>
      </c>
      <c r="L39" s="265">
        <f>'3. Repayment Calc Template'!G20</f>
        <v>0</v>
      </c>
      <c r="M39" s="265">
        <f>'3. Repayment Calc Template'!G21</f>
        <v>0</v>
      </c>
      <c r="N39" s="265">
        <f>'3. Repayment Calc Template'!G22</f>
        <v>0</v>
      </c>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7"/>
    </row>
    <row r="40" spans="2:42" hidden="1">
      <c r="B40" s="225" t="s">
        <v>215</v>
      </c>
      <c r="C40" s="268">
        <f>(IFERROR(HLOOKUP('4. Innovation Loans Calcs'!C38,'3. Repayment Calc Template'!$C$37:$N$39,2,FALSE),HLOOKUP('4. Innovation Loans Calcs'!C38,'3. Repayment Calc Template'!$C$46:$K$48,2,FALSE)))</f>
        <v>0</v>
      </c>
      <c r="D40" s="268" t="e">
        <f>IFERROR(HLOOKUP('4. Innovation Loans Calcs'!D38,'3. Repayment Calc Template'!$C$37:$N$39,2,FALSE),HLOOKUP('4. Innovation Loans Calcs'!D38,'3. Repayment Calc Template'!$C$46:$K$48,2,FALSE))</f>
        <v>#N/A</v>
      </c>
      <c r="E40" s="268" t="e">
        <f>IFERROR(HLOOKUP('4. Innovation Loans Calcs'!E38,'3. Repayment Calc Template'!$C$37:$N$39,2,FALSE),HLOOKUP('4. Innovation Loans Calcs'!E38,'3. Repayment Calc Template'!$C$46:$K$48,2,FALSE))</f>
        <v>#N/A</v>
      </c>
      <c r="F40" s="268" t="e">
        <f>IFERROR(HLOOKUP('4. Innovation Loans Calcs'!F38,'3. Repayment Calc Template'!$C$37:$N$39,2,FALSE),HLOOKUP('4. Innovation Loans Calcs'!F38,'3. Repayment Calc Template'!$C$46:$K$48,2,FALSE))</f>
        <v>#N/A</v>
      </c>
      <c r="G40" s="268" t="e">
        <f>IFERROR(HLOOKUP('4. Innovation Loans Calcs'!G38,'3. Repayment Calc Template'!$C$37:$N$39,2,FALSE),HLOOKUP('4. Innovation Loans Calcs'!G38,'3. Repayment Calc Template'!$C$46:$K$48,2,FALSE))</f>
        <v>#N/A</v>
      </c>
      <c r="H40" s="268" t="e">
        <f>IFERROR(HLOOKUP('4. Innovation Loans Calcs'!H38,'3. Repayment Calc Template'!$C$37:$N$39,2,FALSE),HLOOKUP('4. Innovation Loans Calcs'!H38,'3. Repayment Calc Template'!$C$46:$K$48,2,FALSE))</f>
        <v>#N/A</v>
      </c>
      <c r="I40" s="268" t="e">
        <f>IFERROR(HLOOKUP('4. Innovation Loans Calcs'!I38,'3. Repayment Calc Template'!$C$37:$N$39,2,FALSE),HLOOKUP('4. Innovation Loans Calcs'!I38,'3. Repayment Calc Template'!$C$46:$K$48,2,FALSE))</f>
        <v>#N/A</v>
      </c>
      <c r="J40" s="268" t="e">
        <f>IFERROR(HLOOKUP('4. Innovation Loans Calcs'!J38,'3. Repayment Calc Template'!$C$37:$N$39,2,FALSE),HLOOKUP('4. Innovation Loans Calcs'!J38,'3. Repayment Calc Template'!$C$46:$K$48,2,FALSE))</f>
        <v>#N/A</v>
      </c>
      <c r="K40" s="268" t="e">
        <f>IFERROR(HLOOKUP('4. Innovation Loans Calcs'!K38,'3. Repayment Calc Template'!$C$37:$N$39,2,FALSE),HLOOKUP('4. Innovation Loans Calcs'!K38,'3. Repayment Calc Template'!$C$46:$K$48,2,FALSE))</f>
        <v>#N/A</v>
      </c>
      <c r="L40" s="268" t="e">
        <f>IFERROR(HLOOKUP('4. Innovation Loans Calcs'!L38,'3. Repayment Calc Template'!$C$37:$N$39,2,FALSE),HLOOKUP('4. Innovation Loans Calcs'!L38,'3. Repayment Calc Template'!$C$46:$K$48,2,FALSE))</f>
        <v>#N/A</v>
      </c>
      <c r="M40" s="268" t="e">
        <f>IFERROR(HLOOKUP('4. Innovation Loans Calcs'!M38,'3. Repayment Calc Template'!$C$37:$N$39,2,FALSE),HLOOKUP('4. Innovation Loans Calcs'!M38,'3. Repayment Calc Template'!$C$46:$K$48,2,FALSE))</f>
        <v>#N/A</v>
      </c>
      <c r="N40" s="268" t="e">
        <f>IFERROR(HLOOKUP('4. Innovation Loans Calcs'!N38,'3. Repayment Calc Template'!$C$37:$N$39,2,FALSE),HLOOKUP('4. Innovation Loans Calcs'!N38,'3. Repayment Calc Template'!$C$46:$K$48,2,FALSE))</f>
        <v>#N/A</v>
      </c>
      <c r="O40" s="268" t="e">
        <f>IFERROR(HLOOKUP('4. Innovation Loans Calcs'!O38,'3. Repayment Calc Template'!$C$37:$N$39,2,FALSE),HLOOKUP('4. Innovation Loans Calcs'!O38,'3. Repayment Calc Template'!$C$46:$K$48,2,FALSE))</f>
        <v>#N/A</v>
      </c>
      <c r="P40" s="268" t="e">
        <f>(IFERROR(HLOOKUP('4. Innovation Loans Calcs'!P38,'3. Repayment Calc Template'!$C$37:$N$39,2,FALSE),HLOOKUP('4. Innovation Loans Calcs'!P38,'3. Repayment Calc Template'!$C$46:$K$48,2,FALSE)))</f>
        <v>#N/A</v>
      </c>
      <c r="Q40" s="268" t="e">
        <f>IFERROR(HLOOKUP('4. Innovation Loans Calcs'!Q38,'3. Repayment Calc Template'!$C$37:$N$39,2,FALSE),HLOOKUP('4. Innovation Loans Calcs'!Q38,'3. Repayment Calc Template'!$C$46:$K$48,2,FALSE))</f>
        <v>#N/A</v>
      </c>
      <c r="R40" s="268" t="e">
        <f>IFERROR(HLOOKUP('4. Innovation Loans Calcs'!R38,'3. Repayment Calc Template'!$C$37:$N$39,2,FALSE),HLOOKUP('4. Innovation Loans Calcs'!R38,'3. Repayment Calc Template'!$C$46:$K$48,2,FALSE))</f>
        <v>#N/A</v>
      </c>
      <c r="S40" s="269" t="e">
        <f>IFERROR(HLOOKUP('4. Innovation Loans Calcs'!S38,'3. Repayment Calc Template'!$C$37:$N$39,2,FALSE),HLOOKUP('4. Innovation Loans Calcs'!S38,'3. Repayment Calc Template'!$C$46:$K$48,2,FALSE))</f>
        <v>#N/A</v>
      </c>
      <c r="T40" s="269" t="e">
        <f>IFERROR(HLOOKUP('4. Innovation Loans Calcs'!T38,'3. Repayment Calc Template'!$C$37:$N$39,2,FALSE),HLOOKUP('4. Innovation Loans Calcs'!T38,'3. Repayment Calc Template'!$C$46:$K$48,2,FALSE))</f>
        <v>#N/A</v>
      </c>
      <c r="U40" s="269" t="e">
        <f>IFERROR(HLOOKUP('4. Innovation Loans Calcs'!U38,'3. Repayment Calc Template'!$C$37:$N$39,2,FALSE),HLOOKUP('4. Innovation Loans Calcs'!U38,'3. Repayment Calc Template'!$C$46:$K$48,2,FALSE))</f>
        <v>#N/A</v>
      </c>
      <c r="V40" s="269" t="e">
        <f>IFERROR(HLOOKUP('4. Innovation Loans Calcs'!V38,'3. Repayment Calc Template'!$C$37:$N$39,2,FALSE),HLOOKUP('4. Innovation Loans Calcs'!V38,'3. Repayment Calc Template'!$C$46:$K$48,2,FALSE))</f>
        <v>#N/A</v>
      </c>
      <c r="W40" s="269" t="e">
        <f>IFERROR(HLOOKUP('4. Innovation Loans Calcs'!W38,'3. Repayment Calc Template'!$C$37:$N$39,2,FALSE),HLOOKUP('4. Innovation Loans Calcs'!W38,'3. Repayment Calc Template'!$C$46:$K$48,2,FALSE))</f>
        <v>#N/A</v>
      </c>
      <c r="X40" s="269" t="e">
        <f>IFERROR(HLOOKUP('4. Innovation Loans Calcs'!X38,'3. Repayment Calc Template'!$C$37:$N$39,2,FALSE),HLOOKUP('4. Innovation Loans Calcs'!X38,'3. Repayment Calc Template'!$C$46:$K$48,2,FALSE))</f>
        <v>#N/A</v>
      </c>
      <c r="Y40" s="269" t="e">
        <f>IFERROR(HLOOKUP('4. Innovation Loans Calcs'!Y38,'3. Repayment Calc Template'!$C$37:$N$39,2,FALSE),HLOOKUP('4. Innovation Loans Calcs'!Y38,'3. Repayment Calc Template'!$C$46:$K$48,2,FALSE))</f>
        <v>#N/A</v>
      </c>
      <c r="Z40" s="269" t="e">
        <f>IFERROR(HLOOKUP('4. Innovation Loans Calcs'!Z38,'3. Repayment Calc Template'!$C$37:$N$39,2,FALSE),HLOOKUP('4. Innovation Loans Calcs'!Z38,'3. Repayment Calc Template'!$C$46:$K$48,2,FALSE))</f>
        <v>#N/A</v>
      </c>
      <c r="AA40" s="269" t="e">
        <f>IFERROR(HLOOKUP('4. Innovation Loans Calcs'!AA38,'3. Repayment Calc Template'!$C$37:$N$39,2,FALSE),HLOOKUP('4. Innovation Loans Calcs'!AA38,'3. Repayment Calc Template'!$C$46:$K$48,2,FALSE))</f>
        <v>#N/A</v>
      </c>
      <c r="AB40" s="269" t="e">
        <f>IFERROR(HLOOKUP('4. Innovation Loans Calcs'!AB38,'3. Repayment Calc Template'!$C$37:$N$39,2,FALSE),HLOOKUP('4. Innovation Loans Calcs'!AB38,'3. Repayment Calc Template'!$C$46:$K$48,2,FALSE))</f>
        <v>#N/A</v>
      </c>
      <c r="AC40" s="269" t="e">
        <f>IFERROR(HLOOKUP('4. Innovation Loans Calcs'!AC38,'3. Repayment Calc Template'!$C$37:$N$39,2,FALSE),HLOOKUP('4. Innovation Loans Calcs'!AC38,'3. Repayment Calc Template'!$C$46:$K$48,2,FALSE))</f>
        <v>#N/A</v>
      </c>
      <c r="AD40" s="269" t="e">
        <f>IFERROR(HLOOKUP('4. Innovation Loans Calcs'!AD38,'3. Repayment Calc Template'!$C$37:$N$39,2,FALSE),HLOOKUP('4. Innovation Loans Calcs'!AD38,'3. Repayment Calc Template'!$C$46:$K$48,2,FALSE))</f>
        <v>#N/A</v>
      </c>
      <c r="AE40" s="269" t="e">
        <f>IFERROR(HLOOKUP('4. Innovation Loans Calcs'!AE38,'3. Repayment Calc Template'!$C$37:$N$39,2,FALSE),HLOOKUP('4. Innovation Loans Calcs'!AE38,'3. Repayment Calc Template'!$C$46:$K$48,2,FALSE))</f>
        <v>#N/A</v>
      </c>
      <c r="AF40" s="269" t="e">
        <f>IFERROR(HLOOKUP('4. Innovation Loans Calcs'!AF38,'3. Repayment Calc Template'!$C$37:$N$39,2,FALSE),HLOOKUP('4. Innovation Loans Calcs'!AF38,'3. Repayment Calc Template'!$C$46:$K$48,2,FALSE))</f>
        <v>#N/A</v>
      </c>
      <c r="AG40" s="269" t="e">
        <f>IFERROR(HLOOKUP('4. Innovation Loans Calcs'!AG38,'3. Repayment Calc Template'!$C$37:$N$39,2,FALSE),HLOOKUP('4. Innovation Loans Calcs'!AG38,'3. Repayment Calc Template'!$C$46:$K$48,2,FALSE))</f>
        <v>#N/A</v>
      </c>
      <c r="AH40" s="269" t="e">
        <f>IFERROR(HLOOKUP('4. Innovation Loans Calcs'!AH38,'3. Repayment Calc Template'!$C$37:$N$39,2,FALSE),HLOOKUP('4. Innovation Loans Calcs'!AH38,'3. Repayment Calc Template'!$C$46:$K$48,2,FALSE))</f>
        <v>#N/A</v>
      </c>
      <c r="AI40" s="269" t="e">
        <f>IFERROR(HLOOKUP('4. Innovation Loans Calcs'!AI38,'3. Repayment Calc Template'!$C$37:$N$39,2,FALSE),HLOOKUP('4. Innovation Loans Calcs'!AI38,'3. Repayment Calc Template'!$C$46:$K$48,2,FALSE))</f>
        <v>#N/A</v>
      </c>
      <c r="AJ40" s="269" t="e">
        <f>IFERROR(HLOOKUP('4. Innovation Loans Calcs'!AJ38,'3. Repayment Calc Template'!$C$37:$N$39,2,FALSE),HLOOKUP('4. Innovation Loans Calcs'!AJ38,'3. Repayment Calc Template'!$C$46:$K$48,2,FALSE))</f>
        <v>#N/A</v>
      </c>
      <c r="AK40" s="269" t="e">
        <f>IFERROR(HLOOKUP('4. Innovation Loans Calcs'!AK38,'3. Repayment Calc Template'!$C$37:$N$39,2,FALSE),HLOOKUP('4. Innovation Loans Calcs'!AK38,'3. Repayment Calc Template'!$C$46:$K$48,2,FALSE))</f>
        <v>#N/A</v>
      </c>
      <c r="AL40" s="269" t="e">
        <f>IFERROR(HLOOKUP('4. Innovation Loans Calcs'!AL38,'3. Repayment Calc Template'!$C$37:$N$39,2,FALSE),HLOOKUP('4. Innovation Loans Calcs'!AL38,'3. Repayment Calc Template'!$C$46:$K$48,2,FALSE))</f>
        <v>#N/A</v>
      </c>
      <c r="AM40" s="269" t="e">
        <f>IFERROR(HLOOKUP('4. Innovation Loans Calcs'!AM38,'3. Repayment Calc Template'!$C$37:$N$39,2,FALSE),HLOOKUP('4. Innovation Loans Calcs'!AM38,'3. Repayment Calc Template'!$C$46:$K$48,2,FALSE))</f>
        <v>#N/A</v>
      </c>
      <c r="AN40" s="269" t="e">
        <f>IFERROR(HLOOKUP('4. Innovation Loans Calcs'!AN38,'3. Repayment Calc Template'!$C$37:$N$39,2,FALSE),HLOOKUP('4. Innovation Loans Calcs'!AN38,'3. Repayment Calc Template'!$C$46:$K$48,2,FALSE))</f>
        <v>#N/A</v>
      </c>
      <c r="AO40" s="269" t="e">
        <f>IFERROR(HLOOKUP('4. Innovation Loans Calcs'!AO38,'3. Repayment Calc Template'!$C$37:$N$39,2,FALSE),HLOOKUP('4. Innovation Loans Calcs'!AO38,'3. Repayment Calc Template'!$C$46:$K$48,2,FALSE))</f>
        <v>#N/A</v>
      </c>
      <c r="AP40" s="270" t="e">
        <f>IFERROR(HLOOKUP('4. Innovation Loans Calcs'!AP38,'3. Repayment Calc Template'!$C$37:$N$39,2,FALSE),HLOOKUP('4. Innovation Loans Calcs'!AP38,'3. Repayment Calc Template'!$C$46:$K$48,2,FALSE))</f>
        <v>#N/A</v>
      </c>
    </row>
    <row r="41" spans="2:42" hidden="1">
      <c r="B41" s="225" t="s">
        <v>216</v>
      </c>
      <c r="C41" s="268">
        <f>IFERROR(HLOOKUP('4. Innovation Loans Calcs'!C38,'3. Repayment Calc Template'!$C$37:$N$39,3,FALSE),HLOOKUP('4. Innovation Loans Calcs'!C38,'3. Repayment Calc Template'!$C$46:$K$48,3,FALSE))</f>
        <v>0</v>
      </c>
      <c r="D41" s="268" t="e">
        <f>IFERROR(HLOOKUP('4. Innovation Loans Calcs'!D38,'3. Repayment Calc Template'!$C$37:$N$39,3,FALSE),HLOOKUP('4. Innovation Loans Calcs'!D38,'3. Repayment Calc Template'!$C$46:$K$48,3,FALSE))</f>
        <v>#N/A</v>
      </c>
      <c r="E41" s="268" t="e">
        <f>IFERROR(HLOOKUP('4. Innovation Loans Calcs'!E38,'3. Repayment Calc Template'!$C$37:$N$39,3,FALSE),HLOOKUP('4. Innovation Loans Calcs'!E38,'3. Repayment Calc Template'!$C$46:$K$48,3,FALSE))</f>
        <v>#N/A</v>
      </c>
      <c r="F41" s="268" t="e">
        <f>IFERROR(HLOOKUP('4. Innovation Loans Calcs'!F38,'3. Repayment Calc Template'!$C$37:$N$39,3,FALSE),HLOOKUP('4. Innovation Loans Calcs'!F38,'3. Repayment Calc Template'!$C$46:$K$48,3,FALSE))</f>
        <v>#N/A</v>
      </c>
      <c r="G41" s="268" t="e">
        <f>IFERROR(HLOOKUP('4. Innovation Loans Calcs'!G38,'3. Repayment Calc Template'!$C$37:$N$39,3,FALSE),HLOOKUP('4. Innovation Loans Calcs'!G38,'3. Repayment Calc Template'!$C$46:$K$48,3,FALSE))</f>
        <v>#N/A</v>
      </c>
      <c r="H41" s="268" t="e">
        <f>IFERROR(HLOOKUP('4. Innovation Loans Calcs'!H38,'3. Repayment Calc Template'!$C$37:$N$39,3,FALSE),HLOOKUP('4. Innovation Loans Calcs'!H38,'3. Repayment Calc Template'!$C$46:$K$48,3,FALSE))</f>
        <v>#N/A</v>
      </c>
      <c r="I41" s="268" t="e">
        <f>IFERROR(HLOOKUP('4. Innovation Loans Calcs'!I38,'3. Repayment Calc Template'!$C$37:$N$39,3,FALSE),HLOOKUP('4. Innovation Loans Calcs'!I38,'3. Repayment Calc Template'!$C$46:$K$48,3,FALSE))</f>
        <v>#N/A</v>
      </c>
      <c r="J41" s="268" t="e">
        <f>IFERROR(HLOOKUP('4. Innovation Loans Calcs'!J38,'3. Repayment Calc Template'!$C$37:$N$39,3,FALSE),HLOOKUP('4. Innovation Loans Calcs'!J38,'3. Repayment Calc Template'!$C$46:$K$48,3,FALSE))</f>
        <v>#N/A</v>
      </c>
      <c r="K41" s="268" t="e">
        <f>IFERROR(HLOOKUP('4. Innovation Loans Calcs'!K38,'3. Repayment Calc Template'!$C$37:$N$39,3,FALSE),HLOOKUP('4. Innovation Loans Calcs'!K38,'3. Repayment Calc Template'!$C$46:$K$48,3,FALSE))</f>
        <v>#N/A</v>
      </c>
      <c r="L41" s="268" t="e">
        <f>IFERROR(HLOOKUP('4. Innovation Loans Calcs'!L38,'3. Repayment Calc Template'!$C$37:$N$39,3,FALSE),HLOOKUP('4. Innovation Loans Calcs'!L38,'3. Repayment Calc Template'!$C$46:$K$48,3,FALSE))</f>
        <v>#N/A</v>
      </c>
      <c r="M41" s="268" t="e">
        <f>IFERROR(HLOOKUP('4. Innovation Loans Calcs'!M38,'3. Repayment Calc Template'!$C$37:$N$39,3,FALSE),HLOOKUP('4. Innovation Loans Calcs'!M38,'3. Repayment Calc Template'!$C$46:$K$48,3,FALSE))</f>
        <v>#N/A</v>
      </c>
      <c r="N41" s="268" t="e">
        <f>IFERROR(HLOOKUP('4. Innovation Loans Calcs'!N38,'3. Repayment Calc Template'!$C$37:$N$39,3,FALSE),HLOOKUP('4. Innovation Loans Calcs'!N38,'3. Repayment Calc Template'!$C$46:$K$48,3,FALSE))</f>
        <v>#N/A</v>
      </c>
      <c r="O41" s="268" t="e">
        <f>IFERROR(HLOOKUP('4. Innovation Loans Calcs'!O38,'3. Repayment Calc Template'!$C$37:$N$39,3,FALSE),HLOOKUP('4. Innovation Loans Calcs'!O38,'3. Repayment Calc Template'!$C$46:$K$48,3,FALSE))</f>
        <v>#N/A</v>
      </c>
      <c r="P41" s="268" t="e">
        <f>IFERROR(HLOOKUP('4. Innovation Loans Calcs'!P38,'3. Repayment Calc Template'!$C$37:$N$39,3,FALSE),HLOOKUP('4. Innovation Loans Calcs'!P38,'3. Repayment Calc Template'!$C$46:$K$48,3,FALSE))</f>
        <v>#N/A</v>
      </c>
      <c r="Q41" s="268" t="e">
        <f>IFERROR(HLOOKUP('4. Innovation Loans Calcs'!Q38,'3. Repayment Calc Template'!$C$37:$N$39,3,FALSE),HLOOKUP('4. Innovation Loans Calcs'!Q38,'3. Repayment Calc Template'!$C$46:$K$48,3,FALSE))</f>
        <v>#N/A</v>
      </c>
      <c r="R41" s="268" t="e">
        <f>IFERROR(HLOOKUP('4. Innovation Loans Calcs'!R38,'3. Repayment Calc Template'!$C$37:$N$39,3,FALSE),HLOOKUP('4. Innovation Loans Calcs'!R38,'3. Repayment Calc Template'!$C$46:$K$48,3,FALSE))</f>
        <v>#N/A</v>
      </c>
      <c r="S41" s="268" t="e">
        <f>IFERROR(HLOOKUP('4. Innovation Loans Calcs'!S38,'3. Repayment Calc Template'!$C$37:$N$39,3,FALSE),HLOOKUP('4. Innovation Loans Calcs'!S38,'3. Repayment Calc Template'!$C$46:$K$48,3,FALSE))</f>
        <v>#N/A</v>
      </c>
      <c r="T41" s="268" t="e">
        <f>IFERROR(HLOOKUP('4. Innovation Loans Calcs'!T38,'3. Repayment Calc Template'!$C$37:$N$39,3,FALSE),HLOOKUP('4. Innovation Loans Calcs'!T38,'3. Repayment Calc Template'!$C$46:$K$48,3,FALSE))</f>
        <v>#N/A</v>
      </c>
      <c r="U41" s="268" t="e">
        <f>IFERROR(HLOOKUP('4. Innovation Loans Calcs'!U38,'3. Repayment Calc Template'!$C$37:$N$39,3,FALSE),HLOOKUP('4. Innovation Loans Calcs'!U38,'3. Repayment Calc Template'!$C$46:$K$48,3,FALSE))</f>
        <v>#N/A</v>
      </c>
      <c r="V41" s="268" t="e">
        <f>IFERROR(HLOOKUP('4. Innovation Loans Calcs'!V38,'3. Repayment Calc Template'!$C$37:$N$39,3,FALSE),HLOOKUP('4. Innovation Loans Calcs'!V38,'3. Repayment Calc Template'!$C$46:$K$48,3,FALSE))</f>
        <v>#N/A</v>
      </c>
      <c r="W41" s="268" t="e">
        <f>IFERROR(HLOOKUP('4. Innovation Loans Calcs'!W38,'3. Repayment Calc Template'!$C$37:$N$39,3,FALSE),HLOOKUP('4. Innovation Loans Calcs'!W38,'3. Repayment Calc Template'!$C$46:$K$48,3,FALSE))</f>
        <v>#N/A</v>
      </c>
      <c r="X41" s="268" t="e">
        <f>IFERROR(HLOOKUP('4. Innovation Loans Calcs'!X38,'3. Repayment Calc Template'!$C$37:$N$39,3,FALSE),HLOOKUP('4. Innovation Loans Calcs'!X38,'3. Repayment Calc Template'!$C$46:$K$48,3,FALSE))</f>
        <v>#N/A</v>
      </c>
      <c r="Y41" s="268" t="e">
        <f>IFERROR(HLOOKUP('4. Innovation Loans Calcs'!Y38,'3. Repayment Calc Template'!$C$37:$N$39,3,FALSE),HLOOKUP('4. Innovation Loans Calcs'!Y38,'3. Repayment Calc Template'!$C$46:$K$48,3,FALSE))</f>
        <v>#N/A</v>
      </c>
      <c r="Z41" s="268" t="e">
        <f>IFERROR(HLOOKUP('4. Innovation Loans Calcs'!Z38,'3. Repayment Calc Template'!$C$37:$N$39,3,FALSE),HLOOKUP('4. Innovation Loans Calcs'!Z38,'3. Repayment Calc Template'!$C$46:$K$48,3,FALSE))</f>
        <v>#N/A</v>
      </c>
      <c r="AA41" s="268" t="e">
        <f>IFERROR(HLOOKUP('4. Innovation Loans Calcs'!AA38,'3. Repayment Calc Template'!$C$37:$N$39,3,FALSE),HLOOKUP('4. Innovation Loans Calcs'!AA38,'3. Repayment Calc Template'!$C$46:$K$48,3,FALSE))</f>
        <v>#N/A</v>
      </c>
      <c r="AB41" s="268" t="e">
        <f>IFERROR(HLOOKUP('4. Innovation Loans Calcs'!AB38,'3. Repayment Calc Template'!$C$37:$N$39,3,FALSE),HLOOKUP('4. Innovation Loans Calcs'!AB38,'3. Repayment Calc Template'!$C$46:$K$48,3,FALSE))</f>
        <v>#N/A</v>
      </c>
      <c r="AC41" s="268" t="e">
        <f>IFERROR(HLOOKUP('4. Innovation Loans Calcs'!AC38,'3. Repayment Calc Template'!$C$37:$N$39,3,FALSE),HLOOKUP('4. Innovation Loans Calcs'!AC38,'3. Repayment Calc Template'!$C$46:$K$48,3,FALSE))</f>
        <v>#N/A</v>
      </c>
      <c r="AD41" s="268" t="e">
        <f>IFERROR(HLOOKUP('4. Innovation Loans Calcs'!AD38,'3. Repayment Calc Template'!$C$37:$N$39,3,FALSE),HLOOKUP('4. Innovation Loans Calcs'!AD38,'3. Repayment Calc Template'!$C$46:$K$48,3,FALSE))</f>
        <v>#N/A</v>
      </c>
      <c r="AE41" s="268" t="e">
        <f>IFERROR(HLOOKUP('4. Innovation Loans Calcs'!AE38,'3. Repayment Calc Template'!$C$37:$N$39,3,FALSE),HLOOKUP('4. Innovation Loans Calcs'!AE38,'3. Repayment Calc Template'!$C$46:$K$48,3,FALSE))</f>
        <v>#N/A</v>
      </c>
      <c r="AF41" s="268" t="e">
        <f>IFERROR(HLOOKUP('4. Innovation Loans Calcs'!AF38,'3. Repayment Calc Template'!$C$37:$N$39,3,FALSE),HLOOKUP('4. Innovation Loans Calcs'!AF38,'3. Repayment Calc Template'!$C$46:$K$48,3,FALSE))</f>
        <v>#N/A</v>
      </c>
      <c r="AG41" s="268" t="e">
        <f>IFERROR(HLOOKUP('4. Innovation Loans Calcs'!AG38,'3. Repayment Calc Template'!$C$37:$N$39,3,FALSE),HLOOKUP('4. Innovation Loans Calcs'!AG38,'3. Repayment Calc Template'!$C$46:$K$48,3,FALSE))</f>
        <v>#N/A</v>
      </c>
      <c r="AH41" s="268" t="e">
        <f>IFERROR(HLOOKUP('4. Innovation Loans Calcs'!AH38,'3. Repayment Calc Template'!$C$37:$N$39,3,FALSE),HLOOKUP('4. Innovation Loans Calcs'!AH38,'3. Repayment Calc Template'!$C$46:$K$48,3,FALSE))</f>
        <v>#N/A</v>
      </c>
      <c r="AI41" s="268" t="e">
        <f>IFERROR(HLOOKUP('4. Innovation Loans Calcs'!AI38,'3. Repayment Calc Template'!$C$37:$N$39,3,FALSE),HLOOKUP('4. Innovation Loans Calcs'!AI38,'3. Repayment Calc Template'!$C$46:$K$48,3,FALSE))</f>
        <v>#N/A</v>
      </c>
      <c r="AJ41" s="268" t="e">
        <f>IFERROR(HLOOKUP('4. Innovation Loans Calcs'!AJ38,'3. Repayment Calc Template'!$C$37:$N$39,3,FALSE),HLOOKUP('4. Innovation Loans Calcs'!AJ38,'3. Repayment Calc Template'!$C$46:$K$48,3,FALSE))</f>
        <v>#N/A</v>
      </c>
      <c r="AK41" s="268" t="e">
        <f>IFERROR(HLOOKUP('4. Innovation Loans Calcs'!AK38,'3. Repayment Calc Template'!$C$37:$N$39,3,FALSE),HLOOKUP('4. Innovation Loans Calcs'!AK38,'3. Repayment Calc Template'!$C$46:$K$48,3,FALSE))</f>
        <v>#N/A</v>
      </c>
      <c r="AL41" s="268" t="e">
        <f>IFERROR(HLOOKUP('4. Innovation Loans Calcs'!AL38,'3. Repayment Calc Template'!$C$37:$N$39,3,FALSE),HLOOKUP('4. Innovation Loans Calcs'!AL38,'3. Repayment Calc Template'!$C$46:$K$48,3,FALSE))</f>
        <v>#N/A</v>
      </c>
      <c r="AM41" s="268" t="e">
        <f>IFERROR(HLOOKUP('4. Innovation Loans Calcs'!AM38,'3. Repayment Calc Template'!$C$37:$N$39,3,FALSE),HLOOKUP('4. Innovation Loans Calcs'!AM38,'3. Repayment Calc Template'!$C$46:$K$48,3,FALSE))</f>
        <v>#N/A</v>
      </c>
      <c r="AN41" s="268" t="e">
        <f>IFERROR(HLOOKUP('4. Innovation Loans Calcs'!AN38,'3. Repayment Calc Template'!$C$37:$N$39,3,FALSE),HLOOKUP('4. Innovation Loans Calcs'!AN38,'3. Repayment Calc Template'!$C$46:$K$48,3,FALSE))</f>
        <v>#N/A</v>
      </c>
      <c r="AO41" s="268" t="e">
        <f>IFERROR(HLOOKUP('4. Innovation Loans Calcs'!AO38,'3. Repayment Calc Template'!$C$37:$N$39,3,FALSE),HLOOKUP('4. Innovation Loans Calcs'!AO38,'3. Repayment Calc Template'!$C$46:$K$48,3,FALSE))</f>
        <v>#N/A</v>
      </c>
      <c r="AP41" s="271" t="e">
        <f>IFERROR(HLOOKUP('4. Innovation Loans Calcs'!AP38,'3. Repayment Calc Template'!$C$37:$N$39,3,FALSE),HLOOKUP('4. Innovation Loans Calcs'!AP38,'3. Repayment Calc Template'!$C$46:$K$48,3,FALSE))</f>
        <v>#N/A</v>
      </c>
    </row>
    <row r="42" spans="2:42" hidden="1">
      <c r="B42" s="225" t="s">
        <v>217</v>
      </c>
      <c r="C42" s="268">
        <f>IFERROR(HLOOKUP('4. Innovation Loans Calcs'!C38,'3. Repayment Calc Template'!$C$37:$N$41,4,FALSE),HLOOKUP('4. Innovation Loans Calcs'!C38,'3. Repayment Calc Template'!$C$46:$K$50,4,FALSE))</f>
        <v>0</v>
      </c>
      <c r="D42" s="268" t="e">
        <f>IFERROR(HLOOKUP('4. Innovation Loans Calcs'!D38,'3. Repayment Calc Template'!$C$37:$N$41,4,FALSE),HLOOKUP('4. Innovation Loans Calcs'!D38,'3. Repayment Calc Template'!$C$46:$K$50,4,FALSE))</f>
        <v>#N/A</v>
      </c>
      <c r="E42" s="268" t="e">
        <f>IFERROR(HLOOKUP('4. Innovation Loans Calcs'!E38,'3. Repayment Calc Template'!$C$37:$N$41,4,FALSE),HLOOKUP('4. Innovation Loans Calcs'!E38,'3. Repayment Calc Template'!$C$46:$K$50,4,FALSE))</f>
        <v>#N/A</v>
      </c>
      <c r="F42" s="268" t="e">
        <f>IFERROR(HLOOKUP('4. Innovation Loans Calcs'!F38,'3. Repayment Calc Template'!$C$37:$N$41,4,FALSE),HLOOKUP('4. Innovation Loans Calcs'!F38,'3. Repayment Calc Template'!$C$46:$K$50,4,FALSE))</f>
        <v>#N/A</v>
      </c>
      <c r="G42" s="268" t="e">
        <f>IFERROR(HLOOKUP('4. Innovation Loans Calcs'!G38,'3. Repayment Calc Template'!$C$37:$N$41,4,FALSE),HLOOKUP('4. Innovation Loans Calcs'!G38,'3. Repayment Calc Template'!$C$46:$K$50,4,FALSE))</f>
        <v>#N/A</v>
      </c>
      <c r="H42" s="268" t="e">
        <f>IFERROR(HLOOKUP('4. Innovation Loans Calcs'!H38,'3. Repayment Calc Template'!$C$37:$N$41,4,FALSE),HLOOKUP('4. Innovation Loans Calcs'!H38,'3. Repayment Calc Template'!$C$46:$K$50,4,FALSE))</f>
        <v>#N/A</v>
      </c>
      <c r="I42" s="268" t="e">
        <f>IFERROR(HLOOKUP('4. Innovation Loans Calcs'!I38,'3. Repayment Calc Template'!$C$37:$N$41,4,FALSE),HLOOKUP('4. Innovation Loans Calcs'!I38,'3. Repayment Calc Template'!$C$46:$K$50,4,FALSE))</f>
        <v>#N/A</v>
      </c>
      <c r="J42" s="268" t="e">
        <f>IFERROR(HLOOKUP('4. Innovation Loans Calcs'!J38,'3. Repayment Calc Template'!$C$37:$N$41,4,FALSE),HLOOKUP('4. Innovation Loans Calcs'!J38,'3. Repayment Calc Template'!$C$46:$K$50,4,FALSE))</f>
        <v>#N/A</v>
      </c>
      <c r="K42" s="268" t="e">
        <f>IFERROR(HLOOKUP('4. Innovation Loans Calcs'!K38,'3. Repayment Calc Template'!$C$37:$N$41,4,FALSE),HLOOKUP('4. Innovation Loans Calcs'!K38,'3. Repayment Calc Template'!$C$46:$K$50,4,FALSE))</f>
        <v>#N/A</v>
      </c>
      <c r="L42" s="268" t="e">
        <f>IFERROR(HLOOKUP('4. Innovation Loans Calcs'!L38,'3. Repayment Calc Template'!$C$37:$N$41,4,FALSE),HLOOKUP('4. Innovation Loans Calcs'!L38,'3. Repayment Calc Template'!$C$46:$K$50,4,FALSE))</f>
        <v>#N/A</v>
      </c>
      <c r="M42" s="268" t="e">
        <f>IFERROR(HLOOKUP('4. Innovation Loans Calcs'!M38,'3. Repayment Calc Template'!$C$37:$N$41,4,FALSE),HLOOKUP('4. Innovation Loans Calcs'!M38,'3. Repayment Calc Template'!$C$46:$K$50,4,FALSE))</f>
        <v>#N/A</v>
      </c>
      <c r="N42" s="268" t="e">
        <f>IFERROR(HLOOKUP('4. Innovation Loans Calcs'!N38,'3. Repayment Calc Template'!$C$37:$N$41,4,FALSE),HLOOKUP('4. Innovation Loans Calcs'!N38,'3. Repayment Calc Template'!$C$46:$K$50,4,FALSE))</f>
        <v>#N/A</v>
      </c>
      <c r="O42" s="268" t="e">
        <f>IFERROR(HLOOKUP('4. Innovation Loans Calcs'!O38,'3. Repayment Calc Template'!$C$37:$N$41,4,FALSE),HLOOKUP('4. Innovation Loans Calcs'!O38,'3. Repayment Calc Template'!$C$46:$K$50,4,FALSE))</f>
        <v>#N/A</v>
      </c>
      <c r="P42" s="268" t="e">
        <f>IFERROR(HLOOKUP('4. Innovation Loans Calcs'!P38,'3. Repayment Calc Template'!$C$37:$N$41,4,FALSE),HLOOKUP('4. Innovation Loans Calcs'!P38,'3. Repayment Calc Template'!$C$46:$K$50,4,FALSE))</f>
        <v>#N/A</v>
      </c>
      <c r="Q42" s="268" t="e">
        <f>IFERROR(HLOOKUP('4. Innovation Loans Calcs'!Q38,'3. Repayment Calc Template'!$C$37:$N$41,4,FALSE),HLOOKUP('4. Innovation Loans Calcs'!Q38,'3. Repayment Calc Template'!$C$46:$K$50,4,FALSE))</f>
        <v>#N/A</v>
      </c>
      <c r="R42" s="268" t="e">
        <f>IFERROR(HLOOKUP('4. Innovation Loans Calcs'!R38,'3. Repayment Calc Template'!$C$37:$N$41,4,FALSE),HLOOKUP('4. Innovation Loans Calcs'!R38,'3. Repayment Calc Template'!$C$46:$K$50,4,FALSE))</f>
        <v>#N/A</v>
      </c>
      <c r="S42" s="268" t="e">
        <f>IFERROR(HLOOKUP('4. Innovation Loans Calcs'!S38,'3. Repayment Calc Template'!$C$37:$N$41,4,FALSE),HLOOKUP('4. Innovation Loans Calcs'!S38,'3. Repayment Calc Template'!$C$46:$K$50,4,FALSE))</f>
        <v>#N/A</v>
      </c>
      <c r="T42" s="268" t="e">
        <f>IFERROR(HLOOKUP('4. Innovation Loans Calcs'!T38,'3. Repayment Calc Template'!$C$37:$N$41,4,FALSE),HLOOKUP('4. Innovation Loans Calcs'!T38,'3. Repayment Calc Template'!$C$46:$K$50,4,FALSE))</f>
        <v>#N/A</v>
      </c>
      <c r="U42" s="268" t="e">
        <f>IFERROR(HLOOKUP('4. Innovation Loans Calcs'!U38,'3. Repayment Calc Template'!$C$37:$N$41,4,FALSE),HLOOKUP('4. Innovation Loans Calcs'!U38,'3. Repayment Calc Template'!$C$46:$K$50,4,FALSE))</f>
        <v>#N/A</v>
      </c>
      <c r="V42" s="268" t="e">
        <f>IFERROR(HLOOKUP('4. Innovation Loans Calcs'!V38,'3. Repayment Calc Template'!$C$37:$N$41,4,FALSE),HLOOKUP('4. Innovation Loans Calcs'!V38,'3. Repayment Calc Template'!$C$46:$K$50,4,FALSE))</f>
        <v>#N/A</v>
      </c>
      <c r="W42" s="268" t="e">
        <f>IFERROR(HLOOKUP('4. Innovation Loans Calcs'!W38,'3. Repayment Calc Template'!$C$37:$N$41,4,FALSE),HLOOKUP('4. Innovation Loans Calcs'!W38,'3. Repayment Calc Template'!$C$46:$K$50,4,FALSE))</f>
        <v>#N/A</v>
      </c>
      <c r="X42" s="268" t="e">
        <f>IFERROR(HLOOKUP('4. Innovation Loans Calcs'!X38,'3. Repayment Calc Template'!$C$37:$N$41,4,FALSE),HLOOKUP('4. Innovation Loans Calcs'!X38,'3. Repayment Calc Template'!$C$46:$K$50,4,FALSE))</f>
        <v>#N/A</v>
      </c>
      <c r="Y42" s="268" t="e">
        <f>IFERROR(HLOOKUP('4. Innovation Loans Calcs'!Y38,'3. Repayment Calc Template'!$C$37:$N$41,4,FALSE),HLOOKUP('4. Innovation Loans Calcs'!Y38,'3. Repayment Calc Template'!$C$46:$K$50,4,FALSE))</f>
        <v>#N/A</v>
      </c>
      <c r="Z42" s="268" t="e">
        <f>IFERROR(HLOOKUP('4. Innovation Loans Calcs'!Z38,'3. Repayment Calc Template'!$C$37:$N$41,4,FALSE),HLOOKUP('4. Innovation Loans Calcs'!Z38,'3. Repayment Calc Template'!$C$46:$K$50,4,FALSE))</f>
        <v>#N/A</v>
      </c>
      <c r="AA42" s="268" t="e">
        <f>IFERROR(HLOOKUP('4. Innovation Loans Calcs'!AA38,'3. Repayment Calc Template'!$C$37:$N$41,4,FALSE),HLOOKUP('4. Innovation Loans Calcs'!AA38,'3. Repayment Calc Template'!$C$46:$K$50,4,FALSE))</f>
        <v>#N/A</v>
      </c>
      <c r="AB42" s="268" t="e">
        <f>IFERROR(HLOOKUP('4. Innovation Loans Calcs'!AB38,'3. Repayment Calc Template'!$C$37:$N$41,4,FALSE),HLOOKUP('4. Innovation Loans Calcs'!AB38,'3. Repayment Calc Template'!$C$46:$K$50,4,FALSE))</f>
        <v>#N/A</v>
      </c>
      <c r="AC42" s="268" t="e">
        <f>IFERROR(HLOOKUP('4. Innovation Loans Calcs'!AC38,'3. Repayment Calc Template'!$C$37:$N$41,4,FALSE),HLOOKUP('4. Innovation Loans Calcs'!AC38,'3. Repayment Calc Template'!$C$46:$K$50,4,FALSE))</f>
        <v>#N/A</v>
      </c>
      <c r="AD42" s="268" t="e">
        <f>IFERROR(HLOOKUP('4. Innovation Loans Calcs'!AD38,'3. Repayment Calc Template'!$C$37:$N$41,4,FALSE),HLOOKUP('4. Innovation Loans Calcs'!AD38,'3. Repayment Calc Template'!$C$46:$K$50,4,FALSE))</f>
        <v>#N/A</v>
      </c>
      <c r="AE42" s="268" t="e">
        <f>IFERROR(HLOOKUP('4. Innovation Loans Calcs'!AE38,'3. Repayment Calc Template'!$C$37:$N$41,4,FALSE),HLOOKUP('4. Innovation Loans Calcs'!AE38,'3. Repayment Calc Template'!$C$46:$K$50,4,FALSE))</f>
        <v>#N/A</v>
      </c>
      <c r="AF42" s="268" t="e">
        <f>IFERROR(HLOOKUP('4. Innovation Loans Calcs'!AF38,'3. Repayment Calc Template'!$C$37:$N$41,4,FALSE),HLOOKUP('4. Innovation Loans Calcs'!AF38,'3. Repayment Calc Template'!$C$46:$K$50,4,FALSE))</f>
        <v>#N/A</v>
      </c>
      <c r="AG42" s="268" t="e">
        <f>IFERROR(HLOOKUP('4. Innovation Loans Calcs'!AG38,'3. Repayment Calc Template'!$C$37:$N$41,4,FALSE),HLOOKUP('4. Innovation Loans Calcs'!AG38,'3. Repayment Calc Template'!$C$46:$K$50,4,FALSE))</f>
        <v>#N/A</v>
      </c>
      <c r="AH42" s="268" t="e">
        <f>IFERROR(HLOOKUP('4. Innovation Loans Calcs'!AH38,'3. Repayment Calc Template'!$C$37:$N$41,4,FALSE),HLOOKUP('4. Innovation Loans Calcs'!AH38,'3. Repayment Calc Template'!$C$46:$K$50,4,FALSE))</f>
        <v>#N/A</v>
      </c>
      <c r="AI42" s="268" t="e">
        <f>IFERROR(HLOOKUP('4. Innovation Loans Calcs'!AI38,'3. Repayment Calc Template'!$C$37:$N$41,4,FALSE),HLOOKUP('4. Innovation Loans Calcs'!AI38,'3. Repayment Calc Template'!$C$46:$K$50,4,FALSE))</f>
        <v>#N/A</v>
      </c>
      <c r="AJ42" s="268" t="e">
        <f>IFERROR(HLOOKUP('4. Innovation Loans Calcs'!AJ38,'3. Repayment Calc Template'!$C$37:$N$41,4,FALSE),HLOOKUP('4. Innovation Loans Calcs'!AJ38,'3. Repayment Calc Template'!$C$46:$K$50,4,FALSE))</f>
        <v>#N/A</v>
      </c>
      <c r="AK42" s="268" t="e">
        <f>IFERROR(HLOOKUP('4. Innovation Loans Calcs'!AK38,'3. Repayment Calc Template'!$C$37:$N$41,4,FALSE),HLOOKUP('4. Innovation Loans Calcs'!AK38,'3. Repayment Calc Template'!$C$46:$K$50,4,FALSE))</f>
        <v>#N/A</v>
      </c>
      <c r="AL42" s="268" t="e">
        <f>IFERROR(HLOOKUP('4. Innovation Loans Calcs'!AL38,'3. Repayment Calc Template'!$C$37:$N$41,4,FALSE),HLOOKUP('4. Innovation Loans Calcs'!AL38,'3. Repayment Calc Template'!$C$46:$K$50,4,FALSE))</f>
        <v>#N/A</v>
      </c>
      <c r="AM42" s="268" t="e">
        <f>IFERROR(HLOOKUP('4. Innovation Loans Calcs'!AM38,'3. Repayment Calc Template'!$C$37:$N$41,4,FALSE),HLOOKUP('4. Innovation Loans Calcs'!AM38,'3. Repayment Calc Template'!$C$46:$K$50,4,FALSE))</f>
        <v>#N/A</v>
      </c>
      <c r="AN42" s="268" t="e">
        <f>IFERROR(HLOOKUP('4. Innovation Loans Calcs'!AN38,'3. Repayment Calc Template'!$C$37:$N$41,4,FALSE),HLOOKUP('4. Innovation Loans Calcs'!AN38,'3. Repayment Calc Template'!$C$46:$K$50,4,FALSE))</f>
        <v>#N/A</v>
      </c>
      <c r="AO42" s="268" t="e">
        <f>IFERROR(HLOOKUP('4. Innovation Loans Calcs'!AO38,'3. Repayment Calc Template'!$C$37:$N$41,4,FALSE),HLOOKUP('4. Innovation Loans Calcs'!AO38,'3. Repayment Calc Template'!$C$46:$K$50,4,FALSE))</f>
        <v>#N/A</v>
      </c>
      <c r="AP42" s="268" t="e">
        <f>IFERROR(HLOOKUP('4. Innovation Loans Calcs'!AP38,'3. Repayment Calc Template'!$C$37:$N$41,4,FALSE),HLOOKUP('4. Innovation Loans Calcs'!AP38,'3. Repayment Calc Template'!$C$46:$K$50,4,FALSE))</f>
        <v>#N/A</v>
      </c>
    </row>
    <row r="43" spans="2:42" hidden="1">
      <c r="B43" s="225" t="s">
        <v>218</v>
      </c>
      <c r="C43" s="268" t="e">
        <f>HLOOKUP('4. Innovation Loans Calcs'!C38,'3. Repayment Calc Template'!$C$55:$V$58,4,FALSE)</f>
        <v>#N/A</v>
      </c>
      <c r="D43" s="268">
        <f>HLOOKUP('4. Innovation Loans Calcs'!D38,'3. Repayment Calc Template'!$C$55:$V$58,4,FALSE)</f>
        <v>0</v>
      </c>
      <c r="E43" s="268" t="e">
        <f>HLOOKUP('4. Innovation Loans Calcs'!E38,'3. Repayment Calc Template'!$C$55:$V$58,4,FALSE)</f>
        <v>#N/A</v>
      </c>
      <c r="F43" s="268" t="e">
        <f>HLOOKUP('4. Innovation Loans Calcs'!F38,'3. Repayment Calc Template'!$C$55:$V$58,4,FALSE)</f>
        <v>#N/A</v>
      </c>
      <c r="G43" s="268" t="e">
        <f>HLOOKUP('4. Innovation Loans Calcs'!G38,'3. Repayment Calc Template'!$C$55:$V$58,4,FALSE)</f>
        <v>#N/A</v>
      </c>
      <c r="H43" s="268" t="e">
        <f>HLOOKUP('4. Innovation Loans Calcs'!H38,'3. Repayment Calc Template'!$C$55:$V$58,4,FALSE)</f>
        <v>#N/A</v>
      </c>
      <c r="I43" s="268" t="e">
        <f>HLOOKUP('4. Innovation Loans Calcs'!I38,'3. Repayment Calc Template'!$C$55:$V$58,4,FALSE)</f>
        <v>#N/A</v>
      </c>
      <c r="J43" s="268" t="e">
        <f>HLOOKUP('4. Innovation Loans Calcs'!J38,'3. Repayment Calc Template'!$C$55:$V$58,4,FALSE)</f>
        <v>#N/A</v>
      </c>
      <c r="K43" s="268" t="e">
        <f>HLOOKUP('4. Innovation Loans Calcs'!K38,'3. Repayment Calc Template'!$C$55:$V$58,4,FALSE)</f>
        <v>#N/A</v>
      </c>
      <c r="L43" s="268" t="e">
        <f>HLOOKUP('4. Innovation Loans Calcs'!L38,'3. Repayment Calc Template'!$C$55:$V$58,4,FALSE)</f>
        <v>#N/A</v>
      </c>
      <c r="M43" s="268" t="e">
        <f>HLOOKUP('4. Innovation Loans Calcs'!M38,'3. Repayment Calc Template'!$C$55:$V$58,4,FALSE)</f>
        <v>#N/A</v>
      </c>
      <c r="N43" s="268" t="e">
        <f>HLOOKUP('4. Innovation Loans Calcs'!N38,'3. Repayment Calc Template'!$C$55:$V$58,4,FALSE)</f>
        <v>#N/A</v>
      </c>
      <c r="O43" s="268" t="e">
        <f>HLOOKUP('4. Innovation Loans Calcs'!O38,'3. Repayment Calc Template'!$C$55:$V$58,4,FALSE)</f>
        <v>#N/A</v>
      </c>
      <c r="P43" s="268" t="e">
        <f>HLOOKUP('4. Innovation Loans Calcs'!P38,'3. Repayment Calc Template'!$C$55:$V$58,4,FALSE)</f>
        <v>#N/A</v>
      </c>
      <c r="Q43" s="268" t="e">
        <f>HLOOKUP('4. Innovation Loans Calcs'!Q38,'3. Repayment Calc Template'!$C$55:$V$58,4,FALSE)</f>
        <v>#N/A</v>
      </c>
      <c r="R43" s="268" t="e">
        <f>HLOOKUP('4. Innovation Loans Calcs'!R38,'3. Repayment Calc Template'!$C$55:$V$58,4,FALSE)</f>
        <v>#N/A</v>
      </c>
      <c r="S43" s="268" t="e">
        <f>HLOOKUP('4. Innovation Loans Calcs'!S38,'3. Repayment Calc Template'!$C$55:$V$58,4,FALSE)</f>
        <v>#N/A</v>
      </c>
      <c r="T43" s="268" t="e">
        <f>HLOOKUP('4. Innovation Loans Calcs'!T38,'3. Repayment Calc Template'!$C$55:$V$58,4,FALSE)</f>
        <v>#N/A</v>
      </c>
      <c r="U43" s="268" t="e">
        <f>HLOOKUP('4. Innovation Loans Calcs'!U38,'3. Repayment Calc Template'!$C$55:$V$58,4,FALSE)</f>
        <v>#N/A</v>
      </c>
      <c r="V43" s="268" t="e">
        <f>HLOOKUP('4. Innovation Loans Calcs'!V38,'3. Repayment Calc Template'!$C$55:$V$58,4,FALSE)</f>
        <v>#N/A</v>
      </c>
      <c r="W43" s="268" t="e">
        <f>HLOOKUP('4. Innovation Loans Calcs'!W38,'3. Repayment Calc Template'!$C$55:$V$58,4,FALSE)</f>
        <v>#N/A</v>
      </c>
      <c r="X43" s="268" t="e">
        <f>HLOOKUP('4. Innovation Loans Calcs'!X38,'3. Repayment Calc Template'!$C$55:$V$58,4,FALSE)</f>
        <v>#N/A</v>
      </c>
      <c r="Y43" s="268" t="e">
        <f>HLOOKUP('4. Innovation Loans Calcs'!Y38,'3. Repayment Calc Template'!$C$55:$V$58,4,FALSE)</f>
        <v>#N/A</v>
      </c>
      <c r="Z43" s="268" t="e">
        <f>HLOOKUP('4. Innovation Loans Calcs'!Z38,'3. Repayment Calc Template'!$C$55:$V$58,4,FALSE)</f>
        <v>#N/A</v>
      </c>
      <c r="AA43" s="268" t="e">
        <f>HLOOKUP('4. Innovation Loans Calcs'!AA38,'3. Repayment Calc Template'!$C$55:$V$58,4,FALSE)</f>
        <v>#N/A</v>
      </c>
      <c r="AB43" s="268" t="e">
        <f>HLOOKUP('4. Innovation Loans Calcs'!AB38,'3. Repayment Calc Template'!$C$55:$V$58,4,FALSE)</f>
        <v>#N/A</v>
      </c>
      <c r="AC43" s="268" t="e">
        <f>HLOOKUP('4. Innovation Loans Calcs'!AC38,'3. Repayment Calc Template'!$C$55:$V$58,4,FALSE)</f>
        <v>#N/A</v>
      </c>
      <c r="AD43" s="268" t="e">
        <f>HLOOKUP('4. Innovation Loans Calcs'!AD38,'3. Repayment Calc Template'!$C$55:$V$58,4,FALSE)</f>
        <v>#N/A</v>
      </c>
      <c r="AE43" s="268" t="e">
        <f>HLOOKUP('4. Innovation Loans Calcs'!AE38,'3. Repayment Calc Template'!$C$55:$V$58,4,FALSE)</f>
        <v>#N/A</v>
      </c>
      <c r="AF43" s="268" t="e">
        <f>HLOOKUP('4. Innovation Loans Calcs'!AF38,'3. Repayment Calc Template'!$C$55:$V$58,4,FALSE)</f>
        <v>#N/A</v>
      </c>
      <c r="AG43" s="268" t="e">
        <f>HLOOKUP('4. Innovation Loans Calcs'!AG38,'3. Repayment Calc Template'!$C$55:$V$58,4,FALSE)</f>
        <v>#N/A</v>
      </c>
      <c r="AH43" s="268" t="e">
        <f>HLOOKUP('4. Innovation Loans Calcs'!AH38,'3. Repayment Calc Template'!$C$55:$V$58,4,FALSE)</f>
        <v>#N/A</v>
      </c>
      <c r="AI43" s="268" t="e">
        <f>HLOOKUP('4. Innovation Loans Calcs'!AI38,'3. Repayment Calc Template'!$C$55:$V$58,4,FALSE)</f>
        <v>#N/A</v>
      </c>
      <c r="AJ43" s="268" t="e">
        <f>HLOOKUP('4. Innovation Loans Calcs'!AJ38,'3. Repayment Calc Template'!$C$55:$V$58,4,FALSE)</f>
        <v>#N/A</v>
      </c>
      <c r="AK43" s="268" t="e">
        <f>HLOOKUP('4. Innovation Loans Calcs'!AK38,'3. Repayment Calc Template'!$C$55:$V$58,4,FALSE)</f>
        <v>#N/A</v>
      </c>
      <c r="AL43" s="268" t="e">
        <f>HLOOKUP('4. Innovation Loans Calcs'!AL38,'3. Repayment Calc Template'!$C$55:$V$58,4,FALSE)</f>
        <v>#N/A</v>
      </c>
      <c r="AM43" s="268" t="e">
        <f>HLOOKUP('4. Innovation Loans Calcs'!AM38,'3. Repayment Calc Template'!$C$55:$V$58,4,FALSE)</f>
        <v>#N/A</v>
      </c>
      <c r="AN43" s="268" t="e">
        <f>HLOOKUP('4. Innovation Loans Calcs'!AN38,'3. Repayment Calc Template'!$C$55:$V$58,4,FALSE)</f>
        <v>#N/A</v>
      </c>
      <c r="AO43" s="268" t="e">
        <f>HLOOKUP('4. Innovation Loans Calcs'!AO38,'3. Repayment Calc Template'!$C$55:$V$58,4,FALSE)</f>
        <v>#N/A</v>
      </c>
      <c r="AP43" s="268" t="e">
        <f>HLOOKUP('4. Innovation Loans Calcs'!AP38,'3. Repayment Calc Template'!$C$55:$V$58,4,FALSE)</f>
        <v>#N/A</v>
      </c>
    </row>
    <row r="44" spans="2:42" hidden="1">
      <c r="B44" s="225" t="s">
        <v>219</v>
      </c>
      <c r="C44" s="268" t="e">
        <f>HLOOKUP('4. Innovation Loans Calcs'!C38,'3. Repayment Calc Template'!$C$55:$V$58,3,FALSE)</f>
        <v>#N/A</v>
      </c>
      <c r="D44" s="268">
        <f>HLOOKUP('4. Innovation Loans Calcs'!D38,'3. Repayment Calc Template'!$C$55:$V$58,3,FALSE)</f>
        <v>0</v>
      </c>
      <c r="E44" s="268" t="e">
        <f>HLOOKUP('4. Innovation Loans Calcs'!E38,'3. Repayment Calc Template'!$C$55:$V$58,3,FALSE)</f>
        <v>#N/A</v>
      </c>
      <c r="F44" s="268" t="e">
        <f>HLOOKUP('4. Innovation Loans Calcs'!F38,'3. Repayment Calc Template'!$C$55:$V$58,3,FALSE)</f>
        <v>#N/A</v>
      </c>
      <c r="G44" s="268" t="e">
        <f>HLOOKUP('4. Innovation Loans Calcs'!G38,'3. Repayment Calc Template'!$C$55:$V$58,3,FALSE)</f>
        <v>#N/A</v>
      </c>
      <c r="H44" s="268" t="e">
        <f>HLOOKUP('4. Innovation Loans Calcs'!H38,'3. Repayment Calc Template'!$C$55:$V$58,3,FALSE)</f>
        <v>#N/A</v>
      </c>
      <c r="I44" s="268" t="e">
        <f>HLOOKUP('4. Innovation Loans Calcs'!I38,'3. Repayment Calc Template'!$C$55:$V$58,3,FALSE)</f>
        <v>#N/A</v>
      </c>
      <c r="J44" s="268" t="e">
        <f>HLOOKUP('4. Innovation Loans Calcs'!J38,'3. Repayment Calc Template'!$C$55:$V$58,3,FALSE)</f>
        <v>#N/A</v>
      </c>
      <c r="K44" s="268" t="e">
        <f>HLOOKUP('4. Innovation Loans Calcs'!K38,'3. Repayment Calc Template'!$C$55:$V$58,3,FALSE)</f>
        <v>#N/A</v>
      </c>
      <c r="L44" s="268" t="e">
        <f>HLOOKUP('4. Innovation Loans Calcs'!L38,'3. Repayment Calc Template'!$C$55:$V$58,3,FALSE)</f>
        <v>#N/A</v>
      </c>
      <c r="M44" s="268" t="e">
        <f>HLOOKUP('4. Innovation Loans Calcs'!M38,'3. Repayment Calc Template'!$C$55:$V$58,3,FALSE)</f>
        <v>#N/A</v>
      </c>
      <c r="N44" s="268" t="e">
        <f>HLOOKUP('4. Innovation Loans Calcs'!N38,'3. Repayment Calc Template'!$C$55:$V$58,3,FALSE)</f>
        <v>#N/A</v>
      </c>
      <c r="O44" s="268" t="e">
        <f>HLOOKUP('4. Innovation Loans Calcs'!O38,'3. Repayment Calc Template'!$C$55:$V$58,3,FALSE)</f>
        <v>#N/A</v>
      </c>
      <c r="P44" s="268" t="e">
        <f>HLOOKUP('4. Innovation Loans Calcs'!P38,'3. Repayment Calc Template'!$C$55:$V$58,3,FALSE)</f>
        <v>#N/A</v>
      </c>
      <c r="Q44" s="268" t="e">
        <f>HLOOKUP('4. Innovation Loans Calcs'!Q38,'3. Repayment Calc Template'!$C$55:$V$58,3,FALSE)</f>
        <v>#N/A</v>
      </c>
      <c r="R44" s="268" t="e">
        <f>HLOOKUP('4. Innovation Loans Calcs'!R38,'3. Repayment Calc Template'!$C$55:$V$58,3,FALSE)</f>
        <v>#N/A</v>
      </c>
      <c r="S44" s="268" t="e">
        <f>HLOOKUP('4. Innovation Loans Calcs'!S38,'3. Repayment Calc Template'!$C$55:$V$58,3,FALSE)</f>
        <v>#N/A</v>
      </c>
      <c r="T44" s="268" t="e">
        <f>HLOOKUP('4. Innovation Loans Calcs'!T38,'3. Repayment Calc Template'!$C$55:$V$58,3,FALSE)</f>
        <v>#N/A</v>
      </c>
      <c r="U44" s="268" t="e">
        <f>HLOOKUP('4. Innovation Loans Calcs'!U38,'3. Repayment Calc Template'!$C$55:$V$58,3,FALSE)</f>
        <v>#N/A</v>
      </c>
      <c r="V44" s="268" t="e">
        <f>HLOOKUP('4. Innovation Loans Calcs'!V38,'3. Repayment Calc Template'!$C$55:$V$58,3,FALSE)</f>
        <v>#N/A</v>
      </c>
      <c r="W44" s="268" t="e">
        <f>HLOOKUP('4. Innovation Loans Calcs'!W38,'3. Repayment Calc Template'!$C$55:$V$58,3,FALSE)</f>
        <v>#N/A</v>
      </c>
      <c r="X44" s="268" t="e">
        <f>HLOOKUP('4. Innovation Loans Calcs'!X38,'3. Repayment Calc Template'!$C$55:$V$58,3,FALSE)</f>
        <v>#N/A</v>
      </c>
      <c r="Y44" s="268" t="e">
        <f>HLOOKUP('4. Innovation Loans Calcs'!Y38,'3. Repayment Calc Template'!$C$55:$V$58,3,FALSE)</f>
        <v>#N/A</v>
      </c>
      <c r="Z44" s="268" t="e">
        <f>HLOOKUP('4. Innovation Loans Calcs'!Z38,'3. Repayment Calc Template'!$C$55:$V$58,3,FALSE)</f>
        <v>#N/A</v>
      </c>
      <c r="AA44" s="268" t="e">
        <f>HLOOKUP('4. Innovation Loans Calcs'!AA38,'3. Repayment Calc Template'!$C$55:$V$58,3,FALSE)</f>
        <v>#N/A</v>
      </c>
      <c r="AB44" s="268" t="e">
        <f>HLOOKUP('4. Innovation Loans Calcs'!AB38,'3. Repayment Calc Template'!$C$55:$V$58,3,FALSE)</f>
        <v>#N/A</v>
      </c>
      <c r="AC44" s="268" t="e">
        <f>HLOOKUP('4. Innovation Loans Calcs'!AC38,'3. Repayment Calc Template'!$C$55:$V$58,3,FALSE)</f>
        <v>#N/A</v>
      </c>
      <c r="AD44" s="268" t="e">
        <f>HLOOKUP('4. Innovation Loans Calcs'!AD38,'3. Repayment Calc Template'!$C$55:$V$58,3,FALSE)</f>
        <v>#N/A</v>
      </c>
      <c r="AE44" s="268" t="e">
        <f>HLOOKUP('4. Innovation Loans Calcs'!AE38,'3. Repayment Calc Template'!$C$55:$V$58,3,FALSE)</f>
        <v>#N/A</v>
      </c>
      <c r="AF44" s="268" t="e">
        <f>HLOOKUP('4. Innovation Loans Calcs'!AF38,'3. Repayment Calc Template'!$C$55:$V$58,3,FALSE)</f>
        <v>#N/A</v>
      </c>
      <c r="AG44" s="268" t="e">
        <f>HLOOKUP('4. Innovation Loans Calcs'!AG38,'3. Repayment Calc Template'!$C$55:$V$58,3,FALSE)</f>
        <v>#N/A</v>
      </c>
      <c r="AH44" s="268" t="e">
        <f>HLOOKUP('4. Innovation Loans Calcs'!AH38,'3. Repayment Calc Template'!$C$55:$V$58,3,FALSE)</f>
        <v>#N/A</v>
      </c>
      <c r="AI44" s="268" t="e">
        <f>HLOOKUP('4. Innovation Loans Calcs'!AI38,'3. Repayment Calc Template'!$C$55:$V$58,3,FALSE)</f>
        <v>#N/A</v>
      </c>
      <c r="AJ44" s="268" t="e">
        <f>HLOOKUP('4. Innovation Loans Calcs'!AJ38,'3. Repayment Calc Template'!$C$55:$V$58,3,FALSE)</f>
        <v>#N/A</v>
      </c>
      <c r="AK44" s="268" t="e">
        <f>HLOOKUP('4. Innovation Loans Calcs'!AK38,'3. Repayment Calc Template'!$C$55:$V$58,3,FALSE)</f>
        <v>#N/A</v>
      </c>
      <c r="AL44" s="268" t="e">
        <f>HLOOKUP('4. Innovation Loans Calcs'!AL38,'3. Repayment Calc Template'!$C$55:$V$58,3,FALSE)</f>
        <v>#N/A</v>
      </c>
      <c r="AM44" s="268" t="e">
        <f>HLOOKUP('4. Innovation Loans Calcs'!AM38,'3. Repayment Calc Template'!$C$55:$V$58,3,FALSE)</f>
        <v>#N/A</v>
      </c>
      <c r="AN44" s="268" t="e">
        <f>HLOOKUP('4. Innovation Loans Calcs'!AN38,'3. Repayment Calc Template'!$C$55:$V$58,3,FALSE)</f>
        <v>#N/A</v>
      </c>
      <c r="AO44" s="268" t="e">
        <f>HLOOKUP('4. Innovation Loans Calcs'!AO38,'3. Repayment Calc Template'!$C$55:$V$58,3,FALSE)</f>
        <v>#N/A</v>
      </c>
      <c r="AP44" s="271" t="e">
        <f>HLOOKUP('4. Innovation Loans Calcs'!AP38,'3. Repayment Calc Template'!$C$55:$V$58,3,FALSE)</f>
        <v>#N/A</v>
      </c>
    </row>
    <row r="45" spans="2:42" hidden="1">
      <c r="B45" s="225" t="s">
        <v>220</v>
      </c>
      <c r="C45" s="268" t="e">
        <f>HLOOKUP('4. Innovation Loans Calcs'!C38,'3. Repayment Calc Template'!$C$55:$V$58,2,FALSE)</f>
        <v>#N/A</v>
      </c>
      <c r="D45" s="268">
        <f>HLOOKUP('4. Innovation Loans Calcs'!D38,'3. Repayment Calc Template'!$C$55:$V$58,2,FALSE)</f>
        <v>0</v>
      </c>
      <c r="E45" s="268" t="e">
        <f>HLOOKUP('4. Innovation Loans Calcs'!E38,'3. Repayment Calc Template'!$C$55:$V$58,2,FALSE)</f>
        <v>#N/A</v>
      </c>
      <c r="F45" s="268" t="e">
        <f>HLOOKUP('4. Innovation Loans Calcs'!F38,'3. Repayment Calc Template'!$C$55:$V$58,2,FALSE)</f>
        <v>#N/A</v>
      </c>
      <c r="G45" s="268" t="e">
        <f>HLOOKUP('4. Innovation Loans Calcs'!G38,'3. Repayment Calc Template'!$C$55:$V$58,2,FALSE)</f>
        <v>#N/A</v>
      </c>
      <c r="H45" s="268" t="e">
        <f>HLOOKUP('4. Innovation Loans Calcs'!H38,'3. Repayment Calc Template'!$C$55:$V$58,2,FALSE)</f>
        <v>#N/A</v>
      </c>
      <c r="I45" s="268" t="e">
        <f>HLOOKUP('4. Innovation Loans Calcs'!I38,'3. Repayment Calc Template'!$C$55:$V$58,2,FALSE)</f>
        <v>#N/A</v>
      </c>
      <c r="J45" s="268" t="e">
        <f>HLOOKUP('4. Innovation Loans Calcs'!J38,'3. Repayment Calc Template'!$C$55:$V$58,2,FALSE)</f>
        <v>#N/A</v>
      </c>
      <c r="K45" s="268" t="e">
        <f>HLOOKUP('4. Innovation Loans Calcs'!K38,'3. Repayment Calc Template'!$C$55:$V$58,2,FALSE)</f>
        <v>#N/A</v>
      </c>
      <c r="L45" s="268" t="e">
        <f>HLOOKUP('4. Innovation Loans Calcs'!L38,'3. Repayment Calc Template'!$C$55:$V$58,2,FALSE)</f>
        <v>#N/A</v>
      </c>
      <c r="M45" s="268" t="e">
        <f>HLOOKUP('4. Innovation Loans Calcs'!M38,'3. Repayment Calc Template'!$C$55:$V$58,2,FALSE)</f>
        <v>#N/A</v>
      </c>
      <c r="N45" s="268" t="e">
        <f>HLOOKUP('4. Innovation Loans Calcs'!N38,'3. Repayment Calc Template'!$C$55:$V$58,2,FALSE)</f>
        <v>#N/A</v>
      </c>
      <c r="O45" s="268" t="e">
        <f>HLOOKUP('4. Innovation Loans Calcs'!O38,'3. Repayment Calc Template'!$C$55:$V$58,2,FALSE)</f>
        <v>#N/A</v>
      </c>
      <c r="P45" s="268" t="e">
        <f>HLOOKUP('4. Innovation Loans Calcs'!P38,'3. Repayment Calc Template'!$C$55:$V$58,2,FALSE)</f>
        <v>#N/A</v>
      </c>
      <c r="Q45" s="268" t="e">
        <f>HLOOKUP('4. Innovation Loans Calcs'!Q38,'3. Repayment Calc Template'!$C$55:$V$58,2,FALSE)</f>
        <v>#N/A</v>
      </c>
      <c r="R45" s="268" t="e">
        <f>HLOOKUP('4. Innovation Loans Calcs'!R38,'3. Repayment Calc Template'!$C$55:$V$58,2,FALSE)</f>
        <v>#N/A</v>
      </c>
      <c r="S45" s="268" t="e">
        <f>HLOOKUP('4. Innovation Loans Calcs'!S38,'3. Repayment Calc Template'!$C$55:$V$58,2,FALSE)</f>
        <v>#N/A</v>
      </c>
      <c r="T45" s="268" t="e">
        <f>HLOOKUP('4. Innovation Loans Calcs'!T38,'3. Repayment Calc Template'!$C$55:$V$58,2,FALSE)</f>
        <v>#N/A</v>
      </c>
      <c r="U45" s="268" t="e">
        <f>HLOOKUP('4. Innovation Loans Calcs'!U38,'3. Repayment Calc Template'!$C$55:$V$58,2,FALSE)</f>
        <v>#N/A</v>
      </c>
      <c r="V45" s="268" t="e">
        <f>HLOOKUP('4. Innovation Loans Calcs'!V38,'3. Repayment Calc Template'!$C$55:$V$58,2,FALSE)</f>
        <v>#N/A</v>
      </c>
      <c r="W45" s="268" t="e">
        <f>HLOOKUP('4. Innovation Loans Calcs'!W38,'3. Repayment Calc Template'!$C$55:$V$58,2,FALSE)</f>
        <v>#N/A</v>
      </c>
      <c r="X45" s="268" t="e">
        <f>HLOOKUP('4. Innovation Loans Calcs'!X38,'3. Repayment Calc Template'!$C$55:$V$58,2,FALSE)</f>
        <v>#N/A</v>
      </c>
      <c r="Y45" s="268" t="e">
        <f>HLOOKUP('4. Innovation Loans Calcs'!Y38,'3. Repayment Calc Template'!$C$55:$V$58,2,FALSE)</f>
        <v>#N/A</v>
      </c>
      <c r="Z45" s="268" t="e">
        <f>HLOOKUP('4. Innovation Loans Calcs'!Z38,'3. Repayment Calc Template'!$C$55:$V$58,2,FALSE)</f>
        <v>#N/A</v>
      </c>
      <c r="AA45" s="268" t="e">
        <f>HLOOKUP('4. Innovation Loans Calcs'!AA38,'3. Repayment Calc Template'!$C$55:$V$58,2,FALSE)</f>
        <v>#N/A</v>
      </c>
      <c r="AB45" s="268" t="e">
        <f>HLOOKUP('4. Innovation Loans Calcs'!AB38,'3. Repayment Calc Template'!$C$55:$V$58,2,FALSE)</f>
        <v>#N/A</v>
      </c>
      <c r="AC45" s="268" t="e">
        <f>HLOOKUP('4. Innovation Loans Calcs'!AC38,'3. Repayment Calc Template'!$C$55:$V$58,2,FALSE)</f>
        <v>#N/A</v>
      </c>
      <c r="AD45" s="268" t="e">
        <f>HLOOKUP('4. Innovation Loans Calcs'!AD38,'3. Repayment Calc Template'!$C$55:$V$58,2,FALSE)</f>
        <v>#N/A</v>
      </c>
      <c r="AE45" s="268" t="e">
        <f>HLOOKUP('4. Innovation Loans Calcs'!AE38,'3. Repayment Calc Template'!$C$55:$V$58,2,FALSE)</f>
        <v>#N/A</v>
      </c>
      <c r="AF45" s="268" t="e">
        <f>HLOOKUP('4. Innovation Loans Calcs'!AF38,'3. Repayment Calc Template'!$C$55:$V$58,2,FALSE)</f>
        <v>#N/A</v>
      </c>
      <c r="AG45" s="268" t="e">
        <f>HLOOKUP('4. Innovation Loans Calcs'!AG38,'3. Repayment Calc Template'!$C$55:$V$58,2,FALSE)</f>
        <v>#N/A</v>
      </c>
      <c r="AH45" s="268" t="e">
        <f>HLOOKUP('4. Innovation Loans Calcs'!AH38,'3. Repayment Calc Template'!$C$55:$V$58,2,FALSE)</f>
        <v>#N/A</v>
      </c>
      <c r="AI45" s="268" t="e">
        <f>HLOOKUP('4. Innovation Loans Calcs'!AI38,'3. Repayment Calc Template'!$C$55:$V$58,2,FALSE)</f>
        <v>#N/A</v>
      </c>
      <c r="AJ45" s="268" t="e">
        <f>HLOOKUP('4. Innovation Loans Calcs'!AJ38,'3. Repayment Calc Template'!$C$55:$V$58,2,FALSE)</f>
        <v>#N/A</v>
      </c>
      <c r="AK45" s="268" t="e">
        <f>HLOOKUP('4. Innovation Loans Calcs'!AK38,'3. Repayment Calc Template'!$C$55:$V$58,2,FALSE)</f>
        <v>#N/A</v>
      </c>
      <c r="AL45" s="268" t="e">
        <f>HLOOKUP('4. Innovation Loans Calcs'!AL38,'3. Repayment Calc Template'!$C$55:$V$58,2,FALSE)</f>
        <v>#N/A</v>
      </c>
      <c r="AM45" s="268" t="e">
        <f>HLOOKUP('4. Innovation Loans Calcs'!AM38,'3. Repayment Calc Template'!$C$55:$V$58,2,FALSE)</f>
        <v>#N/A</v>
      </c>
      <c r="AN45" s="268" t="e">
        <f>HLOOKUP('4. Innovation Loans Calcs'!AN38,'3. Repayment Calc Template'!$C$55:$V$58,2,FALSE)</f>
        <v>#N/A</v>
      </c>
      <c r="AO45" s="268" t="e">
        <f>HLOOKUP('4. Innovation Loans Calcs'!AO38,'3. Repayment Calc Template'!$C$55:$V$58,2,FALSE)</f>
        <v>#N/A</v>
      </c>
      <c r="AP45" s="271" t="e">
        <f>HLOOKUP('4. Innovation Loans Calcs'!AP38,'3. Repayment Calc Template'!$C$55:$V$58,2,FALSE)</f>
        <v>#N/A</v>
      </c>
    </row>
    <row r="46" spans="2:42">
      <c r="B46" s="225"/>
      <c r="C46" s="272"/>
      <c r="D46" s="272"/>
      <c r="E46" s="272"/>
      <c r="F46" s="272"/>
      <c r="G46" s="272"/>
      <c r="H46" s="272"/>
      <c r="I46" s="272"/>
      <c r="J46" s="272"/>
      <c r="K46" s="272"/>
      <c r="L46" s="272"/>
      <c r="M46" s="272"/>
      <c r="N46" s="272"/>
      <c r="O46" s="272"/>
      <c r="P46" s="272"/>
      <c r="Q46" s="272"/>
      <c r="R46" s="272"/>
      <c r="S46" s="272"/>
      <c r="T46" s="272"/>
      <c r="U46" s="272"/>
      <c r="V46" s="272"/>
      <c r="W46" s="272"/>
      <c r="X46" s="272"/>
      <c r="Y46" s="272"/>
      <c r="Z46" s="272"/>
      <c r="AA46" s="272"/>
      <c r="AB46" s="272"/>
      <c r="AC46" s="272"/>
      <c r="AD46" s="272"/>
      <c r="AE46" s="272"/>
      <c r="AF46" s="272"/>
      <c r="AG46" s="273"/>
      <c r="AH46" s="273"/>
      <c r="AI46" s="273"/>
      <c r="AJ46" s="273"/>
      <c r="AK46" s="273"/>
      <c r="AL46" s="273"/>
      <c r="AM46" s="273"/>
      <c r="AN46" s="273"/>
      <c r="AO46" s="273"/>
      <c r="AP46" s="274"/>
    </row>
    <row r="47" spans="2:42">
      <c r="B47" s="275" t="s">
        <v>214</v>
      </c>
      <c r="C47" s="276">
        <f>IFERROR(C39,0)</f>
        <v>0</v>
      </c>
      <c r="D47" s="276">
        <f t="shared" ref="D47:AJ47" si="5">IFERROR(D39,0)</f>
        <v>0</v>
      </c>
      <c r="E47" s="276">
        <f t="shared" si="5"/>
        <v>0</v>
      </c>
      <c r="F47" s="276">
        <f t="shared" si="5"/>
        <v>0</v>
      </c>
      <c r="G47" s="276">
        <f t="shared" si="5"/>
        <v>0</v>
      </c>
      <c r="H47" s="276">
        <f t="shared" si="5"/>
        <v>0</v>
      </c>
      <c r="I47" s="276">
        <f t="shared" si="5"/>
        <v>0</v>
      </c>
      <c r="J47" s="276">
        <f t="shared" si="5"/>
        <v>0</v>
      </c>
      <c r="K47" s="276">
        <f t="shared" si="5"/>
        <v>0</v>
      </c>
      <c r="L47" s="276">
        <f t="shared" si="5"/>
        <v>0</v>
      </c>
      <c r="M47" s="276">
        <f t="shared" si="5"/>
        <v>0</v>
      </c>
      <c r="N47" s="276">
        <f t="shared" si="5"/>
        <v>0</v>
      </c>
      <c r="O47" s="276">
        <f t="shared" si="5"/>
        <v>0</v>
      </c>
      <c r="P47" s="276">
        <f t="shared" si="5"/>
        <v>0</v>
      </c>
      <c r="Q47" s="276">
        <f t="shared" si="5"/>
        <v>0</v>
      </c>
      <c r="R47" s="276">
        <f t="shared" si="5"/>
        <v>0</v>
      </c>
      <c r="S47" s="276">
        <f t="shared" si="5"/>
        <v>0</v>
      </c>
      <c r="T47" s="276">
        <f t="shared" si="5"/>
        <v>0</v>
      </c>
      <c r="U47" s="276">
        <f t="shared" si="5"/>
        <v>0</v>
      </c>
      <c r="V47" s="276">
        <f t="shared" si="5"/>
        <v>0</v>
      </c>
      <c r="W47" s="276">
        <f t="shared" si="5"/>
        <v>0</v>
      </c>
      <c r="X47" s="276">
        <f t="shared" si="5"/>
        <v>0</v>
      </c>
      <c r="Y47" s="276">
        <f t="shared" si="5"/>
        <v>0</v>
      </c>
      <c r="Z47" s="276">
        <f t="shared" si="5"/>
        <v>0</v>
      </c>
      <c r="AA47" s="276">
        <f t="shared" si="5"/>
        <v>0</v>
      </c>
      <c r="AB47" s="276">
        <f t="shared" si="5"/>
        <v>0</v>
      </c>
      <c r="AC47" s="276">
        <f t="shared" si="5"/>
        <v>0</v>
      </c>
      <c r="AD47" s="276">
        <f t="shared" si="5"/>
        <v>0</v>
      </c>
      <c r="AE47" s="276">
        <f t="shared" si="5"/>
        <v>0</v>
      </c>
      <c r="AF47" s="276">
        <f t="shared" si="5"/>
        <v>0</v>
      </c>
      <c r="AG47" s="276">
        <f t="shared" si="5"/>
        <v>0</v>
      </c>
      <c r="AH47" s="276">
        <f t="shared" si="5"/>
        <v>0</v>
      </c>
      <c r="AI47" s="276">
        <f t="shared" si="5"/>
        <v>0</v>
      </c>
      <c r="AJ47" s="276">
        <f t="shared" si="5"/>
        <v>0</v>
      </c>
      <c r="AK47" s="276">
        <f t="shared" ref="AK47:AL47" si="6">IFERROR(AK39,0)</f>
        <v>0</v>
      </c>
      <c r="AL47" s="276">
        <f t="shared" si="6"/>
        <v>0</v>
      </c>
      <c r="AM47" s="276">
        <f t="shared" ref="AM47:AP47" si="7">IFERROR(AM39,0)</f>
        <v>0</v>
      </c>
      <c r="AN47" s="276">
        <f t="shared" si="7"/>
        <v>0</v>
      </c>
      <c r="AO47" s="276">
        <f t="shared" si="7"/>
        <v>0</v>
      </c>
      <c r="AP47" s="277">
        <f t="shared" si="7"/>
        <v>0</v>
      </c>
    </row>
    <row r="48" spans="2:42">
      <c r="B48" s="275" t="s">
        <v>215</v>
      </c>
      <c r="C48" s="276">
        <f t="shared" ref="C48:AJ48" si="8">IFERROR(C40,0)</f>
        <v>0</v>
      </c>
      <c r="D48" s="276">
        <f>IFERROR(D40,0)</f>
        <v>0</v>
      </c>
      <c r="E48" s="276">
        <f t="shared" si="8"/>
        <v>0</v>
      </c>
      <c r="F48" s="276">
        <f t="shared" si="8"/>
        <v>0</v>
      </c>
      <c r="G48" s="276">
        <f t="shared" si="8"/>
        <v>0</v>
      </c>
      <c r="H48" s="276">
        <f t="shared" si="8"/>
        <v>0</v>
      </c>
      <c r="I48" s="276">
        <f t="shared" si="8"/>
        <v>0</v>
      </c>
      <c r="J48" s="276">
        <f t="shared" si="8"/>
        <v>0</v>
      </c>
      <c r="K48" s="276">
        <f t="shared" si="8"/>
        <v>0</v>
      </c>
      <c r="L48" s="276">
        <f t="shared" si="8"/>
        <v>0</v>
      </c>
      <c r="M48" s="276">
        <f t="shared" si="8"/>
        <v>0</v>
      </c>
      <c r="N48" s="276">
        <f t="shared" si="8"/>
        <v>0</v>
      </c>
      <c r="O48" s="276">
        <f t="shared" si="8"/>
        <v>0</v>
      </c>
      <c r="P48" s="276">
        <f t="shared" si="8"/>
        <v>0</v>
      </c>
      <c r="Q48" s="276">
        <f t="shared" si="8"/>
        <v>0</v>
      </c>
      <c r="R48" s="276">
        <f t="shared" si="8"/>
        <v>0</v>
      </c>
      <c r="S48" s="276">
        <f t="shared" si="8"/>
        <v>0</v>
      </c>
      <c r="T48" s="276">
        <f t="shared" si="8"/>
        <v>0</v>
      </c>
      <c r="U48" s="276">
        <f t="shared" si="8"/>
        <v>0</v>
      </c>
      <c r="V48" s="276">
        <f t="shared" si="8"/>
        <v>0</v>
      </c>
      <c r="W48" s="276">
        <f t="shared" si="8"/>
        <v>0</v>
      </c>
      <c r="X48" s="276">
        <f t="shared" si="8"/>
        <v>0</v>
      </c>
      <c r="Y48" s="276">
        <f t="shared" si="8"/>
        <v>0</v>
      </c>
      <c r="Z48" s="276">
        <f t="shared" si="8"/>
        <v>0</v>
      </c>
      <c r="AA48" s="276">
        <f t="shared" si="8"/>
        <v>0</v>
      </c>
      <c r="AB48" s="276">
        <f t="shared" si="8"/>
        <v>0</v>
      </c>
      <c r="AC48" s="276">
        <f t="shared" si="8"/>
        <v>0</v>
      </c>
      <c r="AD48" s="276">
        <f t="shared" si="8"/>
        <v>0</v>
      </c>
      <c r="AE48" s="276">
        <f t="shared" si="8"/>
        <v>0</v>
      </c>
      <c r="AF48" s="276">
        <f t="shared" si="8"/>
        <v>0</v>
      </c>
      <c r="AG48" s="276">
        <f t="shared" si="8"/>
        <v>0</v>
      </c>
      <c r="AH48" s="276">
        <f t="shared" si="8"/>
        <v>0</v>
      </c>
      <c r="AI48" s="276">
        <f t="shared" si="8"/>
        <v>0</v>
      </c>
      <c r="AJ48" s="276">
        <f t="shared" si="8"/>
        <v>0</v>
      </c>
      <c r="AK48" s="276">
        <f t="shared" ref="AK48:AL48" si="9">IFERROR(AK40,0)</f>
        <v>0</v>
      </c>
      <c r="AL48" s="276">
        <f t="shared" si="9"/>
        <v>0</v>
      </c>
      <c r="AM48" s="276">
        <f t="shared" ref="AM48:AP48" si="10">IFERROR(AM40,0)</f>
        <v>0</v>
      </c>
      <c r="AN48" s="276">
        <f t="shared" si="10"/>
        <v>0</v>
      </c>
      <c r="AO48" s="276">
        <f t="shared" si="10"/>
        <v>0</v>
      </c>
      <c r="AP48" s="277">
        <f t="shared" si="10"/>
        <v>0</v>
      </c>
    </row>
    <row r="49" spans="2:42">
      <c r="B49" s="275" t="s">
        <v>216</v>
      </c>
      <c r="C49" s="276">
        <f t="shared" ref="C49:AJ49" si="11">IFERROR(C41,0)</f>
        <v>0</v>
      </c>
      <c r="D49" s="276">
        <f t="shared" si="11"/>
        <v>0</v>
      </c>
      <c r="E49" s="276">
        <f t="shared" si="11"/>
        <v>0</v>
      </c>
      <c r="F49" s="276">
        <f t="shared" si="11"/>
        <v>0</v>
      </c>
      <c r="G49" s="276">
        <f t="shared" si="11"/>
        <v>0</v>
      </c>
      <c r="H49" s="276">
        <f t="shared" si="11"/>
        <v>0</v>
      </c>
      <c r="I49" s="276">
        <f t="shared" si="11"/>
        <v>0</v>
      </c>
      <c r="J49" s="276">
        <f t="shared" si="11"/>
        <v>0</v>
      </c>
      <c r="K49" s="276">
        <f t="shared" si="11"/>
        <v>0</v>
      </c>
      <c r="L49" s="276">
        <f t="shared" si="11"/>
        <v>0</v>
      </c>
      <c r="M49" s="276">
        <f t="shared" si="11"/>
        <v>0</v>
      </c>
      <c r="N49" s="276">
        <f t="shared" si="11"/>
        <v>0</v>
      </c>
      <c r="O49" s="276">
        <f t="shared" si="11"/>
        <v>0</v>
      </c>
      <c r="P49" s="276">
        <f t="shared" si="11"/>
        <v>0</v>
      </c>
      <c r="Q49" s="276">
        <f t="shared" si="11"/>
        <v>0</v>
      </c>
      <c r="R49" s="276">
        <f t="shared" si="11"/>
        <v>0</v>
      </c>
      <c r="S49" s="276">
        <f t="shared" si="11"/>
        <v>0</v>
      </c>
      <c r="T49" s="276">
        <f t="shared" si="11"/>
        <v>0</v>
      </c>
      <c r="U49" s="276">
        <f t="shared" si="11"/>
        <v>0</v>
      </c>
      <c r="V49" s="276">
        <f t="shared" si="11"/>
        <v>0</v>
      </c>
      <c r="W49" s="276">
        <f t="shared" si="11"/>
        <v>0</v>
      </c>
      <c r="X49" s="276">
        <f t="shared" si="11"/>
        <v>0</v>
      </c>
      <c r="Y49" s="276">
        <f t="shared" si="11"/>
        <v>0</v>
      </c>
      <c r="Z49" s="276">
        <f t="shared" si="11"/>
        <v>0</v>
      </c>
      <c r="AA49" s="276">
        <f t="shared" si="11"/>
        <v>0</v>
      </c>
      <c r="AB49" s="276">
        <f t="shared" si="11"/>
        <v>0</v>
      </c>
      <c r="AC49" s="276">
        <f t="shared" si="11"/>
        <v>0</v>
      </c>
      <c r="AD49" s="276">
        <f t="shared" si="11"/>
        <v>0</v>
      </c>
      <c r="AE49" s="276">
        <f t="shared" si="11"/>
        <v>0</v>
      </c>
      <c r="AF49" s="276">
        <f t="shared" si="11"/>
        <v>0</v>
      </c>
      <c r="AG49" s="276">
        <f t="shared" si="11"/>
        <v>0</v>
      </c>
      <c r="AH49" s="276">
        <f t="shared" si="11"/>
        <v>0</v>
      </c>
      <c r="AI49" s="276">
        <f t="shared" si="11"/>
        <v>0</v>
      </c>
      <c r="AJ49" s="276">
        <f t="shared" si="11"/>
        <v>0</v>
      </c>
      <c r="AK49" s="276">
        <f t="shared" ref="AK49:AL49" si="12">IFERROR(AK41,0)</f>
        <v>0</v>
      </c>
      <c r="AL49" s="276">
        <f t="shared" si="12"/>
        <v>0</v>
      </c>
      <c r="AM49" s="276">
        <f t="shared" ref="AM49:AP49" si="13">IFERROR(AM41,0)</f>
        <v>0</v>
      </c>
      <c r="AN49" s="276">
        <f t="shared" si="13"/>
        <v>0</v>
      </c>
      <c r="AO49" s="276">
        <f t="shared" si="13"/>
        <v>0</v>
      </c>
      <c r="AP49" s="277">
        <f t="shared" si="13"/>
        <v>0</v>
      </c>
    </row>
    <row r="50" spans="2:42">
      <c r="B50" s="225" t="s">
        <v>217</v>
      </c>
      <c r="C50" s="276">
        <f>IFERROR(C42,0)</f>
        <v>0</v>
      </c>
      <c r="D50" s="276">
        <f t="shared" ref="D50:AP50" si="14">IFERROR(D42,0)</f>
        <v>0</v>
      </c>
      <c r="E50" s="276">
        <f t="shared" si="14"/>
        <v>0</v>
      </c>
      <c r="F50" s="276">
        <f t="shared" si="14"/>
        <v>0</v>
      </c>
      <c r="G50" s="276">
        <f t="shared" si="14"/>
        <v>0</v>
      </c>
      <c r="H50" s="276">
        <f t="shared" si="14"/>
        <v>0</v>
      </c>
      <c r="I50" s="276">
        <f t="shared" si="14"/>
        <v>0</v>
      </c>
      <c r="J50" s="276">
        <f t="shared" si="14"/>
        <v>0</v>
      </c>
      <c r="K50" s="276">
        <f t="shared" si="14"/>
        <v>0</v>
      </c>
      <c r="L50" s="276">
        <f t="shared" si="14"/>
        <v>0</v>
      </c>
      <c r="M50" s="276">
        <f t="shared" si="14"/>
        <v>0</v>
      </c>
      <c r="N50" s="276">
        <f t="shared" si="14"/>
        <v>0</v>
      </c>
      <c r="O50" s="276">
        <f t="shared" si="14"/>
        <v>0</v>
      </c>
      <c r="P50" s="276">
        <f t="shared" si="14"/>
        <v>0</v>
      </c>
      <c r="Q50" s="276">
        <f t="shared" si="14"/>
        <v>0</v>
      </c>
      <c r="R50" s="276">
        <f t="shared" si="14"/>
        <v>0</v>
      </c>
      <c r="S50" s="276">
        <f t="shared" si="14"/>
        <v>0</v>
      </c>
      <c r="T50" s="276">
        <f t="shared" si="14"/>
        <v>0</v>
      </c>
      <c r="U50" s="276">
        <f t="shared" si="14"/>
        <v>0</v>
      </c>
      <c r="V50" s="276">
        <f t="shared" si="14"/>
        <v>0</v>
      </c>
      <c r="W50" s="276">
        <f t="shared" si="14"/>
        <v>0</v>
      </c>
      <c r="X50" s="276">
        <f t="shared" si="14"/>
        <v>0</v>
      </c>
      <c r="Y50" s="276">
        <f t="shared" si="14"/>
        <v>0</v>
      </c>
      <c r="Z50" s="276">
        <f t="shared" si="14"/>
        <v>0</v>
      </c>
      <c r="AA50" s="276">
        <f t="shared" si="14"/>
        <v>0</v>
      </c>
      <c r="AB50" s="276">
        <f t="shared" si="14"/>
        <v>0</v>
      </c>
      <c r="AC50" s="276">
        <f t="shared" si="14"/>
        <v>0</v>
      </c>
      <c r="AD50" s="276">
        <f t="shared" si="14"/>
        <v>0</v>
      </c>
      <c r="AE50" s="276">
        <f t="shared" si="14"/>
        <v>0</v>
      </c>
      <c r="AF50" s="276">
        <f t="shared" si="14"/>
        <v>0</v>
      </c>
      <c r="AG50" s="276">
        <f t="shared" si="14"/>
        <v>0</v>
      </c>
      <c r="AH50" s="276">
        <f t="shared" si="14"/>
        <v>0</v>
      </c>
      <c r="AI50" s="276">
        <f t="shared" si="14"/>
        <v>0</v>
      </c>
      <c r="AJ50" s="276">
        <f t="shared" si="14"/>
        <v>0</v>
      </c>
      <c r="AK50" s="276">
        <f t="shared" si="14"/>
        <v>0</v>
      </c>
      <c r="AL50" s="276">
        <f t="shared" si="14"/>
        <v>0</v>
      </c>
      <c r="AM50" s="276">
        <f t="shared" si="14"/>
        <v>0</v>
      </c>
      <c r="AN50" s="276">
        <f t="shared" si="14"/>
        <v>0</v>
      </c>
      <c r="AO50" s="276">
        <f t="shared" si="14"/>
        <v>0</v>
      </c>
      <c r="AP50" s="276">
        <f t="shared" si="14"/>
        <v>0</v>
      </c>
    </row>
    <row r="51" spans="2:42">
      <c r="B51" s="225" t="s">
        <v>218</v>
      </c>
      <c r="C51" s="276">
        <f>IFERROR(C43,0)</f>
        <v>0</v>
      </c>
      <c r="D51" s="276">
        <f t="shared" ref="D51:AP51" si="15">IFERROR(D43,0)</f>
        <v>0</v>
      </c>
      <c r="E51" s="276">
        <f t="shared" si="15"/>
        <v>0</v>
      </c>
      <c r="F51" s="276">
        <f t="shared" si="15"/>
        <v>0</v>
      </c>
      <c r="G51" s="276">
        <f t="shared" si="15"/>
        <v>0</v>
      </c>
      <c r="H51" s="276">
        <f t="shared" si="15"/>
        <v>0</v>
      </c>
      <c r="I51" s="276">
        <f t="shared" si="15"/>
        <v>0</v>
      </c>
      <c r="J51" s="276">
        <f t="shared" si="15"/>
        <v>0</v>
      </c>
      <c r="K51" s="276">
        <f t="shared" si="15"/>
        <v>0</v>
      </c>
      <c r="L51" s="276">
        <f t="shared" si="15"/>
        <v>0</v>
      </c>
      <c r="M51" s="276">
        <f t="shared" si="15"/>
        <v>0</v>
      </c>
      <c r="N51" s="276">
        <f t="shared" si="15"/>
        <v>0</v>
      </c>
      <c r="O51" s="276">
        <f t="shared" si="15"/>
        <v>0</v>
      </c>
      <c r="P51" s="276">
        <f t="shared" si="15"/>
        <v>0</v>
      </c>
      <c r="Q51" s="276">
        <f t="shared" si="15"/>
        <v>0</v>
      </c>
      <c r="R51" s="276">
        <f t="shared" si="15"/>
        <v>0</v>
      </c>
      <c r="S51" s="276">
        <f t="shared" si="15"/>
        <v>0</v>
      </c>
      <c r="T51" s="276">
        <f t="shared" si="15"/>
        <v>0</v>
      </c>
      <c r="U51" s="276">
        <f t="shared" si="15"/>
        <v>0</v>
      </c>
      <c r="V51" s="276">
        <f t="shared" si="15"/>
        <v>0</v>
      </c>
      <c r="W51" s="276">
        <f t="shared" si="15"/>
        <v>0</v>
      </c>
      <c r="X51" s="276">
        <f t="shared" si="15"/>
        <v>0</v>
      </c>
      <c r="Y51" s="276">
        <f t="shared" si="15"/>
        <v>0</v>
      </c>
      <c r="Z51" s="276">
        <f t="shared" si="15"/>
        <v>0</v>
      </c>
      <c r="AA51" s="276">
        <f t="shared" si="15"/>
        <v>0</v>
      </c>
      <c r="AB51" s="276">
        <f t="shared" si="15"/>
        <v>0</v>
      </c>
      <c r="AC51" s="276">
        <f t="shared" si="15"/>
        <v>0</v>
      </c>
      <c r="AD51" s="276">
        <f t="shared" si="15"/>
        <v>0</v>
      </c>
      <c r="AE51" s="276">
        <f t="shared" si="15"/>
        <v>0</v>
      </c>
      <c r="AF51" s="276">
        <f t="shared" si="15"/>
        <v>0</v>
      </c>
      <c r="AG51" s="276">
        <f t="shared" si="15"/>
        <v>0</v>
      </c>
      <c r="AH51" s="276">
        <f t="shared" si="15"/>
        <v>0</v>
      </c>
      <c r="AI51" s="276">
        <f t="shared" si="15"/>
        <v>0</v>
      </c>
      <c r="AJ51" s="276">
        <f t="shared" si="15"/>
        <v>0</v>
      </c>
      <c r="AK51" s="276">
        <f t="shared" si="15"/>
        <v>0</v>
      </c>
      <c r="AL51" s="276">
        <f t="shared" si="15"/>
        <v>0</v>
      </c>
      <c r="AM51" s="276">
        <f t="shared" si="15"/>
        <v>0</v>
      </c>
      <c r="AN51" s="276">
        <f t="shared" si="15"/>
        <v>0</v>
      </c>
      <c r="AO51" s="276">
        <f t="shared" si="15"/>
        <v>0</v>
      </c>
      <c r="AP51" s="276">
        <f t="shared" si="15"/>
        <v>0</v>
      </c>
    </row>
    <row r="52" spans="2:42" ht="27.95">
      <c r="B52" s="278" t="s">
        <v>219</v>
      </c>
      <c r="C52" s="276">
        <f t="shared" ref="C52:AJ53" si="16">IFERROR(C44,0)</f>
        <v>0</v>
      </c>
      <c r="D52" s="276">
        <f t="shared" si="16"/>
        <v>0</v>
      </c>
      <c r="E52" s="276">
        <f t="shared" si="16"/>
        <v>0</v>
      </c>
      <c r="F52" s="276">
        <f t="shared" si="16"/>
        <v>0</v>
      </c>
      <c r="G52" s="276">
        <f t="shared" si="16"/>
        <v>0</v>
      </c>
      <c r="H52" s="276">
        <f t="shared" si="16"/>
        <v>0</v>
      </c>
      <c r="I52" s="276">
        <f t="shared" si="16"/>
        <v>0</v>
      </c>
      <c r="J52" s="276">
        <f t="shared" si="16"/>
        <v>0</v>
      </c>
      <c r="K52" s="276">
        <f t="shared" si="16"/>
        <v>0</v>
      </c>
      <c r="L52" s="276">
        <f t="shared" si="16"/>
        <v>0</v>
      </c>
      <c r="M52" s="276">
        <f t="shared" si="16"/>
        <v>0</v>
      </c>
      <c r="N52" s="276">
        <f t="shared" si="16"/>
        <v>0</v>
      </c>
      <c r="O52" s="276">
        <f t="shared" si="16"/>
        <v>0</v>
      </c>
      <c r="P52" s="276">
        <f t="shared" si="16"/>
        <v>0</v>
      </c>
      <c r="Q52" s="276">
        <f t="shared" si="16"/>
        <v>0</v>
      </c>
      <c r="R52" s="276">
        <f t="shared" si="16"/>
        <v>0</v>
      </c>
      <c r="S52" s="276">
        <f t="shared" si="16"/>
        <v>0</v>
      </c>
      <c r="T52" s="276">
        <f t="shared" si="16"/>
        <v>0</v>
      </c>
      <c r="U52" s="276">
        <f t="shared" si="16"/>
        <v>0</v>
      </c>
      <c r="V52" s="276">
        <f t="shared" si="16"/>
        <v>0</v>
      </c>
      <c r="W52" s="276">
        <f t="shared" si="16"/>
        <v>0</v>
      </c>
      <c r="X52" s="276">
        <f t="shared" si="16"/>
        <v>0</v>
      </c>
      <c r="Y52" s="276">
        <f t="shared" si="16"/>
        <v>0</v>
      </c>
      <c r="Z52" s="276">
        <f t="shared" si="16"/>
        <v>0</v>
      </c>
      <c r="AA52" s="276">
        <f t="shared" si="16"/>
        <v>0</v>
      </c>
      <c r="AB52" s="276">
        <f t="shared" si="16"/>
        <v>0</v>
      </c>
      <c r="AC52" s="276">
        <f t="shared" si="16"/>
        <v>0</v>
      </c>
      <c r="AD52" s="276">
        <f t="shared" si="16"/>
        <v>0</v>
      </c>
      <c r="AE52" s="276">
        <f t="shared" si="16"/>
        <v>0</v>
      </c>
      <c r="AF52" s="276">
        <f t="shared" si="16"/>
        <v>0</v>
      </c>
      <c r="AG52" s="276">
        <f t="shared" si="16"/>
        <v>0</v>
      </c>
      <c r="AH52" s="276">
        <f t="shared" si="16"/>
        <v>0</v>
      </c>
      <c r="AI52" s="276">
        <f t="shared" si="16"/>
        <v>0</v>
      </c>
      <c r="AJ52" s="276">
        <f t="shared" si="16"/>
        <v>0</v>
      </c>
      <c r="AK52" s="276">
        <f t="shared" ref="AK52:AL52" si="17">IFERROR(AK44,0)</f>
        <v>0</v>
      </c>
      <c r="AL52" s="276">
        <f t="shared" si="17"/>
        <v>0</v>
      </c>
      <c r="AM52" s="276">
        <f t="shared" ref="AM52:AP52" si="18">IFERROR(AM44,0)</f>
        <v>0</v>
      </c>
      <c r="AN52" s="276">
        <f t="shared" si="18"/>
        <v>0</v>
      </c>
      <c r="AO52" s="276">
        <f t="shared" si="18"/>
        <v>0</v>
      </c>
      <c r="AP52" s="277">
        <f t="shared" si="18"/>
        <v>0</v>
      </c>
    </row>
    <row r="53" spans="2:42" ht="14.45" thickBot="1">
      <c r="B53" s="279" t="s">
        <v>220</v>
      </c>
      <c r="C53" s="280">
        <f t="shared" si="16"/>
        <v>0</v>
      </c>
      <c r="D53" s="280">
        <f t="shared" si="16"/>
        <v>0</v>
      </c>
      <c r="E53" s="280">
        <f t="shared" si="16"/>
        <v>0</v>
      </c>
      <c r="F53" s="280">
        <f t="shared" si="16"/>
        <v>0</v>
      </c>
      <c r="G53" s="280">
        <f t="shared" si="16"/>
        <v>0</v>
      </c>
      <c r="H53" s="280">
        <f t="shared" si="16"/>
        <v>0</v>
      </c>
      <c r="I53" s="280">
        <f t="shared" si="16"/>
        <v>0</v>
      </c>
      <c r="J53" s="280">
        <f t="shared" si="16"/>
        <v>0</v>
      </c>
      <c r="K53" s="280">
        <f t="shared" si="16"/>
        <v>0</v>
      </c>
      <c r="L53" s="280">
        <f t="shared" si="16"/>
        <v>0</v>
      </c>
      <c r="M53" s="280">
        <f t="shared" si="16"/>
        <v>0</v>
      </c>
      <c r="N53" s="280">
        <f t="shared" si="16"/>
        <v>0</v>
      </c>
      <c r="O53" s="280">
        <f t="shared" si="16"/>
        <v>0</v>
      </c>
      <c r="P53" s="280">
        <f t="shared" si="16"/>
        <v>0</v>
      </c>
      <c r="Q53" s="280">
        <f t="shared" si="16"/>
        <v>0</v>
      </c>
      <c r="R53" s="280">
        <f t="shared" si="16"/>
        <v>0</v>
      </c>
      <c r="S53" s="280">
        <f t="shared" si="16"/>
        <v>0</v>
      </c>
      <c r="T53" s="280">
        <f t="shared" si="16"/>
        <v>0</v>
      </c>
      <c r="U53" s="280">
        <f t="shared" si="16"/>
        <v>0</v>
      </c>
      <c r="V53" s="280">
        <f t="shared" si="16"/>
        <v>0</v>
      </c>
      <c r="W53" s="280">
        <f t="shared" si="16"/>
        <v>0</v>
      </c>
      <c r="X53" s="280">
        <f t="shared" si="16"/>
        <v>0</v>
      </c>
      <c r="Y53" s="280">
        <f t="shared" si="16"/>
        <v>0</v>
      </c>
      <c r="Z53" s="280">
        <f t="shared" si="16"/>
        <v>0</v>
      </c>
      <c r="AA53" s="280">
        <f t="shared" si="16"/>
        <v>0</v>
      </c>
      <c r="AB53" s="280">
        <f t="shared" si="16"/>
        <v>0</v>
      </c>
      <c r="AC53" s="280">
        <f t="shared" si="16"/>
        <v>0</v>
      </c>
      <c r="AD53" s="280">
        <f t="shared" si="16"/>
        <v>0</v>
      </c>
      <c r="AE53" s="280">
        <f t="shared" si="16"/>
        <v>0</v>
      </c>
      <c r="AF53" s="280">
        <f t="shared" si="16"/>
        <v>0</v>
      </c>
      <c r="AG53" s="280">
        <f t="shared" si="16"/>
        <v>0</v>
      </c>
      <c r="AH53" s="280">
        <f t="shared" si="16"/>
        <v>0</v>
      </c>
      <c r="AI53" s="280">
        <f t="shared" si="16"/>
        <v>0</v>
      </c>
      <c r="AJ53" s="280">
        <f t="shared" si="16"/>
        <v>0</v>
      </c>
      <c r="AK53" s="280">
        <f t="shared" ref="AK53:AL53" si="19">IFERROR(AK45,0)</f>
        <v>0</v>
      </c>
      <c r="AL53" s="280">
        <f t="shared" si="19"/>
        <v>0</v>
      </c>
      <c r="AM53" s="280">
        <f t="shared" ref="AM53:AP53" si="20">IFERROR(AM45,0)</f>
        <v>0</v>
      </c>
      <c r="AN53" s="280">
        <f t="shared" si="20"/>
        <v>0</v>
      </c>
      <c r="AO53" s="280">
        <f t="shared" si="20"/>
        <v>0</v>
      </c>
      <c r="AP53" s="281">
        <f t="shared" si="20"/>
        <v>0</v>
      </c>
    </row>
    <row r="54" spans="2:42" ht="14.45" thickBot="1">
      <c r="B54" s="279" t="s">
        <v>221</v>
      </c>
      <c r="C54" s="280">
        <f>SUM(C48:C53)</f>
        <v>0</v>
      </c>
      <c r="D54" s="280">
        <f t="shared" ref="D54:AP54" si="21">SUM(D48:D53)</f>
        <v>0</v>
      </c>
      <c r="E54" s="280">
        <f t="shared" si="21"/>
        <v>0</v>
      </c>
      <c r="F54" s="280">
        <f t="shared" si="21"/>
        <v>0</v>
      </c>
      <c r="G54" s="280">
        <f t="shared" si="21"/>
        <v>0</v>
      </c>
      <c r="H54" s="280">
        <f t="shared" si="21"/>
        <v>0</v>
      </c>
      <c r="I54" s="280">
        <f t="shared" si="21"/>
        <v>0</v>
      </c>
      <c r="J54" s="280">
        <f t="shared" si="21"/>
        <v>0</v>
      </c>
      <c r="K54" s="280">
        <f t="shared" si="21"/>
        <v>0</v>
      </c>
      <c r="L54" s="280">
        <f t="shared" si="21"/>
        <v>0</v>
      </c>
      <c r="M54" s="280">
        <f t="shared" si="21"/>
        <v>0</v>
      </c>
      <c r="N54" s="280">
        <f t="shared" si="21"/>
        <v>0</v>
      </c>
      <c r="O54" s="280">
        <f t="shared" si="21"/>
        <v>0</v>
      </c>
      <c r="P54" s="280">
        <f t="shared" si="21"/>
        <v>0</v>
      </c>
      <c r="Q54" s="280">
        <f t="shared" si="21"/>
        <v>0</v>
      </c>
      <c r="R54" s="280">
        <f t="shared" si="21"/>
        <v>0</v>
      </c>
      <c r="S54" s="280">
        <f t="shared" si="21"/>
        <v>0</v>
      </c>
      <c r="T54" s="280">
        <f t="shared" si="21"/>
        <v>0</v>
      </c>
      <c r="U54" s="280">
        <f t="shared" si="21"/>
        <v>0</v>
      </c>
      <c r="V54" s="280">
        <f t="shared" si="21"/>
        <v>0</v>
      </c>
      <c r="W54" s="280">
        <f t="shared" si="21"/>
        <v>0</v>
      </c>
      <c r="X54" s="280">
        <f t="shared" si="21"/>
        <v>0</v>
      </c>
      <c r="Y54" s="280">
        <f t="shared" si="21"/>
        <v>0</v>
      </c>
      <c r="Z54" s="280">
        <f t="shared" si="21"/>
        <v>0</v>
      </c>
      <c r="AA54" s="280">
        <f t="shared" si="21"/>
        <v>0</v>
      </c>
      <c r="AB54" s="280">
        <f t="shared" si="21"/>
        <v>0</v>
      </c>
      <c r="AC54" s="280">
        <f t="shared" si="21"/>
        <v>0</v>
      </c>
      <c r="AD54" s="280">
        <f t="shared" si="21"/>
        <v>0</v>
      </c>
      <c r="AE54" s="280">
        <f t="shared" si="21"/>
        <v>0</v>
      </c>
      <c r="AF54" s="280">
        <f t="shared" si="21"/>
        <v>0</v>
      </c>
      <c r="AG54" s="280">
        <f t="shared" si="21"/>
        <v>0</v>
      </c>
      <c r="AH54" s="280">
        <f t="shared" si="21"/>
        <v>0</v>
      </c>
      <c r="AI54" s="280">
        <f t="shared" si="21"/>
        <v>0</v>
      </c>
      <c r="AJ54" s="280">
        <f t="shared" si="21"/>
        <v>0</v>
      </c>
      <c r="AK54" s="280">
        <f t="shared" si="21"/>
        <v>0</v>
      </c>
      <c r="AL54" s="280">
        <f t="shared" si="21"/>
        <v>0</v>
      </c>
      <c r="AM54" s="280">
        <f t="shared" si="21"/>
        <v>0</v>
      </c>
      <c r="AN54" s="280">
        <f t="shared" si="21"/>
        <v>0</v>
      </c>
      <c r="AO54" s="280">
        <f t="shared" si="21"/>
        <v>0</v>
      </c>
      <c r="AP54" s="280">
        <f t="shared" si="21"/>
        <v>0</v>
      </c>
    </row>
    <row r="55" spans="2:42">
      <c r="C55" s="282"/>
    </row>
  </sheetData>
  <sheetProtection algorithmName="SHA-512" hashValue="BJP0TN4thjQ2eXvM09WhaLt7FGokZ5+wzW1kT21dGWBiTRh2BKs29y9MR9LEhntPObKRfM1enoN24HqJtorE8A==" saltValue="gwkAZFgclX8auab1APx9bQ==" spinCount="100000" sheet="1" formatColumns="0" formatRows="0"/>
  <mergeCells count="5">
    <mergeCell ref="B2:AO2"/>
    <mergeCell ref="B4:O7"/>
    <mergeCell ref="B24:D28"/>
    <mergeCell ref="B9:G11"/>
    <mergeCell ref="I9:M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3D89-5E4A-41E5-BAE7-21232F1BCB38}">
  <sheetPr>
    <pageSetUpPr fitToPage="1"/>
  </sheetPr>
  <dimension ref="A1:AY1009"/>
  <sheetViews>
    <sheetView showGridLines="0" zoomScale="70" zoomScaleNormal="70" workbookViewId="0"/>
  </sheetViews>
  <sheetFormatPr defaultColWidth="12.625" defaultRowHeight="15" customHeight="1"/>
  <cols>
    <col min="1" max="1" width="2.875" style="290" customWidth="1"/>
    <col min="2" max="2" width="32.75" style="290" customWidth="1"/>
    <col min="3" max="3" width="13.5" style="290" bestFit="1" customWidth="1"/>
    <col min="4" max="4" width="15.875" style="290" customWidth="1"/>
    <col min="5" max="6" width="11.25" style="290" customWidth="1"/>
    <col min="7" max="7" width="12.5" style="290" customWidth="1"/>
    <col min="8" max="8" width="11.25" style="290" customWidth="1"/>
    <col min="9" max="9" width="17.875" style="290" customWidth="1"/>
    <col min="10" max="10" width="17" style="290" customWidth="1"/>
    <col min="11" max="22" width="11.25" style="290" customWidth="1"/>
    <col min="23" max="23" width="2.875" style="290" customWidth="1"/>
    <col min="24" max="27" width="8.5" style="290" hidden="1" customWidth="1"/>
    <col min="28" max="29" width="8.75" style="290" hidden="1" customWidth="1"/>
    <col min="30" max="31" width="8.125" style="290" hidden="1" customWidth="1"/>
    <col min="32" max="32" width="11.375" style="290" customWidth="1"/>
    <col min="33" max="49" width="8.75" style="290" customWidth="1"/>
    <col min="50" max="51" width="8.125" style="290" customWidth="1"/>
    <col min="52" max="16384" width="12.625" style="290"/>
  </cols>
  <sheetData>
    <row r="1" spans="1:51" ht="13.5" customHeight="1">
      <c r="A1" s="289"/>
      <c r="B1" s="289"/>
      <c r="C1" s="289"/>
      <c r="D1" s="289"/>
      <c r="E1" s="289"/>
      <c r="F1" s="289"/>
      <c r="G1" s="289"/>
      <c r="H1" s="289"/>
      <c r="I1" s="289"/>
      <c r="J1" s="289"/>
      <c r="K1" s="289"/>
      <c r="L1" s="289"/>
      <c r="M1" s="289"/>
      <c r="N1" s="289"/>
      <c r="O1" s="289"/>
      <c r="P1" s="289"/>
      <c r="Q1" s="289"/>
      <c r="R1" s="289"/>
      <c r="S1" s="289"/>
      <c r="T1" s="289"/>
      <c r="U1" s="289"/>
      <c r="V1" s="289"/>
      <c r="W1" s="289"/>
      <c r="X1" s="289"/>
      <c r="Y1" s="289"/>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row>
    <row r="2" spans="1:51" ht="38.450000000000003" customHeight="1">
      <c r="A2" s="289"/>
      <c r="B2" s="432" t="s">
        <v>222</v>
      </c>
      <c r="C2" s="457"/>
      <c r="D2" s="457"/>
      <c r="E2" s="457"/>
      <c r="F2" s="457"/>
      <c r="G2" s="457"/>
      <c r="H2" s="457"/>
      <c r="I2" s="457"/>
      <c r="J2" s="457"/>
      <c r="K2" s="457"/>
      <c r="L2" s="457"/>
      <c r="M2" s="457"/>
      <c r="N2" s="457"/>
      <c r="O2" s="457"/>
      <c r="P2" s="457"/>
      <c r="Q2" s="457"/>
      <c r="R2" s="457"/>
      <c r="S2" s="457"/>
      <c r="T2" s="457"/>
      <c r="U2" s="457"/>
      <c r="V2" s="457"/>
      <c r="W2" s="291"/>
      <c r="X2" s="291"/>
    </row>
    <row r="3" spans="1:51" ht="9" customHeight="1">
      <c r="A3" s="289"/>
      <c r="B3" s="292"/>
      <c r="C3" s="292"/>
      <c r="D3" s="292"/>
      <c r="E3" s="292"/>
      <c r="F3" s="292"/>
      <c r="G3" s="292"/>
      <c r="H3" s="292"/>
      <c r="I3" s="292"/>
      <c r="J3" s="292"/>
      <c r="K3" s="292"/>
      <c r="L3" s="292"/>
      <c r="M3" s="292"/>
      <c r="N3" s="292"/>
      <c r="O3" s="292"/>
      <c r="P3" s="289"/>
      <c r="Q3" s="289"/>
      <c r="R3" s="289"/>
      <c r="S3" s="289"/>
      <c r="T3" s="289"/>
      <c r="U3" s="289"/>
      <c r="V3" s="289"/>
      <c r="W3" s="289"/>
      <c r="X3" s="289"/>
      <c r="Y3" s="289"/>
      <c r="Z3" s="289"/>
      <c r="AA3" s="289"/>
      <c r="AB3" s="289"/>
      <c r="AC3" s="289"/>
      <c r="AD3" s="289"/>
      <c r="AE3" s="289"/>
      <c r="AF3" s="289"/>
      <c r="AG3" s="289"/>
      <c r="AH3" s="289"/>
      <c r="AI3" s="289"/>
      <c r="AJ3" s="289"/>
      <c r="AK3" s="289"/>
      <c r="AL3" s="289"/>
      <c r="AM3" s="289"/>
      <c r="AN3" s="289"/>
      <c r="AO3" s="289"/>
      <c r="AP3" s="289"/>
      <c r="AQ3" s="289"/>
      <c r="AR3" s="289"/>
      <c r="AS3" s="289"/>
      <c r="AT3" s="289"/>
      <c r="AU3" s="289"/>
      <c r="AV3" s="289"/>
      <c r="AW3" s="289"/>
      <c r="AX3" s="289"/>
      <c r="AY3" s="289"/>
    </row>
    <row r="4" spans="1:51" ht="13.5" customHeight="1">
      <c r="A4" s="289"/>
      <c r="B4" s="433" t="s">
        <v>223</v>
      </c>
      <c r="C4" s="434"/>
      <c r="D4" s="434"/>
      <c r="E4" s="434"/>
      <c r="F4" s="434"/>
      <c r="G4" s="434"/>
      <c r="H4" s="434"/>
      <c r="I4" s="434"/>
      <c r="J4" s="434"/>
      <c r="K4" s="434"/>
      <c r="L4" s="434"/>
      <c r="M4" s="434"/>
      <c r="N4" s="434"/>
      <c r="O4" s="434"/>
      <c r="P4" s="434"/>
      <c r="Q4" s="434"/>
      <c r="R4" s="434"/>
      <c r="S4" s="434"/>
      <c r="T4" s="434"/>
      <c r="U4" s="434"/>
      <c r="V4" s="435"/>
      <c r="W4" s="293"/>
      <c r="X4" s="293"/>
      <c r="Y4" s="294"/>
      <c r="Z4" s="294"/>
      <c r="AA4" s="294"/>
      <c r="AB4" s="294"/>
      <c r="AC4" s="294"/>
      <c r="AD4" s="294"/>
      <c r="AE4" s="294"/>
      <c r="AF4" s="294"/>
      <c r="AG4" s="294"/>
      <c r="AH4" s="294"/>
      <c r="AI4" s="294"/>
      <c r="AJ4" s="294"/>
      <c r="AK4" s="294"/>
      <c r="AL4" s="294"/>
      <c r="AM4" s="294"/>
      <c r="AN4" s="294"/>
      <c r="AO4" s="294"/>
      <c r="AP4" s="294"/>
      <c r="AQ4" s="294"/>
      <c r="AR4" s="294"/>
      <c r="AS4" s="294"/>
      <c r="AT4" s="294"/>
      <c r="AU4" s="294"/>
      <c r="AV4" s="294"/>
      <c r="AW4" s="294"/>
      <c r="AX4" s="294"/>
      <c r="AY4" s="294"/>
    </row>
    <row r="5" spans="1:51" ht="14.1">
      <c r="A5" s="289"/>
      <c r="B5" s="436"/>
      <c r="C5" s="437"/>
      <c r="D5" s="437"/>
      <c r="E5" s="437"/>
      <c r="F5" s="437"/>
      <c r="G5" s="437"/>
      <c r="H5" s="437"/>
      <c r="I5" s="437"/>
      <c r="J5" s="437"/>
      <c r="K5" s="437"/>
      <c r="L5" s="437"/>
      <c r="M5" s="437"/>
      <c r="N5" s="437"/>
      <c r="O5" s="437"/>
      <c r="P5" s="437"/>
      <c r="Q5" s="437"/>
      <c r="R5" s="437"/>
      <c r="S5" s="437"/>
      <c r="T5" s="437"/>
      <c r="U5" s="437"/>
      <c r="V5" s="438"/>
      <c r="W5" s="293"/>
      <c r="X5" s="293"/>
      <c r="Y5" s="294"/>
      <c r="Z5" s="294"/>
      <c r="AA5" s="294"/>
      <c r="AB5" s="294"/>
      <c r="AC5" s="294"/>
      <c r="AD5" s="294"/>
      <c r="AE5" s="294"/>
      <c r="AF5" s="294"/>
      <c r="AG5" s="294"/>
      <c r="AH5" s="294"/>
      <c r="AI5" s="294"/>
      <c r="AJ5" s="294"/>
      <c r="AK5" s="294"/>
      <c r="AL5" s="294"/>
      <c r="AM5" s="294"/>
      <c r="AN5" s="294"/>
      <c r="AO5" s="294"/>
      <c r="AP5" s="294"/>
      <c r="AQ5" s="294"/>
      <c r="AR5" s="294"/>
      <c r="AS5" s="294"/>
      <c r="AT5" s="294"/>
      <c r="AU5" s="294"/>
      <c r="AV5" s="294"/>
      <c r="AW5" s="294"/>
      <c r="AX5" s="294"/>
      <c r="AY5" s="294"/>
    </row>
    <row r="6" spans="1:51" ht="13.5" customHeight="1">
      <c r="A6" s="289"/>
      <c r="B6" s="295"/>
      <c r="C6" s="295"/>
      <c r="D6" s="295"/>
      <c r="E6" s="295"/>
      <c r="F6" s="295"/>
      <c r="G6" s="295"/>
      <c r="H6" s="295"/>
      <c r="I6" s="295"/>
      <c r="J6" s="295"/>
      <c r="K6" s="295"/>
      <c r="L6" s="295"/>
      <c r="M6" s="295"/>
      <c r="N6" s="295"/>
      <c r="O6" s="295"/>
      <c r="P6" s="289"/>
      <c r="Q6" s="289"/>
      <c r="R6" s="289"/>
      <c r="S6" s="289"/>
      <c r="T6" s="289"/>
      <c r="U6" s="289"/>
      <c r="V6" s="289"/>
      <c r="W6" s="289"/>
      <c r="X6" s="289"/>
      <c r="Y6" s="289"/>
      <c r="Z6" s="289"/>
      <c r="AA6" s="289"/>
      <c r="AB6" s="289"/>
      <c r="AC6" s="289"/>
      <c r="AD6" s="289"/>
      <c r="AE6" s="289"/>
      <c r="AF6" s="289"/>
      <c r="AG6" s="289"/>
      <c r="AH6" s="289"/>
      <c r="AI6" s="289"/>
      <c r="AJ6" s="289"/>
      <c r="AK6" s="289"/>
      <c r="AL6" s="289"/>
      <c r="AM6" s="289"/>
      <c r="AN6" s="289"/>
      <c r="AO6" s="289"/>
      <c r="AP6" s="289"/>
      <c r="AQ6" s="289"/>
      <c r="AR6" s="289"/>
      <c r="AS6" s="289"/>
      <c r="AT6" s="289"/>
      <c r="AU6" s="289"/>
      <c r="AV6" s="289"/>
      <c r="AW6" s="289"/>
      <c r="AX6" s="289"/>
      <c r="AY6" s="289"/>
    </row>
    <row r="7" spans="1:51" ht="13.5" customHeight="1">
      <c r="A7" s="289"/>
      <c r="B7" s="429" t="s">
        <v>110</v>
      </c>
      <c r="C7" s="457"/>
      <c r="D7" s="457"/>
      <c r="E7" s="457"/>
      <c r="F7" s="457"/>
      <c r="G7" s="457"/>
      <c r="H7" s="457"/>
      <c r="I7" s="457"/>
      <c r="J7" s="457"/>
      <c r="K7" s="457"/>
      <c r="L7" s="457"/>
      <c r="M7" s="457"/>
      <c r="N7" s="457"/>
      <c r="O7" s="457"/>
      <c r="P7" s="457"/>
      <c r="Q7" s="457"/>
      <c r="R7" s="457"/>
      <c r="S7" s="457"/>
      <c r="T7" s="457"/>
      <c r="U7" s="457"/>
      <c r="V7" s="457"/>
      <c r="W7" s="296"/>
      <c r="X7" s="296"/>
      <c r="Y7" s="289"/>
      <c r="Z7" s="289"/>
      <c r="AA7" s="289"/>
      <c r="AB7" s="289"/>
      <c r="AC7" s="289"/>
      <c r="AD7" s="289"/>
      <c r="AE7" s="289"/>
      <c r="AF7" s="289"/>
      <c r="AG7" s="289"/>
      <c r="AH7" s="289"/>
      <c r="AI7" s="289"/>
      <c r="AJ7" s="289"/>
      <c r="AK7" s="289"/>
      <c r="AL7" s="289"/>
      <c r="AM7" s="289"/>
      <c r="AN7" s="289"/>
      <c r="AO7" s="289"/>
      <c r="AP7" s="289"/>
      <c r="AQ7" s="289"/>
      <c r="AR7" s="289"/>
      <c r="AS7" s="289"/>
      <c r="AT7" s="289"/>
      <c r="AU7" s="289"/>
      <c r="AV7" s="289"/>
      <c r="AW7" s="289"/>
      <c r="AX7" s="289"/>
      <c r="AY7" s="289"/>
    </row>
    <row r="8" spans="1:51" ht="3" customHeight="1">
      <c r="A8" s="289"/>
      <c r="B8" s="297"/>
      <c r="C8" s="297"/>
      <c r="D8" s="297"/>
      <c r="E8" s="297"/>
      <c r="F8" s="297"/>
      <c r="G8" s="297"/>
      <c r="H8" s="297"/>
      <c r="I8" s="297"/>
      <c r="J8" s="297"/>
      <c r="K8" s="297"/>
      <c r="L8" s="297"/>
      <c r="M8" s="297"/>
      <c r="N8" s="297"/>
      <c r="O8" s="297"/>
      <c r="P8" s="289"/>
      <c r="Q8" s="289"/>
      <c r="R8" s="289"/>
      <c r="S8" s="289"/>
      <c r="T8" s="289"/>
      <c r="U8" s="289"/>
      <c r="V8" s="289"/>
      <c r="W8" s="289"/>
      <c r="X8" s="289"/>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X8" s="289"/>
      <c r="AY8" s="289"/>
    </row>
    <row r="9" spans="1:51" ht="13.5" customHeight="1">
      <c r="A9" s="289"/>
      <c r="B9" s="9" t="s">
        <v>111</v>
      </c>
      <c r="C9" s="299">
        <f>'3. Repayment Calc Template'!C9</f>
        <v>0</v>
      </c>
      <c r="D9" s="297"/>
      <c r="E9" s="297"/>
      <c r="F9" s="297"/>
      <c r="G9" s="297"/>
      <c r="H9" s="297"/>
      <c r="I9" s="297"/>
      <c r="J9" s="297"/>
      <c r="K9" s="297"/>
      <c r="L9" s="297"/>
      <c r="M9" s="297"/>
      <c r="N9" s="297"/>
      <c r="O9" s="297"/>
      <c r="P9" s="289"/>
      <c r="Q9" s="289"/>
      <c r="R9" s="289"/>
      <c r="S9" s="289"/>
      <c r="T9" s="289"/>
      <c r="U9" s="289"/>
      <c r="V9" s="289"/>
      <c r="W9" s="289"/>
      <c r="X9" s="289"/>
      <c r="Y9" s="289"/>
      <c r="Z9" s="289"/>
      <c r="AA9" s="289"/>
      <c r="AB9" s="289"/>
      <c r="AC9" s="289"/>
      <c r="AD9" s="289"/>
      <c r="AE9" s="289"/>
      <c r="AF9" s="289"/>
      <c r="AG9" s="289"/>
      <c r="AH9" s="289"/>
      <c r="AI9" s="289"/>
      <c r="AJ9" s="289"/>
      <c r="AK9" s="289"/>
      <c r="AL9" s="289"/>
      <c r="AM9" s="289"/>
      <c r="AN9" s="289"/>
      <c r="AO9" s="289"/>
      <c r="AP9" s="289"/>
      <c r="AQ9" s="289"/>
      <c r="AR9" s="289"/>
      <c r="AS9" s="289"/>
      <c r="AT9" s="289"/>
      <c r="AU9" s="289"/>
      <c r="AV9" s="289"/>
      <c r="AW9" s="289"/>
      <c r="AX9" s="289"/>
      <c r="AY9" s="289"/>
    </row>
    <row r="10" spans="1:51" ht="13.5" customHeight="1">
      <c r="A10" s="289"/>
      <c r="B10" s="298" t="s">
        <v>112</v>
      </c>
      <c r="C10" s="299">
        <f>'3. Repayment Calc Template'!C10</f>
        <v>0</v>
      </c>
      <c r="E10" s="289"/>
      <c r="F10" s="439" t="s">
        <v>113</v>
      </c>
      <c r="G10" s="458"/>
      <c r="H10" s="289"/>
      <c r="I10" s="439" t="s">
        <v>114</v>
      </c>
      <c r="J10" s="458"/>
      <c r="K10" s="289"/>
      <c r="L10" s="300" t="s">
        <v>115</v>
      </c>
      <c r="M10" s="289"/>
      <c r="N10" s="289"/>
      <c r="O10" s="289"/>
      <c r="P10" s="289"/>
      <c r="Q10" s="289"/>
      <c r="R10" s="289"/>
      <c r="S10" s="289"/>
      <c r="T10" s="289"/>
      <c r="U10" s="289"/>
      <c r="V10" s="289"/>
      <c r="W10" s="289"/>
      <c r="X10" s="289"/>
      <c r="AD10" s="290">
        <v>1</v>
      </c>
      <c r="AE10" s="290" t="s">
        <v>116</v>
      </c>
    </row>
    <row r="11" spans="1:51" ht="13.5" customHeight="1">
      <c r="A11" s="289"/>
      <c r="B11" s="289"/>
      <c r="C11" s="301" t="s">
        <v>117</v>
      </c>
      <c r="D11" s="302" t="s">
        <v>118</v>
      </c>
      <c r="E11" s="289"/>
      <c r="F11" s="349" t="s">
        <v>119</v>
      </c>
      <c r="G11" s="350">
        <f>'3. Repayment Calc Template'!G11</f>
        <v>0</v>
      </c>
      <c r="H11" s="289"/>
      <c r="I11" s="349" t="s">
        <v>119</v>
      </c>
      <c r="J11" s="350">
        <f>G11</f>
        <v>0</v>
      </c>
      <c r="K11" s="289"/>
      <c r="L11" s="300" t="s">
        <v>120</v>
      </c>
      <c r="M11" s="363">
        <v>0.03</v>
      </c>
      <c r="N11" s="289"/>
      <c r="O11" s="289"/>
      <c r="P11" s="289"/>
      <c r="Q11" s="289"/>
      <c r="R11" s="289"/>
      <c r="S11" s="289"/>
      <c r="T11" s="289"/>
      <c r="U11" s="289"/>
      <c r="V11" s="289"/>
      <c r="W11" s="289"/>
      <c r="X11" s="289"/>
      <c r="AD11" s="290">
        <v>2</v>
      </c>
      <c r="AE11" s="290" t="s">
        <v>121</v>
      </c>
    </row>
    <row r="12" spans="1:51" ht="13.5" customHeight="1">
      <c r="A12" s="289"/>
      <c r="B12" s="298" t="s">
        <v>122</v>
      </c>
      <c r="C12" s="304">
        <f>'3. Repayment Calc Template'!C12</f>
        <v>0</v>
      </c>
      <c r="D12" s="305" t="str">
        <f>IFERROR(VLOOKUP(C12,AD:AE,2,FALSE),"")</f>
        <v/>
      </c>
      <c r="E12" s="289"/>
      <c r="F12" s="349" t="s">
        <v>123</v>
      </c>
      <c r="G12" s="350">
        <f>'3. Repayment Calc Template'!G12</f>
        <v>0</v>
      </c>
      <c r="H12" s="289"/>
      <c r="I12" s="349" t="s">
        <v>123</v>
      </c>
      <c r="J12" s="350">
        <f>+J11+G12</f>
        <v>0</v>
      </c>
      <c r="K12" s="289"/>
      <c r="L12" s="300" t="s">
        <v>124</v>
      </c>
      <c r="M12" s="364">
        <v>7.4999999999999997E-3</v>
      </c>
      <c r="N12" s="289"/>
      <c r="O12" s="289"/>
      <c r="P12" s="289"/>
      <c r="Q12" s="289"/>
      <c r="R12" s="289"/>
      <c r="S12" s="289"/>
      <c r="T12" s="289"/>
      <c r="U12" s="289"/>
      <c r="V12" s="289"/>
      <c r="W12" s="289"/>
      <c r="X12" s="289"/>
      <c r="AD12" s="290">
        <v>3</v>
      </c>
      <c r="AE12" s="290" t="s">
        <v>125</v>
      </c>
    </row>
    <row r="13" spans="1:51" ht="13.5" customHeight="1">
      <c r="A13" s="289"/>
      <c r="B13" s="298" t="s">
        <v>126</v>
      </c>
      <c r="C13" s="304">
        <f>'3. Repayment Calc Template'!C13</f>
        <v>0</v>
      </c>
      <c r="D13" s="305" t="str">
        <f>IFERROR(VLOOKUP(C13,AD:AE,2,FALSE),"")</f>
        <v/>
      </c>
      <c r="E13" s="289"/>
      <c r="F13" s="349" t="s">
        <v>127</v>
      </c>
      <c r="G13" s="350">
        <f>'3. Repayment Calc Template'!G13</f>
        <v>0</v>
      </c>
      <c r="H13" s="289"/>
      <c r="I13" s="349" t="s">
        <v>127</v>
      </c>
      <c r="J13" s="350">
        <f t="shared" ref="J13" si="0">+J12+G13</f>
        <v>0</v>
      </c>
      <c r="K13" s="289"/>
      <c r="L13" s="300" t="s">
        <v>128</v>
      </c>
      <c r="M13" s="289"/>
      <c r="N13" s="289"/>
      <c r="O13" s="289"/>
      <c r="P13" s="289"/>
      <c r="Q13" s="289"/>
      <c r="R13" s="289"/>
      <c r="S13" s="289"/>
      <c r="T13" s="289"/>
      <c r="U13" s="289"/>
      <c r="V13" s="289"/>
      <c r="W13" s="289"/>
      <c r="X13" s="289"/>
      <c r="AD13" s="290">
        <v>4</v>
      </c>
      <c r="AE13" s="290" t="s">
        <v>129</v>
      </c>
    </row>
    <row r="14" spans="1:51" ht="13.5" customHeight="1">
      <c r="A14" s="289"/>
      <c r="B14" s="298" t="s">
        <v>130</v>
      </c>
      <c r="C14" s="304">
        <f>'3. Repayment Calc Template'!C14</f>
        <v>0</v>
      </c>
      <c r="D14" s="305" t="str">
        <f>IFERROR(VLOOKUP(C14,AD:AE,2,FALSE),"")</f>
        <v/>
      </c>
      <c r="E14" s="289"/>
      <c r="F14" s="349" t="s">
        <v>131</v>
      </c>
      <c r="G14" s="350">
        <f>'3. Repayment Calc Template'!G14</f>
        <v>0</v>
      </c>
      <c r="H14" s="289"/>
      <c r="I14" s="349" t="s">
        <v>131</v>
      </c>
      <c r="J14" s="350">
        <f>+J13+G14</f>
        <v>0</v>
      </c>
      <c r="K14" s="289"/>
      <c r="L14" s="300" t="s">
        <v>132</v>
      </c>
      <c r="M14" s="126">
        <v>0.1424</v>
      </c>
      <c r="N14" s="11" t="s">
        <v>133</v>
      </c>
      <c r="O14" s="289"/>
      <c r="P14" s="289"/>
      <c r="Q14" s="289"/>
      <c r="R14" s="289"/>
      <c r="S14" s="289"/>
      <c r="T14" s="289"/>
      <c r="U14" s="289"/>
      <c r="V14" s="289"/>
      <c r="W14" s="289"/>
      <c r="X14" s="289"/>
      <c r="AD14" s="290">
        <v>5</v>
      </c>
      <c r="AE14" s="290" t="s">
        <v>134</v>
      </c>
    </row>
    <row r="15" spans="1:51" ht="13.5" customHeight="1">
      <c r="A15" s="289"/>
      <c r="B15" s="307" t="s">
        <v>135</v>
      </c>
      <c r="C15" s="308">
        <f>C14</f>
        <v>0</v>
      </c>
      <c r="D15" s="440" t="str">
        <f>IF(SUM(C12:C14)&gt;28,"Total loan term exceeds 7 years","")</f>
        <v/>
      </c>
      <c r="E15" s="289"/>
      <c r="F15" s="349" t="s">
        <v>136</v>
      </c>
      <c r="G15" s="350">
        <f>'3. Repayment Calc Template'!G15</f>
        <v>0</v>
      </c>
      <c r="H15" s="289"/>
      <c r="I15" s="349" t="s">
        <v>136</v>
      </c>
      <c r="J15" s="350">
        <f>+J14+G15</f>
        <v>0</v>
      </c>
      <c r="K15" s="289"/>
      <c r="L15" s="303" t="s">
        <v>11</v>
      </c>
      <c r="M15" s="309">
        <f>M16+M17</f>
        <v>7.3999999999999996E-2</v>
      </c>
      <c r="N15" s="310"/>
      <c r="O15" s="289"/>
      <c r="P15" s="289"/>
      <c r="Q15" s="289"/>
      <c r="R15" s="289"/>
      <c r="S15" s="289"/>
      <c r="T15" s="289"/>
      <c r="U15" s="289"/>
      <c r="V15" s="289"/>
      <c r="W15" s="289"/>
      <c r="X15" s="289"/>
      <c r="AD15" s="290">
        <v>6</v>
      </c>
      <c r="AE15" s="290" t="s">
        <v>137</v>
      </c>
    </row>
    <row r="16" spans="1:51" ht="13.5" customHeight="1">
      <c r="A16" s="289"/>
      <c r="B16" s="307"/>
      <c r="C16" s="308"/>
      <c r="D16" s="440"/>
      <c r="E16" s="289"/>
      <c r="F16" s="349" t="s">
        <v>138</v>
      </c>
      <c r="G16" s="350">
        <f>'3. Repayment Calc Template'!G16</f>
        <v>0</v>
      </c>
      <c r="H16" s="289"/>
      <c r="I16" s="349" t="s">
        <v>138</v>
      </c>
      <c r="J16" s="350">
        <f>+J15+G16</f>
        <v>0</v>
      </c>
      <c r="K16" s="289"/>
      <c r="L16" s="289" t="s">
        <v>139</v>
      </c>
      <c r="M16" s="306">
        <v>3.6999999999999998E-2</v>
      </c>
      <c r="N16" s="310"/>
      <c r="O16" s="289"/>
      <c r="P16" s="289"/>
      <c r="Q16" s="289"/>
      <c r="R16" s="289"/>
      <c r="S16" s="289"/>
      <c r="T16" s="289"/>
      <c r="U16" s="289"/>
      <c r="V16" s="289"/>
      <c r="W16" s="289"/>
      <c r="X16" s="289"/>
    </row>
    <row r="17" spans="1:31" ht="13.5" customHeight="1">
      <c r="A17" s="289"/>
      <c r="B17" s="289"/>
      <c r="C17" s="289"/>
      <c r="D17" s="289"/>
      <c r="E17" s="289"/>
      <c r="F17" s="349" t="s">
        <v>140</v>
      </c>
      <c r="G17" s="350">
        <f>'3. Repayment Calc Template'!G17</f>
        <v>0</v>
      </c>
      <c r="H17" s="289"/>
      <c r="I17" s="349" t="s">
        <v>140</v>
      </c>
      <c r="J17" s="350">
        <f>+J16+G17</f>
        <v>0</v>
      </c>
      <c r="K17" s="289"/>
      <c r="L17" s="289" t="s">
        <v>141</v>
      </c>
      <c r="M17" s="306">
        <v>3.6999999999999998E-2</v>
      </c>
      <c r="N17" s="289"/>
      <c r="O17" s="289"/>
      <c r="P17" s="289"/>
      <c r="Q17" s="289"/>
      <c r="R17" s="289"/>
      <c r="S17" s="289"/>
      <c r="T17" s="289"/>
      <c r="U17" s="289"/>
      <c r="V17" s="289"/>
      <c r="W17" s="289"/>
      <c r="X17" s="289"/>
      <c r="AD17" s="290">
        <v>7</v>
      </c>
      <c r="AE17" s="290" t="s">
        <v>142</v>
      </c>
    </row>
    <row r="18" spans="1:31" ht="13.5" customHeight="1">
      <c r="A18" s="289"/>
      <c r="B18" s="298" t="s">
        <v>143</v>
      </c>
      <c r="C18" s="298" t="s">
        <v>224</v>
      </c>
      <c r="D18" s="298" t="s">
        <v>145</v>
      </c>
      <c r="E18" s="289"/>
      <c r="F18" s="349" t="s">
        <v>146</v>
      </c>
      <c r="G18" s="350">
        <f>'3. Repayment Calc Template'!G18</f>
        <v>0</v>
      </c>
      <c r="H18" s="289"/>
      <c r="I18" s="349" t="s">
        <v>146</v>
      </c>
      <c r="J18" s="350">
        <f>+J17+G18</f>
        <v>0</v>
      </c>
      <c r="K18" s="289"/>
      <c r="L18" s="289"/>
      <c r="M18" s="289"/>
      <c r="N18" s="289"/>
      <c r="O18" s="289"/>
      <c r="P18" s="289"/>
      <c r="Q18" s="289"/>
      <c r="R18" s="289"/>
      <c r="S18" s="289"/>
      <c r="T18" s="289"/>
      <c r="U18" s="289"/>
      <c r="V18" s="289"/>
      <c r="W18" s="289"/>
      <c r="X18" s="289"/>
      <c r="AD18" s="290">
        <v>8</v>
      </c>
      <c r="AE18" s="290" t="s">
        <v>147</v>
      </c>
    </row>
    <row r="19" spans="1:31" ht="13.5" customHeight="1">
      <c r="A19" s="289"/>
      <c r="B19" s="298" t="s">
        <v>148</v>
      </c>
      <c r="C19" s="311">
        <f>(M14*91.25/365)</f>
        <v>3.56E-2</v>
      </c>
      <c r="D19" s="311">
        <v>0</v>
      </c>
      <c r="E19" s="289"/>
      <c r="F19" s="349" t="s">
        <v>149</v>
      </c>
      <c r="G19" s="350">
        <f>'3. Repayment Calc Template'!G19</f>
        <v>0</v>
      </c>
      <c r="H19" s="289"/>
      <c r="I19" s="349" t="s">
        <v>149</v>
      </c>
      <c r="J19" s="350">
        <f t="shared" ref="J19:J22" si="1">+J18+G19</f>
        <v>0</v>
      </c>
      <c r="N19" s="289"/>
      <c r="O19" s="289"/>
      <c r="P19" s="289"/>
      <c r="Q19" s="289"/>
      <c r="R19" s="289"/>
      <c r="S19" s="289"/>
      <c r="T19" s="289"/>
      <c r="U19" s="289"/>
      <c r="V19" s="289"/>
      <c r="W19" s="289"/>
      <c r="X19" s="289"/>
      <c r="AD19" s="290">
        <v>9</v>
      </c>
      <c r="AE19" s="290" t="s">
        <v>150</v>
      </c>
    </row>
    <row r="20" spans="1:31" ht="13.5" customHeight="1">
      <c r="A20" s="289"/>
      <c r="B20" s="298" t="s">
        <v>126</v>
      </c>
      <c r="C20" s="311">
        <f>(M14*91.25/365)</f>
        <v>3.56E-2</v>
      </c>
      <c r="D20" s="311">
        <v>0</v>
      </c>
      <c r="E20" s="289"/>
      <c r="F20" s="349" t="s">
        <v>151</v>
      </c>
      <c r="G20" s="350">
        <f>'3. Repayment Calc Template'!G20</f>
        <v>0</v>
      </c>
      <c r="H20" s="289"/>
      <c r="I20" s="349" t="s">
        <v>151</v>
      </c>
      <c r="J20" s="350">
        <f t="shared" si="1"/>
        <v>0</v>
      </c>
      <c r="N20" s="289"/>
      <c r="O20" s="289"/>
      <c r="P20" s="289"/>
      <c r="Q20" s="289"/>
      <c r="R20" s="289"/>
      <c r="S20" s="289"/>
      <c r="T20" s="289"/>
      <c r="U20" s="289"/>
      <c r="V20" s="289"/>
      <c r="W20" s="289"/>
      <c r="X20" s="289"/>
      <c r="AD20" s="290">
        <v>10</v>
      </c>
      <c r="AE20" s="290" t="s">
        <v>152</v>
      </c>
    </row>
    <row r="21" spans="1:31" ht="13.5" customHeight="1">
      <c r="A21" s="289"/>
      <c r="B21" s="298" t="s">
        <v>130</v>
      </c>
      <c r="C21" s="311">
        <f>(M14*91.25/365)</f>
        <v>3.56E-2</v>
      </c>
      <c r="D21" s="311">
        <v>0</v>
      </c>
      <c r="E21" s="289"/>
      <c r="F21" s="349" t="s">
        <v>153</v>
      </c>
      <c r="G21" s="350">
        <f>'3. Repayment Calc Template'!G21</f>
        <v>0</v>
      </c>
      <c r="H21" s="289"/>
      <c r="I21" s="349" t="s">
        <v>153</v>
      </c>
      <c r="J21" s="350">
        <f t="shared" si="1"/>
        <v>0</v>
      </c>
      <c r="N21" s="289"/>
      <c r="O21" s="289"/>
      <c r="P21" s="289"/>
      <c r="Q21" s="289"/>
      <c r="R21" s="289"/>
      <c r="S21" s="289"/>
      <c r="T21" s="289"/>
      <c r="U21" s="289"/>
      <c r="V21" s="289"/>
      <c r="W21" s="289"/>
      <c r="X21" s="289"/>
      <c r="AD21" s="290">
        <v>11</v>
      </c>
      <c r="AE21" s="290" t="s">
        <v>154</v>
      </c>
    </row>
    <row r="22" spans="1:31" ht="13.5" customHeight="1">
      <c r="A22" s="289"/>
      <c r="D22" s="289"/>
      <c r="E22" s="289"/>
      <c r="F22" s="349" t="s">
        <v>155</v>
      </c>
      <c r="G22" s="350">
        <f>'3. Repayment Calc Template'!G22</f>
        <v>0</v>
      </c>
      <c r="H22" s="289"/>
      <c r="I22" s="349" t="s">
        <v>155</v>
      </c>
      <c r="J22" s="350">
        <f t="shared" si="1"/>
        <v>0</v>
      </c>
      <c r="K22" s="289"/>
      <c r="L22" s="289"/>
      <c r="M22" s="289"/>
      <c r="N22" s="289"/>
      <c r="O22" s="289"/>
      <c r="P22" s="289"/>
      <c r="Q22" s="289"/>
      <c r="R22" s="289"/>
      <c r="S22" s="289"/>
      <c r="T22" s="289"/>
      <c r="U22" s="289"/>
      <c r="V22" s="289"/>
      <c r="W22" s="289"/>
      <c r="X22" s="289"/>
      <c r="AD22" s="290">
        <v>12</v>
      </c>
      <c r="AE22" s="290" t="s">
        <v>156</v>
      </c>
    </row>
    <row r="23" spans="1:31" ht="13.5" customHeight="1">
      <c r="A23" s="289"/>
      <c r="B23" s="298" t="s">
        <v>157</v>
      </c>
      <c r="C23" s="312">
        <f>SUM(C47:J48)+SUM(C38:N40)+SUM(C57:V57)</f>
        <v>0</v>
      </c>
      <c r="D23" s="289"/>
      <c r="E23" s="289"/>
      <c r="F23" s="289"/>
      <c r="G23" s="289"/>
      <c r="H23" s="289"/>
      <c r="I23" s="289"/>
      <c r="J23" s="289"/>
      <c r="K23" s="289"/>
      <c r="L23" s="289"/>
      <c r="M23" s="289"/>
      <c r="N23" s="289"/>
      <c r="O23" s="289"/>
      <c r="P23" s="289"/>
      <c r="Q23" s="289"/>
      <c r="R23" s="289"/>
      <c r="S23" s="289"/>
      <c r="T23" s="289"/>
      <c r="U23" s="289"/>
      <c r="V23" s="289"/>
      <c r="W23" s="289"/>
      <c r="X23" s="289"/>
      <c r="AD23" s="290">
        <v>13</v>
      </c>
      <c r="AE23" s="290" t="s">
        <v>158</v>
      </c>
    </row>
    <row r="24" spans="1:31" ht="13.5" customHeight="1">
      <c r="A24" s="289"/>
      <c r="B24" s="298" t="s">
        <v>159</v>
      </c>
      <c r="C24" s="312">
        <f>SUM(C47:J47)+SUM(C38:N38)</f>
        <v>0</v>
      </c>
      <c r="D24" s="289"/>
      <c r="E24" s="289"/>
      <c r="F24" s="289"/>
      <c r="G24" s="289"/>
      <c r="H24" s="289"/>
      <c r="I24" s="289"/>
      <c r="J24" s="289"/>
      <c r="K24" s="289"/>
      <c r="L24" s="289"/>
      <c r="M24" s="289"/>
      <c r="N24" s="289"/>
      <c r="O24" s="289"/>
      <c r="P24" s="289"/>
      <c r="Q24" s="289"/>
      <c r="R24" s="289"/>
      <c r="S24" s="289"/>
      <c r="T24" s="289"/>
      <c r="U24" s="289"/>
      <c r="V24" s="289"/>
      <c r="W24" s="289"/>
      <c r="X24" s="289"/>
      <c r="AD24" s="290">
        <v>14</v>
      </c>
      <c r="AE24" s="290" t="s">
        <v>160</v>
      </c>
    </row>
    <row r="25" spans="1:31" ht="13.5" customHeight="1">
      <c r="A25" s="289"/>
      <c r="B25" s="298" t="s">
        <v>161</v>
      </c>
      <c r="C25" s="312">
        <f>SUM(C48:J48)+SUM(C39:N39)</f>
        <v>0</v>
      </c>
      <c r="D25" s="289"/>
      <c r="E25" s="289"/>
      <c r="F25" s="289"/>
      <c r="G25" s="289"/>
      <c r="H25" s="289"/>
      <c r="I25" s="289"/>
      <c r="J25" s="289"/>
      <c r="K25" s="289"/>
      <c r="L25" s="289"/>
      <c r="M25" s="289"/>
      <c r="N25" s="289"/>
      <c r="O25" s="289"/>
      <c r="P25" s="289"/>
      <c r="Q25" s="289"/>
      <c r="R25" s="289"/>
      <c r="S25" s="289"/>
      <c r="T25" s="289"/>
      <c r="U25" s="289"/>
      <c r="V25" s="289"/>
      <c r="W25" s="289"/>
      <c r="X25" s="289"/>
      <c r="AD25" s="290">
        <v>15</v>
      </c>
      <c r="AE25" s="290" t="s">
        <v>162</v>
      </c>
    </row>
    <row r="26" spans="1:31" ht="13.5" customHeight="1">
      <c r="A26" s="289"/>
      <c r="B26" s="298" t="s">
        <v>163</v>
      </c>
      <c r="C26" s="312">
        <f>SUM(C57:V57)</f>
        <v>0</v>
      </c>
      <c r="D26" s="310"/>
      <c r="E26" s="289"/>
      <c r="F26" s="289"/>
      <c r="G26" s="289"/>
      <c r="H26" s="289"/>
      <c r="I26" s="289"/>
      <c r="J26" s="289"/>
      <c r="K26" s="289"/>
      <c r="L26" s="289"/>
      <c r="M26" s="289"/>
      <c r="N26" s="289"/>
      <c r="O26" s="289"/>
      <c r="P26" s="289"/>
      <c r="Q26" s="289"/>
      <c r="R26" s="289"/>
      <c r="S26" s="289"/>
      <c r="T26" s="289"/>
      <c r="U26" s="289"/>
      <c r="V26" s="289"/>
      <c r="W26" s="289"/>
      <c r="X26" s="289"/>
    </row>
    <row r="27" spans="1:31" ht="13.5" customHeight="1">
      <c r="A27" s="289"/>
      <c r="B27" s="298" t="s">
        <v>164</v>
      </c>
      <c r="C27" s="312">
        <f>SUM(C40:N40)+SUM(C49:J49)+SUM(C58:V58)</f>
        <v>0</v>
      </c>
      <c r="D27" s="310"/>
      <c r="E27" s="289"/>
      <c r="F27" s="289"/>
      <c r="G27" s="289"/>
      <c r="H27" s="289"/>
      <c r="I27" s="289"/>
      <c r="J27" s="289"/>
      <c r="K27" s="289"/>
      <c r="L27" s="289"/>
      <c r="M27" s="289"/>
      <c r="N27" s="289"/>
      <c r="O27" s="289"/>
      <c r="P27" s="289"/>
      <c r="Q27" s="289"/>
      <c r="R27" s="289"/>
      <c r="S27" s="289"/>
      <c r="T27" s="289"/>
      <c r="U27" s="289"/>
      <c r="V27" s="289"/>
      <c r="W27" s="289"/>
      <c r="X27" s="289"/>
    </row>
    <row r="28" spans="1:31" ht="13.5" customHeight="1">
      <c r="A28" s="289"/>
      <c r="B28" s="298" t="s">
        <v>165</v>
      </c>
      <c r="C28" s="312">
        <f>SUM(G11:G22)</f>
        <v>0</v>
      </c>
      <c r="D28" s="310"/>
      <c r="E28" s="289"/>
      <c r="F28" s="289"/>
      <c r="G28" s="289"/>
      <c r="H28" s="289"/>
      <c r="I28" s="289"/>
      <c r="J28" s="289"/>
      <c r="K28" s="289"/>
      <c r="L28" s="289"/>
      <c r="M28" s="289"/>
      <c r="N28" s="289"/>
      <c r="O28" s="289"/>
      <c r="P28" s="289"/>
      <c r="Q28" s="289"/>
      <c r="R28" s="289"/>
      <c r="S28" s="289"/>
      <c r="T28" s="289"/>
      <c r="U28" s="289"/>
      <c r="V28" s="289"/>
      <c r="W28" s="289"/>
      <c r="X28" s="289"/>
    </row>
    <row r="29" spans="1:31" ht="13.5" customHeight="1">
      <c r="A29" s="289"/>
      <c r="B29" s="298" t="s">
        <v>166</v>
      </c>
      <c r="C29" s="312">
        <f>SUM(G11:G22)+C25</f>
        <v>0</v>
      </c>
      <c r="D29" s="310"/>
      <c r="E29" s="289"/>
      <c r="F29" s="289"/>
      <c r="G29" s="289"/>
      <c r="H29" s="289"/>
      <c r="I29" s="289"/>
      <c r="J29" s="289"/>
      <c r="K29" s="289"/>
      <c r="L29" s="289"/>
      <c r="M29" s="289"/>
      <c r="N29" s="289"/>
      <c r="O29" s="289"/>
      <c r="P29" s="289"/>
      <c r="Q29" s="289"/>
      <c r="R29" s="289"/>
      <c r="S29" s="289"/>
      <c r="T29" s="289"/>
      <c r="U29" s="289"/>
      <c r="V29" s="289"/>
      <c r="W29" s="289"/>
      <c r="X29" s="289"/>
    </row>
    <row r="30" spans="1:31" ht="13.5" customHeight="1">
      <c r="A30" s="289"/>
      <c r="B30" s="298" t="s">
        <v>167</v>
      </c>
      <c r="C30" s="312">
        <f>SUM(C59:V59)+SUM(C47:J49)+SUM(C38:N40)</f>
        <v>0</v>
      </c>
      <c r="D30" s="313"/>
      <c r="E30" s="289"/>
      <c r="F30" s="289"/>
      <c r="G30" s="289"/>
      <c r="H30" s="289"/>
      <c r="I30" s="289"/>
      <c r="J30" s="289"/>
      <c r="K30" s="289"/>
      <c r="L30" s="289"/>
      <c r="M30" s="289"/>
      <c r="N30" s="289"/>
      <c r="O30" s="289"/>
      <c r="P30" s="289"/>
      <c r="Q30" s="289"/>
      <c r="R30" s="289"/>
      <c r="S30" s="289"/>
      <c r="T30" s="289"/>
      <c r="U30" s="289"/>
      <c r="V30" s="289"/>
      <c r="W30" s="289"/>
      <c r="X30" s="289"/>
    </row>
    <row r="31" spans="1:31" ht="13.5" customHeight="1">
      <c r="A31" s="289"/>
      <c r="B31" s="298" t="s">
        <v>168</v>
      </c>
      <c r="C31" s="314">
        <f>IFERROR(-PMT(M14*91.25/365,C14,C29,0),0)</f>
        <v>0</v>
      </c>
      <c r="D31" s="315">
        <f>C31*12</f>
        <v>0</v>
      </c>
      <c r="E31" s="289"/>
      <c r="F31" s="289"/>
      <c r="G31" s="289"/>
      <c r="H31" s="289"/>
      <c r="I31" s="289"/>
      <c r="J31" s="289"/>
      <c r="K31" s="289"/>
      <c r="L31" s="289"/>
      <c r="M31" s="289"/>
      <c r="N31" s="289"/>
      <c r="O31" s="289"/>
      <c r="P31" s="289"/>
      <c r="Q31" s="289"/>
      <c r="R31" s="289"/>
      <c r="S31" s="289"/>
      <c r="T31" s="289"/>
      <c r="U31" s="289"/>
      <c r="V31" s="289"/>
      <c r="W31" s="289"/>
      <c r="X31" s="289"/>
    </row>
    <row r="32" spans="1:31" ht="13.5" customHeight="1">
      <c r="A32" s="289"/>
      <c r="B32" s="300"/>
      <c r="C32" s="316"/>
      <c r="D32" s="310"/>
      <c r="E32" s="289"/>
      <c r="F32" s="289"/>
      <c r="G32" s="289"/>
      <c r="H32" s="289"/>
      <c r="I32" s="289"/>
      <c r="J32" s="289"/>
      <c r="K32" s="289"/>
      <c r="L32" s="289"/>
      <c r="M32" s="289"/>
      <c r="N32" s="289"/>
      <c r="O32" s="289"/>
      <c r="P32" s="289"/>
      <c r="Q32" s="289"/>
      <c r="R32" s="289"/>
      <c r="S32" s="289"/>
      <c r="T32" s="289"/>
      <c r="U32" s="289"/>
      <c r="V32" s="289"/>
      <c r="W32" s="289"/>
      <c r="X32" s="289"/>
    </row>
    <row r="33" spans="1:51" ht="18" customHeight="1">
      <c r="A33" s="289"/>
      <c r="B33" s="429" t="s">
        <v>169</v>
      </c>
      <c r="C33" s="457"/>
      <c r="D33" s="457"/>
      <c r="E33" s="457"/>
      <c r="F33" s="457"/>
      <c r="G33" s="457"/>
      <c r="H33" s="457"/>
      <c r="I33" s="457"/>
      <c r="J33" s="457"/>
      <c r="K33" s="457"/>
      <c r="L33" s="457"/>
      <c r="M33" s="457"/>
      <c r="N33" s="457"/>
      <c r="O33" s="457"/>
      <c r="P33" s="457"/>
      <c r="Q33" s="457"/>
      <c r="R33" s="457"/>
      <c r="S33" s="457"/>
      <c r="T33" s="457"/>
      <c r="U33" s="457"/>
      <c r="V33" s="457"/>
      <c r="W33" s="289"/>
      <c r="X33" s="289"/>
    </row>
    <row r="34" spans="1:51" ht="13.5" customHeight="1">
      <c r="A34" s="289"/>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AD34" s="290">
        <v>16</v>
      </c>
      <c r="AE34" s="290" t="s">
        <v>170</v>
      </c>
    </row>
    <row r="35" spans="1:51" ht="15" customHeight="1">
      <c r="A35" s="289"/>
      <c r="B35" s="441" t="s">
        <v>171</v>
      </c>
      <c r="C35" s="442"/>
      <c r="D35" s="442"/>
      <c r="E35" s="442"/>
      <c r="F35" s="442"/>
      <c r="G35" s="442"/>
      <c r="H35" s="442"/>
      <c r="I35" s="442"/>
      <c r="J35" s="442"/>
      <c r="K35" s="442"/>
      <c r="L35" s="442"/>
      <c r="M35" s="442"/>
      <c r="N35" s="443"/>
      <c r="O35" s="289"/>
      <c r="P35" s="289"/>
      <c r="Q35" s="289"/>
      <c r="R35" s="289"/>
      <c r="S35" s="289"/>
      <c r="T35" s="289"/>
      <c r="U35" s="289"/>
      <c r="V35" s="289"/>
      <c r="W35" s="289"/>
      <c r="X35" s="289"/>
      <c r="AD35" s="290">
        <v>17</v>
      </c>
      <c r="AE35" s="290" t="s">
        <v>172</v>
      </c>
    </row>
    <row r="36" spans="1:51" ht="13.5" customHeight="1">
      <c r="A36" s="289"/>
      <c r="B36" s="317"/>
      <c r="C36" s="318" t="s">
        <v>119</v>
      </c>
      <c r="D36" s="318" t="s">
        <v>123</v>
      </c>
      <c r="E36" s="318" t="s">
        <v>127</v>
      </c>
      <c r="F36" s="346" t="s">
        <v>131</v>
      </c>
      <c r="G36" s="137" t="s">
        <v>136</v>
      </c>
      <c r="H36" s="137" t="s">
        <v>138</v>
      </c>
      <c r="I36" s="137" t="s">
        <v>140</v>
      </c>
      <c r="J36" s="137" t="s">
        <v>146</v>
      </c>
      <c r="K36" s="137" t="s">
        <v>149</v>
      </c>
      <c r="L36" s="137" t="s">
        <v>151</v>
      </c>
      <c r="M36" s="137" t="s">
        <v>153</v>
      </c>
      <c r="N36" s="137" t="s">
        <v>155</v>
      </c>
      <c r="O36" s="289"/>
      <c r="P36" s="289"/>
      <c r="Q36" s="289"/>
      <c r="R36" s="289"/>
      <c r="S36" s="289"/>
      <c r="T36" s="289"/>
      <c r="U36" s="289"/>
      <c r="V36" s="289"/>
      <c r="W36" s="289"/>
      <c r="X36" s="289"/>
      <c r="AD36" s="290">
        <v>18</v>
      </c>
      <c r="AE36" s="290" t="s">
        <v>173</v>
      </c>
    </row>
    <row r="37" spans="1:51" ht="13.5" hidden="1" customHeight="1">
      <c r="A37" s="289"/>
      <c r="B37" s="317"/>
      <c r="C37" s="15">
        <v>1</v>
      </c>
      <c r="D37" s="15">
        <f>IF(C37=0,0,IF($C$12&gt;C37,C37+1,0))</f>
        <v>0</v>
      </c>
      <c r="E37" s="15">
        <f t="shared" ref="E37:N37" si="2">IF(D37=0,0,IF($C$12&gt;D37,D37+1,0))</f>
        <v>0</v>
      </c>
      <c r="F37" s="15">
        <f t="shared" si="2"/>
        <v>0</v>
      </c>
      <c r="G37" s="15">
        <f t="shared" si="2"/>
        <v>0</v>
      </c>
      <c r="H37" s="15">
        <f t="shared" si="2"/>
        <v>0</v>
      </c>
      <c r="I37" s="15">
        <f t="shared" si="2"/>
        <v>0</v>
      </c>
      <c r="J37" s="15">
        <f t="shared" si="2"/>
        <v>0</v>
      </c>
      <c r="K37" s="15">
        <f t="shared" si="2"/>
        <v>0</v>
      </c>
      <c r="L37" s="15">
        <f t="shared" si="2"/>
        <v>0</v>
      </c>
      <c r="M37" s="15">
        <f t="shared" si="2"/>
        <v>0</v>
      </c>
      <c r="N37" s="15">
        <f t="shared" si="2"/>
        <v>0</v>
      </c>
      <c r="O37" s="289"/>
      <c r="P37" s="289"/>
      <c r="Q37" s="289"/>
      <c r="R37" s="289"/>
      <c r="S37" s="289"/>
      <c r="T37" s="289"/>
      <c r="U37" s="289"/>
      <c r="V37" s="289"/>
      <c r="W37" s="289"/>
      <c r="X37" s="289"/>
    </row>
    <row r="38" spans="1:51" ht="13.5" customHeight="1">
      <c r="A38" s="319"/>
      <c r="B38" s="314" t="s">
        <v>159</v>
      </c>
      <c r="C38" s="312">
        <f>IF($C12&gt;=1,$G11*$C19,0)</f>
        <v>0</v>
      </c>
      <c r="D38" s="312">
        <f>IF($C12&gt;=2,SUM($G11:$G12)*$C19,0)</f>
        <v>0</v>
      </c>
      <c r="E38" s="312">
        <f>IF($C12&gt;=3,SUM($G11:$G13)*$C19,0)</f>
        <v>0</v>
      </c>
      <c r="F38" s="354">
        <f>IF($C12&gt;=4,SUM($G11:$G14)*$C19,0)</f>
        <v>0</v>
      </c>
      <c r="G38" s="138">
        <f>IF($C12&gt;=5,SUM($G11:$G15)*$C19,0)</f>
        <v>0</v>
      </c>
      <c r="H38" s="138">
        <f>IF($C12&gt;=6,SUM($G11:$G16)*$C19,0)</f>
        <v>0</v>
      </c>
      <c r="I38" s="138">
        <f>IF($C12&gt;=7,SUM($G11:$G17)*$C19,0)</f>
        <v>0</v>
      </c>
      <c r="J38" s="138">
        <f>IF($C12&gt;=8,SUM($G11:$G18)*$C19,0)</f>
        <v>0</v>
      </c>
      <c r="K38" s="138">
        <f>IF($C12&gt;=9,SUM($G11:$G19)*$C19,0)</f>
        <v>0</v>
      </c>
      <c r="L38" s="138">
        <f>IF($C12&gt;=10,SUM($G11:$G20)*$C19,0)</f>
        <v>0</v>
      </c>
      <c r="M38" s="138">
        <f>IF($C12&gt;=11,SUM($G11:$G21)*$C19,0)</f>
        <v>0</v>
      </c>
      <c r="N38" s="138">
        <f>IF($C12&gt;=12,SUM($G11:$G22)*$C19,0)</f>
        <v>0</v>
      </c>
      <c r="O38" s="319"/>
      <c r="P38" s="319"/>
      <c r="Q38" s="319"/>
      <c r="R38" s="319"/>
      <c r="S38" s="319"/>
      <c r="T38" s="319"/>
      <c r="U38" s="319"/>
      <c r="V38" s="319"/>
      <c r="W38" s="319"/>
      <c r="X38" s="319"/>
      <c r="Y38" s="320"/>
      <c r="Z38" s="320"/>
      <c r="AA38" s="320"/>
      <c r="AB38" s="320"/>
      <c r="AC38" s="320"/>
      <c r="AD38" s="320">
        <v>19</v>
      </c>
      <c r="AE38" s="320" t="s">
        <v>175</v>
      </c>
      <c r="AF38" s="320"/>
      <c r="AG38" s="320"/>
      <c r="AH38" s="320"/>
      <c r="AI38" s="320"/>
      <c r="AJ38" s="320"/>
      <c r="AK38" s="320"/>
      <c r="AL38" s="320"/>
      <c r="AM38" s="320"/>
      <c r="AN38" s="320"/>
      <c r="AO38" s="320"/>
      <c r="AP38" s="320"/>
      <c r="AQ38" s="320"/>
      <c r="AR38" s="320"/>
      <c r="AS38" s="320"/>
      <c r="AT38" s="320"/>
      <c r="AU38" s="320"/>
      <c r="AV38" s="320"/>
      <c r="AW38" s="320"/>
      <c r="AX38" s="320"/>
      <c r="AY38" s="320"/>
    </row>
    <row r="39" spans="1:51" ht="13.5" customHeight="1">
      <c r="A39" s="319"/>
      <c r="B39" s="314" t="s">
        <v>176</v>
      </c>
      <c r="C39" s="312">
        <v>0</v>
      </c>
      <c r="D39" s="312">
        <v>0</v>
      </c>
      <c r="E39" s="312">
        <v>0</v>
      </c>
      <c r="F39" s="354">
        <v>0</v>
      </c>
      <c r="G39" s="138">
        <v>0</v>
      </c>
      <c r="H39" s="138">
        <v>0</v>
      </c>
      <c r="I39" s="138">
        <v>0</v>
      </c>
      <c r="J39" s="138">
        <v>0</v>
      </c>
      <c r="K39" s="138">
        <v>0</v>
      </c>
      <c r="L39" s="138">
        <v>0</v>
      </c>
      <c r="M39" s="138">
        <v>0</v>
      </c>
      <c r="N39" s="138">
        <v>0</v>
      </c>
      <c r="O39" s="319"/>
      <c r="P39" s="319"/>
      <c r="Q39" s="319"/>
      <c r="R39" s="319"/>
      <c r="S39" s="319"/>
      <c r="T39" s="319"/>
      <c r="U39" s="319"/>
      <c r="V39" s="319"/>
      <c r="W39" s="319"/>
      <c r="X39" s="319"/>
      <c r="Y39" s="320"/>
      <c r="Z39" s="320"/>
      <c r="AA39" s="320"/>
      <c r="AB39" s="320"/>
      <c r="AC39" s="320"/>
      <c r="AD39" s="320">
        <v>20</v>
      </c>
      <c r="AE39" s="320" t="s">
        <v>177</v>
      </c>
      <c r="AF39" s="320"/>
      <c r="AG39" s="320"/>
      <c r="AH39" s="320"/>
      <c r="AI39" s="320"/>
      <c r="AJ39" s="320"/>
      <c r="AK39" s="320"/>
      <c r="AL39" s="320"/>
      <c r="AM39" s="320"/>
      <c r="AN39" s="320"/>
      <c r="AO39" s="320"/>
      <c r="AP39" s="320"/>
      <c r="AQ39" s="320"/>
      <c r="AR39" s="320"/>
      <c r="AS39" s="320"/>
      <c r="AT39" s="320"/>
      <c r="AU39" s="320"/>
      <c r="AV39" s="320"/>
      <c r="AW39" s="320"/>
      <c r="AX39" s="320"/>
      <c r="AY39" s="320"/>
    </row>
    <row r="40" spans="1:51" ht="13.5" customHeight="1">
      <c r="A40" s="319"/>
      <c r="B40" s="314" t="s">
        <v>115</v>
      </c>
      <c r="C40" s="312">
        <f>IF($C12&gt;=1,((C10*M11)+($J11*$M12/4)),0)</f>
        <v>0</v>
      </c>
      <c r="D40" s="312">
        <f>IF($C12&gt;=2,(($J12*$M12/4)),0)</f>
        <v>0</v>
      </c>
      <c r="E40" s="312">
        <f>IF($C12&gt;=3,(($J13*$M12/4)),0)</f>
        <v>0</v>
      </c>
      <c r="F40" s="354">
        <f>IF($C12&gt;=4,(($J14*$M12/4)),0)</f>
        <v>0</v>
      </c>
      <c r="G40" s="138">
        <f>IF($C12&gt;=5,(($J15*$M12/4)),0)</f>
        <v>0</v>
      </c>
      <c r="H40" s="138">
        <f>IF($C12&gt;=6,(($J16*$M12/4)),0)</f>
        <v>0</v>
      </c>
      <c r="I40" s="138">
        <f>IF($C12&gt;=7,(($J17*$M12/4)),0)</f>
        <v>0</v>
      </c>
      <c r="J40" s="138">
        <f>IF($C12&gt;=8,(($J18*$M12/4)),0)</f>
        <v>0</v>
      </c>
      <c r="K40" s="138">
        <f>IF($C12&gt;=9,(($J19*$M12/4)),0)</f>
        <v>0</v>
      </c>
      <c r="L40" s="138">
        <f>IF($C12&gt;=10,(($J20*$M12/4)),0)</f>
        <v>0</v>
      </c>
      <c r="M40" s="138">
        <f>IF($C12&gt;=11,(($J21*$M12/4)),0)</f>
        <v>0</v>
      </c>
      <c r="N40" s="138">
        <f>IF($C12&gt;=12,(($J22*$M12/4)),0)</f>
        <v>0</v>
      </c>
      <c r="O40" s="319"/>
      <c r="P40" s="319"/>
      <c r="Q40" s="319"/>
      <c r="R40" s="319"/>
      <c r="S40" s="319"/>
      <c r="T40" s="319"/>
      <c r="U40" s="319"/>
      <c r="V40" s="319"/>
      <c r="W40" s="319"/>
      <c r="X40" s="319"/>
      <c r="Y40" s="320"/>
      <c r="Z40" s="320"/>
      <c r="AA40" s="320"/>
      <c r="AB40" s="320"/>
      <c r="AC40" s="320"/>
      <c r="AD40" s="320"/>
      <c r="AE40" s="320"/>
      <c r="AF40" s="320"/>
      <c r="AG40" s="320"/>
      <c r="AH40" s="320"/>
      <c r="AI40" s="320"/>
      <c r="AJ40" s="320"/>
      <c r="AK40" s="320"/>
      <c r="AL40" s="320"/>
      <c r="AM40" s="320"/>
      <c r="AN40" s="320"/>
      <c r="AO40" s="320"/>
      <c r="AP40" s="320"/>
      <c r="AQ40" s="320"/>
      <c r="AR40" s="320"/>
      <c r="AS40" s="320"/>
      <c r="AT40" s="320"/>
      <c r="AU40" s="320"/>
      <c r="AV40" s="320"/>
      <c r="AW40" s="320"/>
      <c r="AX40" s="320"/>
      <c r="AY40" s="320"/>
    </row>
    <row r="41" spans="1:51" ht="13.5" customHeight="1" thickBot="1">
      <c r="A41" s="319"/>
      <c r="B41" s="321" t="s">
        <v>178</v>
      </c>
      <c r="C41" s="322">
        <f>SUM(C38:C40)</f>
        <v>0</v>
      </c>
      <c r="D41" s="322">
        <f t="shared" ref="D41:J41" si="3">SUM(D38:D40)</f>
        <v>0</v>
      </c>
      <c r="E41" s="322">
        <f t="shared" si="3"/>
        <v>0</v>
      </c>
      <c r="F41" s="355">
        <f t="shared" si="3"/>
        <v>0</v>
      </c>
      <c r="G41" s="139">
        <f t="shared" si="3"/>
        <v>0</v>
      </c>
      <c r="H41" s="139">
        <f t="shared" si="3"/>
        <v>0</v>
      </c>
      <c r="I41" s="139">
        <f t="shared" si="3"/>
        <v>0</v>
      </c>
      <c r="J41" s="139">
        <f t="shared" si="3"/>
        <v>0</v>
      </c>
      <c r="K41" s="139">
        <f t="shared" ref="K41:N41" si="4">SUM(K38:K40)</f>
        <v>0</v>
      </c>
      <c r="L41" s="139">
        <f t="shared" si="4"/>
        <v>0</v>
      </c>
      <c r="M41" s="139">
        <f t="shared" si="4"/>
        <v>0</v>
      </c>
      <c r="N41" s="139">
        <f t="shared" si="4"/>
        <v>0</v>
      </c>
      <c r="O41" s="319"/>
      <c r="P41" s="319"/>
      <c r="Q41" s="319"/>
      <c r="R41" s="319"/>
      <c r="S41" s="319"/>
      <c r="T41" s="319"/>
      <c r="U41" s="319"/>
      <c r="V41" s="319"/>
      <c r="W41" s="319"/>
      <c r="X41" s="319"/>
      <c r="Y41" s="320"/>
      <c r="Z41" s="320"/>
      <c r="AA41" s="320"/>
      <c r="AB41" s="320"/>
      <c r="AC41" s="320"/>
      <c r="AD41" s="320"/>
      <c r="AE41" s="320"/>
      <c r="AF41" s="320"/>
      <c r="AG41" s="320"/>
      <c r="AH41" s="320"/>
      <c r="AI41" s="320"/>
      <c r="AJ41" s="320"/>
      <c r="AK41" s="320"/>
      <c r="AL41" s="320"/>
      <c r="AM41" s="320"/>
      <c r="AN41" s="320"/>
      <c r="AO41" s="320"/>
      <c r="AP41" s="320"/>
      <c r="AQ41" s="320"/>
      <c r="AR41" s="320"/>
      <c r="AS41" s="320"/>
      <c r="AT41" s="320"/>
      <c r="AU41" s="320"/>
      <c r="AV41" s="320"/>
      <c r="AW41" s="320"/>
      <c r="AX41" s="320"/>
      <c r="AY41" s="320"/>
    </row>
    <row r="42" spans="1:51" ht="13.5" customHeight="1" thickTop="1">
      <c r="A42" s="289"/>
      <c r="B42" s="289"/>
      <c r="C42" s="289"/>
      <c r="D42" s="289"/>
      <c r="E42" s="289"/>
      <c r="F42" s="323"/>
      <c r="G42" s="323"/>
      <c r="H42" s="323"/>
      <c r="I42" s="323"/>
      <c r="J42" s="323"/>
      <c r="K42" s="289"/>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row>
    <row r="43" spans="1:51" ht="13.5" customHeight="1">
      <c r="A43" s="289"/>
      <c r="B43" s="289"/>
      <c r="C43" s="289"/>
      <c r="D43" s="289"/>
      <c r="E43" s="289"/>
      <c r="F43" s="289"/>
      <c r="G43" s="323"/>
      <c r="H43" s="323"/>
      <c r="I43" s="323"/>
      <c r="J43" s="323"/>
      <c r="K43" s="289"/>
      <c r="L43" s="289"/>
      <c r="M43" s="289"/>
      <c r="N43" s="289"/>
      <c r="O43" s="289"/>
      <c r="P43" s="289"/>
      <c r="Q43" s="289"/>
      <c r="R43" s="289"/>
      <c r="S43" s="289"/>
      <c r="T43" s="289"/>
      <c r="U43" s="289"/>
      <c r="V43" s="289"/>
      <c r="W43" s="289"/>
      <c r="X43" s="289"/>
      <c r="Y43" s="289"/>
      <c r="Z43" s="289"/>
      <c r="AA43" s="289"/>
      <c r="AB43" s="289"/>
      <c r="AC43" s="289"/>
      <c r="AD43" s="289"/>
      <c r="AE43" s="289"/>
      <c r="AF43" s="289"/>
      <c r="AG43" s="289"/>
      <c r="AH43" s="289"/>
      <c r="AI43" s="289"/>
      <c r="AJ43" s="289"/>
      <c r="AK43" s="289"/>
      <c r="AL43" s="289"/>
      <c r="AM43" s="289"/>
      <c r="AN43" s="289"/>
      <c r="AO43" s="289"/>
      <c r="AP43" s="289"/>
      <c r="AQ43" s="289"/>
      <c r="AR43" s="289"/>
      <c r="AS43" s="289"/>
      <c r="AT43" s="289"/>
      <c r="AU43" s="289"/>
      <c r="AV43" s="289"/>
      <c r="AW43" s="289"/>
      <c r="AX43" s="289"/>
      <c r="AY43" s="289"/>
    </row>
    <row r="44" spans="1:51" ht="15" customHeight="1">
      <c r="A44" s="289"/>
      <c r="B44" s="430" t="s">
        <v>179</v>
      </c>
      <c r="C44" s="458"/>
      <c r="D44" s="458"/>
      <c r="E44" s="458"/>
      <c r="F44" s="458"/>
      <c r="G44" s="458"/>
      <c r="H44" s="458"/>
      <c r="I44" s="458"/>
      <c r="J44" s="458"/>
      <c r="K44" s="289"/>
      <c r="L44" s="289"/>
      <c r="M44" s="289"/>
      <c r="N44" s="289"/>
      <c r="O44" s="289"/>
      <c r="P44" s="289"/>
      <c r="Q44" s="289"/>
      <c r="R44" s="289"/>
      <c r="S44" s="289"/>
      <c r="T44" s="289"/>
      <c r="U44" s="289"/>
      <c r="V44" s="289"/>
      <c r="W44" s="289"/>
      <c r="X44" s="289"/>
    </row>
    <row r="45" spans="1:51" ht="13.5" customHeight="1">
      <c r="A45" s="289"/>
      <c r="B45" s="324"/>
      <c r="C45" s="325" t="s">
        <v>119</v>
      </c>
      <c r="D45" s="325" t="s">
        <v>123</v>
      </c>
      <c r="E45" s="325" t="s">
        <v>127</v>
      </c>
      <c r="F45" s="325" t="s">
        <v>131</v>
      </c>
      <c r="G45" s="325" t="s">
        <v>136</v>
      </c>
      <c r="H45" s="325" t="s">
        <v>138</v>
      </c>
      <c r="I45" s="325" t="s">
        <v>140</v>
      </c>
      <c r="J45" s="325" t="s">
        <v>146</v>
      </c>
      <c r="K45" s="289"/>
      <c r="L45" s="289"/>
      <c r="M45" s="289"/>
      <c r="N45" s="289"/>
      <c r="O45" s="289"/>
      <c r="P45" s="289"/>
      <c r="Q45" s="289"/>
      <c r="R45" s="289"/>
      <c r="S45" s="289"/>
      <c r="T45" s="289"/>
      <c r="U45" s="289"/>
      <c r="V45" s="289"/>
      <c r="W45" s="289"/>
      <c r="X45" s="289"/>
      <c r="Y45" s="289"/>
      <c r="Z45" s="289"/>
      <c r="AA45" s="289"/>
      <c r="AB45" s="289"/>
      <c r="AC45" s="289"/>
      <c r="AD45" s="289"/>
      <c r="AE45" s="289"/>
      <c r="AF45" s="289"/>
      <c r="AG45" s="289"/>
      <c r="AH45" s="289"/>
      <c r="AI45" s="289"/>
      <c r="AJ45" s="289"/>
      <c r="AK45" s="289"/>
      <c r="AL45" s="289"/>
      <c r="AM45" s="289"/>
      <c r="AN45" s="289"/>
      <c r="AO45" s="289"/>
      <c r="AP45" s="289"/>
      <c r="AQ45" s="289"/>
      <c r="AR45" s="289"/>
      <c r="AS45" s="289"/>
      <c r="AT45" s="289"/>
      <c r="AU45" s="289"/>
      <c r="AV45" s="289"/>
      <c r="AW45" s="289"/>
      <c r="AX45" s="289"/>
      <c r="AY45" s="289"/>
    </row>
    <row r="46" spans="1:51" ht="13.5" hidden="1" customHeight="1">
      <c r="A46" s="289"/>
      <c r="B46" s="324"/>
      <c r="C46" s="20">
        <f>IF(C13=0,0,MAX(C37:N37)+1)</f>
        <v>0</v>
      </c>
      <c r="D46" s="20">
        <f>IF(C46=0,0,IF(($C$12+$C$13)&gt;C46,C46+1,0))</f>
        <v>0</v>
      </c>
      <c r="E46" s="20">
        <f t="shared" ref="E46:J46" si="5">IF(D46=0,0,IF(($C$12+$C$13)&gt;D46,D46+1,0))</f>
        <v>0</v>
      </c>
      <c r="F46" s="20">
        <f t="shared" si="5"/>
        <v>0</v>
      </c>
      <c r="G46" s="20">
        <f t="shared" si="5"/>
        <v>0</v>
      </c>
      <c r="H46" s="20">
        <f t="shared" si="5"/>
        <v>0</v>
      </c>
      <c r="I46" s="20">
        <f t="shared" si="5"/>
        <v>0</v>
      </c>
      <c r="J46" s="20">
        <f t="shared" si="5"/>
        <v>0</v>
      </c>
      <c r="K46" s="289"/>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89"/>
      <c r="AX46" s="289"/>
      <c r="AY46" s="289"/>
    </row>
    <row r="47" spans="1:51" ht="13.5" customHeight="1">
      <c r="A47" s="326"/>
      <c r="B47" s="327" t="s">
        <v>159</v>
      </c>
      <c r="C47" s="328">
        <f>IF($C13&gt;=1,SUM($G11:$G23)*$C19,0)</f>
        <v>0</v>
      </c>
      <c r="D47" s="328">
        <f>IF($C13&gt;=2,SUM($G11:$G23)*$C19,0)</f>
        <v>0</v>
      </c>
      <c r="E47" s="328">
        <f>IF($C13&gt;=3,SUM($G11:$G23)*$C19,0)</f>
        <v>0</v>
      </c>
      <c r="F47" s="328">
        <f>IF($C13&gt;=4,SUM($G11:$G23)*$C19,0)</f>
        <v>0</v>
      </c>
      <c r="G47" s="328">
        <f>IF($C13&gt;=5,SUM($G11:$G23)*$C19,0)</f>
        <v>0</v>
      </c>
      <c r="H47" s="328">
        <f>IF($C13&gt;=6,SUM($G11:$G23)*$C19,0)</f>
        <v>0</v>
      </c>
      <c r="I47" s="328">
        <f>IF($C13&gt;=7,SUM($G11:$G23)*$C19,0)</f>
        <v>0</v>
      </c>
      <c r="J47" s="328">
        <f>IF($C13&gt;=8,SUM($G11:$G23)*$C19,0)</f>
        <v>0</v>
      </c>
      <c r="K47" s="326"/>
      <c r="L47" s="326"/>
      <c r="M47" s="326"/>
      <c r="N47" s="326"/>
      <c r="O47" s="326"/>
      <c r="P47" s="326"/>
      <c r="Q47" s="326"/>
      <c r="R47" s="326"/>
      <c r="S47" s="326"/>
      <c r="T47" s="326"/>
      <c r="U47" s="326"/>
      <c r="V47" s="326"/>
      <c r="W47" s="326"/>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26"/>
      <c r="AU47" s="326"/>
      <c r="AV47" s="326"/>
      <c r="AW47" s="326"/>
      <c r="AX47" s="326"/>
      <c r="AY47" s="326"/>
    </row>
    <row r="48" spans="1:51" ht="13.5" customHeight="1">
      <c r="A48" s="326"/>
      <c r="B48" s="327" t="s">
        <v>176</v>
      </c>
      <c r="C48" s="329">
        <v>0</v>
      </c>
      <c r="D48" s="329">
        <v>0</v>
      </c>
      <c r="E48" s="329">
        <v>0</v>
      </c>
      <c r="F48" s="329">
        <v>0</v>
      </c>
      <c r="G48" s="329">
        <v>0</v>
      </c>
      <c r="H48" s="329">
        <v>0</v>
      </c>
      <c r="I48" s="329">
        <v>0</v>
      </c>
      <c r="J48" s="329">
        <v>0</v>
      </c>
      <c r="K48" s="326"/>
      <c r="L48" s="326"/>
      <c r="M48" s="326"/>
      <c r="N48" s="326"/>
      <c r="O48" s="326"/>
      <c r="P48" s="326"/>
      <c r="Q48" s="326"/>
      <c r="R48" s="326"/>
      <c r="S48" s="326"/>
      <c r="T48" s="326"/>
      <c r="U48" s="326"/>
      <c r="V48" s="326"/>
      <c r="W48" s="326"/>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26"/>
      <c r="AU48" s="326"/>
      <c r="AV48" s="326"/>
      <c r="AW48" s="326"/>
      <c r="AX48" s="326"/>
      <c r="AY48" s="326"/>
    </row>
    <row r="49" spans="1:51" ht="13.5" customHeight="1">
      <c r="A49" s="319"/>
      <c r="B49" s="314" t="s">
        <v>115</v>
      </c>
      <c r="C49" s="328">
        <f>IF($C13&gt;=1,SUM($G11:$G23)*$M12/4,0)</f>
        <v>0</v>
      </c>
      <c r="D49" s="328">
        <f>IF($C13&gt;=2,SUM($G11:$G23)*$M12/4,0)</f>
        <v>0</v>
      </c>
      <c r="E49" s="328">
        <f>IF($C13&gt;=3,SUM($G11:$G23)*$M12/4,0)</f>
        <v>0</v>
      </c>
      <c r="F49" s="328">
        <f>IF($C13&gt;=4,SUM($G11:$G23)*$M12/4,0)</f>
        <v>0</v>
      </c>
      <c r="G49" s="328">
        <f>IF($C13&gt;=5,SUM($G11:$G23)*$M12/4,0)</f>
        <v>0</v>
      </c>
      <c r="H49" s="328">
        <f>IF($C13&gt;=6,SUM($G11:$G23)*$M12/4,0)</f>
        <v>0</v>
      </c>
      <c r="I49" s="328">
        <f>IF($C13&gt;=7,SUM($G11:$G23)*$M12/4,0)</f>
        <v>0</v>
      </c>
      <c r="J49" s="328">
        <f>IF($C13&gt;=8,SUM($G11:$G23)*$M12/4,0)</f>
        <v>0</v>
      </c>
      <c r="K49" s="326"/>
      <c r="L49" s="326"/>
      <c r="M49" s="326"/>
      <c r="N49" s="326"/>
      <c r="O49" s="319"/>
      <c r="P49" s="319"/>
      <c r="Q49" s="319"/>
      <c r="R49" s="319"/>
      <c r="S49" s="319"/>
      <c r="T49" s="319"/>
      <c r="U49" s="319"/>
      <c r="V49" s="319"/>
      <c r="W49" s="319"/>
      <c r="X49" s="319"/>
      <c r="Y49" s="320"/>
      <c r="Z49" s="320"/>
      <c r="AA49" s="320"/>
      <c r="AB49" s="320"/>
      <c r="AC49" s="320"/>
      <c r="AD49" s="320"/>
      <c r="AE49" s="320"/>
      <c r="AF49" s="320"/>
      <c r="AG49" s="320"/>
      <c r="AH49" s="320"/>
      <c r="AI49" s="320"/>
      <c r="AJ49" s="320"/>
      <c r="AK49" s="320"/>
      <c r="AL49" s="320"/>
      <c r="AM49" s="320"/>
      <c r="AN49" s="320"/>
      <c r="AO49" s="320"/>
      <c r="AP49" s="320"/>
      <c r="AQ49" s="320"/>
      <c r="AR49" s="320"/>
      <c r="AS49" s="320"/>
      <c r="AT49" s="320"/>
      <c r="AU49" s="320"/>
      <c r="AV49" s="320"/>
      <c r="AW49" s="320"/>
      <c r="AX49" s="320"/>
      <c r="AY49" s="320"/>
    </row>
    <row r="50" spans="1:51" ht="13.5" customHeight="1" thickBot="1">
      <c r="A50" s="326"/>
      <c r="B50" s="330" t="s">
        <v>178</v>
      </c>
      <c r="C50" s="330">
        <f>SUM(C47:C49)</f>
        <v>0</v>
      </c>
      <c r="D50" s="330">
        <f t="shared" ref="D50:J50" si="6">SUM(D47:D49)</f>
        <v>0</v>
      </c>
      <c r="E50" s="330">
        <f t="shared" si="6"/>
        <v>0</v>
      </c>
      <c r="F50" s="330">
        <f t="shared" si="6"/>
        <v>0</v>
      </c>
      <c r="G50" s="330">
        <f t="shared" si="6"/>
        <v>0</v>
      </c>
      <c r="H50" s="330">
        <f t="shared" si="6"/>
        <v>0</v>
      </c>
      <c r="I50" s="330">
        <f t="shared" si="6"/>
        <v>0</v>
      </c>
      <c r="J50" s="330">
        <f t="shared" si="6"/>
        <v>0</v>
      </c>
      <c r="K50" s="326"/>
      <c r="L50" s="326"/>
      <c r="M50" s="326"/>
      <c r="N50" s="326"/>
      <c r="O50" s="326"/>
      <c r="P50" s="326"/>
      <c r="Q50" s="326"/>
      <c r="R50" s="326"/>
      <c r="S50" s="326"/>
      <c r="T50" s="326"/>
      <c r="U50" s="326"/>
      <c r="V50" s="326"/>
      <c r="W50" s="326"/>
      <c r="X50" s="326"/>
      <c r="Y50" s="326"/>
      <c r="Z50" s="326"/>
      <c r="AA50" s="326"/>
      <c r="AB50" s="326"/>
      <c r="AC50" s="326"/>
      <c r="AD50" s="326"/>
      <c r="AE50" s="326"/>
      <c r="AF50" s="326"/>
      <c r="AG50" s="326"/>
      <c r="AH50" s="326"/>
      <c r="AI50" s="326"/>
      <c r="AJ50" s="326"/>
      <c r="AK50" s="326"/>
      <c r="AL50" s="326"/>
      <c r="AM50" s="326"/>
      <c r="AN50" s="326"/>
      <c r="AO50" s="326"/>
      <c r="AP50" s="326"/>
      <c r="AQ50" s="326"/>
      <c r="AR50" s="326"/>
      <c r="AS50" s="326"/>
      <c r="AT50" s="326"/>
      <c r="AU50" s="326"/>
      <c r="AV50" s="326"/>
      <c r="AW50" s="326"/>
      <c r="AX50" s="326"/>
      <c r="AY50" s="326"/>
    </row>
    <row r="51" spans="1:51" ht="13.5" customHeight="1" thickTop="1">
      <c r="A51" s="289"/>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c r="AB51" s="289"/>
      <c r="AC51" s="289"/>
      <c r="AD51" s="289"/>
      <c r="AE51" s="289"/>
      <c r="AF51" s="289"/>
      <c r="AG51" s="289"/>
      <c r="AH51" s="289"/>
      <c r="AI51" s="289"/>
      <c r="AJ51" s="289"/>
      <c r="AK51" s="289"/>
      <c r="AL51" s="289"/>
      <c r="AM51" s="289"/>
      <c r="AN51" s="289"/>
      <c r="AO51" s="289"/>
      <c r="AP51" s="289"/>
      <c r="AQ51" s="289"/>
      <c r="AR51" s="289"/>
      <c r="AS51" s="289"/>
      <c r="AT51" s="289"/>
      <c r="AU51" s="289"/>
      <c r="AV51" s="289"/>
      <c r="AW51" s="289"/>
      <c r="AX51" s="289"/>
      <c r="AY51" s="289"/>
    </row>
    <row r="52" spans="1:51" ht="13.5" customHeight="1">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c r="AA52" s="289"/>
      <c r="AB52" s="289"/>
      <c r="AC52" s="289"/>
      <c r="AD52" s="289"/>
      <c r="AE52" s="289"/>
      <c r="AF52" s="289"/>
      <c r="AG52" s="289"/>
      <c r="AH52" s="289"/>
      <c r="AI52" s="289"/>
      <c r="AJ52" s="289"/>
      <c r="AK52" s="289"/>
      <c r="AL52" s="289"/>
      <c r="AM52" s="289"/>
      <c r="AN52" s="289"/>
      <c r="AO52" s="289"/>
      <c r="AP52" s="289"/>
      <c r="AQ52" s="289"/>
      <c r="AR52" s="289"/>
      <c r="AS52" s="289"/>
      <c r="AT52" s="289"/>
      <c r="AU52" s="289"/>
      <c r="AV52" s="289"/>
      <c r="AW52" s="289"/>
      <c r="AX52" s="289"/>
      <c r="AY52" s="289"/>
    </row>
    <row r="53" spans="1:51" ht="15" customHeight="1">
      <c r="A53" s="289"/>
      <c r="B53" s="431" t="s">
        <v>181</v>
      </c>
      <c r="C53" s="458"/>
      <c r="D53" s="458"/>
      <c r="E53" s="458"/>
      <c r="F53" s="458"/>
      <c r="G53" s="458"/>
      <c r="H53" s="458"/>
      <c r="I53" s="458"/>
      <c r="J53" s="458"/>
      <c r="K53" s="458"/>
      <c r="L53" s="458"/>
      <c r="M53" s="458"/>
      <c r="N53" s="458"/>
      <c r="O53" s="458"/>
      <c r="P53" s="458"/>
      <c r="Q53" s="458"/>
      <c r="R53" s="458"/>
      <c r="S53" s="458"/>
      <c r="T53" s="458"/>
      <c r="U53" s="458"/>
      <c r="V53" s="458"/>
      <c r="W53" s="289"/>
      <c r="X53" s="289"/>
    </row>
    <row r="54" spans="1:51" ht="13.5" customHeight="1">
      <c r="A54" s="289"/>
      <c r="B54" s="317"/>
      <c r="C54" s="318" t="s">
        <v>119</v>
      </c>
      <c r="D54" s="318" t="s">
        <v>123</v>
      </c>
      <c r="E54" s="318" t="s">
        <v>127</v>
      </c>
      <c r="F54" s="318" t="s">
        <v>131</v>
      </c>
      <c r="G54" s="318" t="s">
        <v>136</v>
      </c>
      <c r="H54" s="318" t="s">
        <v>138</v>
      </c>
      <c r="I54" s="318" t="s">
        <v>140</v>
      </c>
      <c r="J54" s="318" t="s">
        <v>146</v>
      </c>
      <c r="K54" s="318" t="s">
        <v>149</v>
      </c>
      <c r="L54" s="318" t="s">
        <v>151</v>
      </c>
      <c r="M54" s="318" t="s">
        <v>153</v>
      </c>
      <c r="N54" s="318" t="s">
        <v>155</v>
      </c>
      <c r="O54" s="318" t="s">
        <v>182</v>
      </c>
      <c r="P54" s="318" t="s">
        <v>183</v>
      </c>
      <c r="Q54" s="318" t="s">
        <v>184</v>
      </c>
      <c r="R54" s="318" t="s">
        <v>185</v>
      </c>
      <c r="S54" s="318" t="s">
        <v>186</v>
      </c>
      <c r="T54" s="318" t="s">
        <v>187</v>
      </c>
      <c r="U54" s="318" t="s">
        <v>188</v>
      </c>
      <c r="V54" s="318" t="s">
        <v>189</v>
      </c>
      <c r="W54" s="289"/>
      <c r="X54" s="289"/>
    </row>
    <row r="55" spans="1:51" ht="13.5" hidden="1" customHeight="1">
      <c r="A55" s="289"/>
      <c r="B55" s="317"/>
      <c r="C55" s="15">
        <f>IF(C13=0,MAX(C37:J37)+1,MAX(C46:K46)+1)</f>
        <v>2</v>
      </c>
      <c r="D55" s="15">
        <f>IF(C55=0,0,IF(($C$12+$C$13+$C$14)&gt;C55,C55+1,0))</f>
        <v>0</v>
      </c>
      <c r="E55" s="15">
        <f t="shared" ref="E55:V55" si="7">IF(D55=0,0,IF(($C$12+$C$13+$C$14)&gt;D55,D55+1,0))</f>
        <v>0</v>
      </c>
      <c r="F55" s="15">
        <f t="shared" si="7"/>
        <v>0</v>
      </c>
      <c r="G55" s="15">
        <f t="shared" si="7"/>
        <v>0</v>
      </c>
      <c r="H55" s="15">
        <f t="shared" si="7"/>
        <v>0</v>
      </c>
      <c r="I55" s="15">
        <f t="shared" si="7"/>
        <v>0</v>
      </c>
      <c r="J55" s="15">
        <f t="shared" si="7"/>
        <v>0</v>
      </c>
      <c r="K55" s="15">
        <f t="shared" si="7"/>
        <v>0</v>
      </c>
      <c r="L55" s="15">
        <f t="shared" si="7"/>
        <v>0</v>
      </c>
      <c r="M55" s="15">
        <f t="shared" si="7"/>
        <v>0</v>
      </c>
      <c r="N55" s="15">
        <f t="shared" si="7"/>
        <v>0</v>
      </c>
      <c r="O55" s="15">
        <f t="shared" si="7"/>
        <v>0</v>
      </c>
      <c r="P55" s="15">
        <f t="shared" si="7"/>
        <v>0</v>
      </c>
      <c r="Q55" s="15">
        <f t="shared" si="7"/>
        <v>0</v>
      </c>
      <c r="R55" s="15">
        <f t="shared" si="7"/>
        <v>0</v>
      </c>
      <c r="S55" s="15">
        <f t="shared" si="7"/>
        <v>0</v>
      </c>
      <c r="T55" s="15">
        <f t="shared" si="7"/>
        <v>0</v>
      </c>
      <c r="U55" s="15">
        <f t="shared" si="7"/>
        <v>0</v>
      </c>
      <c r="V55" s="15">
        <f t="shared" si="7"/>
        <v>0</v>
      </c>
      <c r="W55" s="289"/>
      <c r="X55" s="289"/>
    </row>
    <row r="56" spans="1:51" ht="13.5" customHeight="1">
      <c r="A56" s="289"/>
      <c r="B56" s="331" t="s">
        <v>190</v>
      </c>
      <c r="C56" s="329">
        <f>IF($C14&gt;=1,-PPMT($C21,1,$C15,$C29),0)</f>
        <v>0</v>
      </c>
      <c r="D56" s="329">
        <f>IF($C14&gt;=2,-PPMT($C21,2,$C15,$C29),0)</f>
        <v>0</v>
      </c>
      <c r="E56" s="329">
        <f>IF($C14&gt;=3,-PPMT($C21,3,$C15,$C29),0)</f>
        <v>0</v>
      </c>
      <c r="F56" s="329">
        <f>IF($C14&gt;=4,-PPMT($C21,4,$C15,$C29),0)</f>
        <v>0</v>
      </c>
      <c r="G56" s="329">
        <f>IF($C14&gt;=5,-PPMT($C21,5,$C15,$C29),0)</f>
        <v>0</v>
      </c>
      <c r="H56" s="329">
        <f>IF($C14&gt;=6,-PPMT($C21,6,$C15,$C29),0)</f>
        <v>0</v>
      </c>
      <c r="I56" s="329">
        <f>IF($C14&gt;=7,-PPMT($C21,7,$C15,$C29),0)</f>
        <v>0</v>
      </c>
      <c r="J56" s="329">
        <f>IF($C14&gt;=8,-PPMT($C21,8,$C15,$C29),0)</f>
        <v>0</v>
      </c>
      <c r="K56" s="329">
        <f>IF($C14&gt;=9,-PPMT($C21,9,$C15,$C29),0)</f>
        <v>0</v>
      </c>
      <c r="L56" s="329">
        <f>IF($C14&gt;=10,-PPMT($C21,10,$C15,$C29),0)</f>
        <v>0</v>
      </c>
      <c r="M56" s="329">
        <f>IF($C14&gt;=11,-PPMT($C21,11,$C15,$C29),0)</f>
        <v>0</v>
      </c>
      <c r="N56" s="329">
        <f>IF($C14&gt;=12,-PPMT($C21,12,$C15,$C29),0)</f>
        <v>0</v>
      </c>
      <c r="O56" s="329">
        <f>IF($C14&gt;=13,-PPMT($C21,13,$C15,$C29),0)</f>
        <v>0</v>
      </c>
      <c r="P56" s="329">
        <f>IF($C14&gt;=14,-PPMT($C21,14,$C15,$C29),0)</f>
        <v>0</v>
      </c>
      <c r="Q56" s="329">
        <f>IF($C14&gt;=15,-PPMT($C21,15,$C15,$C29),0)</f>
        <v>0</v>
      </c>
      <c r="R56" s="329">
        <f>IF($C14&gt;=16,-PPMT($C21,16,$C15,$C29),0)</f>
        <v>0</v>
      </c>
      <c r="S56" s="329">
        <f>IF($C14&gt;=17,-PPMT($C21,17,$C15,$C29),0)</f>
        <v>0</v>
      </c>
      <c r="T56" s="329">
        <f>IF($C14&gt;=18,-PPMT($C21,18,$C15,$C29),0)</f>
        <v>0</v>
      </c>
      <c r="U56" s="329">
        <f>IF($C14&gt;=19,-PPMT($C21,19,$C15,$C29),0)</f>
        <v>0</v>
      </c>
      <c r="V56" s="329">
        <f>IF($C14&gt;=20,-PPMT($C21,20,$C15,$C29),0)</f>
        <v>0</v>
      </c>
      <c r="W56" s="289"/>
      <c r="X56" s="289"/>
    </row>
    <row r="57" spans="1:51" ht="13.5" customHeight="1">
      <c r="A57" s="289"/>
      <c r="B57" s="331" t="s">
        <v>128</v>
      </c>
      <c r="C57" s="329">
        <f>IF($C14&gt;=1,-IPMT($C21,1,$C$14,$C$29,0),0)</f>
        <v>0</v>
      </c>
      <c r="D57" s="329">
        <f>IF($C14&gt;=2,-IPMT($C21,2,$C$14,$C$29,0),0)</f>
        <v>0</v>
      </c>
      <c r="E57" s="329">
        <f>IF($C14&gt;=3,-IPMT($C21,3,$C$14,$C$29,0),0)</f>
        <v>0</v>
      </c>
      <c r="F57" s="329">
        <f>IF($C14&gt;=4,-IPMT($C21,4,$C$14,$C$29,0),0)</f>
        <v>0</v>
      </c>
      <c r="G57" s="329">
        <f>IF($C14&gt;=5,-IPMT($C21,5,$C$14,$C$29,0),0)</f>
        <v>0</v>
      </c>
      <c r="H57" s="329">
        <f>IF($C14&gt;=6,-IPMT($C21,6,$C$14,$C$29,0),0)</f>
        <v>0</v>
      </c>
      <c r="I57" s="329">
        <f>IF($C14&gt;=7,-IPMT($C21,7,$C$14,$C$29,0),0)</f>
        <v>0</v>
      </c>
      <c r="J57" s="329">
        <f>IF($C14&gt;=8,-IPMT($C21,8,$C$14,$C$29,0),0)</f>
        <v>0</v>
      </c>
      <c r="K57" s="329">
        <f>IF($C14&gt;=9,-IPMT($C21,9,$C$14,$C$29,0),0)</f>
        <v>0</v>
      </c>
      <c r="L57" s="329">
        <f>IF($C14&gt;=10,-IPMT($C21,10,$C$14,$C$29,0),0)</f>
        <v>0</v>
      </c>
      <c r="M57" s="329">
        <f>IF($C14&gt;=11,-IPMT($C21,11,$C$14,$C$29,0),0)</f>
        <v>0</v>
      </c>
      <c r="N57" s="329">
        <f>IF($C14&gt;=12,-IPMT($C21,12,$C$14,$C$29,0),0)</f>
        <v>0</v>
      </c>
      <c r="O57" s="329">
        <f>IF($C14&gt;=13,-IPMT($C21,13,$C$14,$C$29,0),0)</f>
        <v>0</v>
      </c>
      <c r="P57" s="329">
        <f>IF($C14&gt;=14,-IPMT($C21,14,$C$14,$C$29,0),0)</f>
        <v>0</v>
      </c>
      <c r="Q57" s="329">
        <f>IF($C14&gt;=15,-IPMT($C21,15,$C$14,$C$29,0),0)</f>
        <v>0</v>
      </c>
      <c r="R57" s="329">
        <f>IF($C14&gt;=16,-IPMT($C21,16,$C$14,$C$29,0),0)</f>
        <v>0</v>
      </c>
      <c r="S57" s="329">
        <f>IF($C14&gt;=17,-IPMT($C21,17,$C$14,$C$29,0),0)</f>
        <v>0</v>
      </c>
      <c r="T57" s="329">
        <f>IF($C14&gt;=18,-IPMT($C21,18,$C$14,$C$29,0),0)</f>
        <v>0</v>
      </c>
      <c r="U57" s="329">
        <f>IF($C14&gt;=19,-IPMT($C21,19,$C$14,$C$29,0),0)</f>
        <v>0</v>
      </c>
      <c r="V57" s="329">
        <f>IF($C14&gt;=20,-IPMT($C21,20,$C$14,$C$29,0),0)</f>
        <v>0</v>
      </c>
      <c r="W57" s="289"/>
      <c r="X57" s="289"/>
    </row>
    <row r="58" spans="1:51" ht="13.5" customHeight="1">
      <c r="A58" s="319"/>
      <c r="B58" s="314" t="s">
        <v>115</v>
      </c>
      <c r="C58" s="328">
        <f>IF($C14&gt;=1,(($J$18-C56)*$M12/4),0)</f>
        <v>0</v>
      </c>
      <c r="D58" s="328">
        <f>IF($C14&gt;=2,(($J$18-(C56+D56))*$M12/4),0)</f>
        <v>0</v>
      </c>
      <c r="E58" s="312">
        <f>IF($C14&gt;=3,(($J$18-(C56+D56+E56))*$M$12/4),0)</f>
        <v>0</v>
      </c>
      <c r="F58" s="312">
        <f>IF($C14&gt;=4,(($J$18-(C56+D56+E56+F56))*$M$12/4),0)</f>
        <v>0</v>
      </c>
      <c r="G58" s="312">
        <f>IF($C14&gt;=5,(($J$18-(C56+D56+E56+F56+G56))*$M$12/4),0)</f>
        <v>0</v>
      </c>
      <c r="H58" s="312">
        <f>IF($C14&gt;=6,(($J$18-(C56+D56+E56+F56+G56+H56))*$M$12/4),0)</f>
        <v>0</v>
      </c>
      <c r="I58" s="312">
        <f>IF($C14&gt;=7,(($J$18-(C56+D56+E56+F56+G56+H56+I56))*$M$12/4),0)</f>
        <v>0</v>
      </c>
      <c r="J58" s="312">
        <f>IF($C14&gt;=8,(($J$18-(C56+D56+E56+F56+G56+H56+I56+J56))*$M$12/4),0)</f>
        <v>0</v>
      </c>
      <c r="K58" s="312">
        <f>IF($C14&gt;=9,(($J$18-(C56+D56+E56+F56+G56+H56+I56+J56+K56))*$M$12/4),0)</f>
        <v>0</v>
      </c>
      <c r="L58" s="312">
        <f>IF($C14&gt;=10,(($J$18-(C56+D56+E56+F56+G56+H56+I56+J56+K56+L56))*$M$12/4),0)</f>
        <v>0</v>
      </c>
      <c r="M58" s="312">
        <f>IF($C14&gt;=11,(($J$18-(C56+D56+E56+F56+G56+H56+I56+J56+K56+L56+M56))*$M$12/4),0)</f>
        <v>0</v>
      </c>
      <c r="N58" s="312">
        <f>IF($C14&gt;=12,(($J$18-(C56+D56+E56+F56+G56+H56+I56+J56+K56+L56+M56+N56))*$M$12/4),0)</f>
        <v>0</v>
      </c>
      <c r="O58" s="312">
        <f>IF($C14&gt;=13,(($J$18-(C56+D56+E56+F56+G56+H56+I56+J56+K56+L56+M56+N56+O56))*$M$12/4),0)</f>
        <v>0</v>
      </c>
      <c r="P58" s="312">
        <f>IF($C14&gt;=14,(($J$18-(C56+D56+E56+F56+G56+H56+I56+J56+K56+L56+M56+N56+O56+P56))*$M$12/4),0)</f>
        <v>0</v>
      </c>
      <c r="Q58" s="312">
        <f>IF($C14&gt;=15,(($J$18-(C56+D56+E56+F56+G56+H56+I56+J56+K56+L56+M56+N56+O56+P56+Q56))*$M$12/4),0)</f>
        <v>0</v>
      </c>
      <c r="R58" s="312">
        <f>IF($C14&gt;=16,(($J$18-(C56+D56+E56+F56+G56+H56+I56+J56+K56+L56+M56+N56+O56+P56+Q56+R56))*$M$12/4),0)</f>
        <v>0</v>
      </c>
      <c r="S58" s="312">
        <f>IF($C14&gt;=17,(($J$18-(D56+E56+F56+G56+H56+I56+J56+K56+L56+M56+N56+O56+P56+Q56+R56+S56))*$M$12/4),0)</f>
        <v>0</v>
      </c>
      <c r="T58" s="312">
        <f>IF($C14&gt;=18,(($J$18-(E56+F56+G56+H56+I56+J56+K56+L56+M56+N56+O56+P56+Q56+R56+S56+T56))*$M$12/4),0)</f>
        <v>0</v>
      </c>
      <c r="U58" s="312">
        <f>IF($C14&gt;=19,(($J$18-(F56+G56+H56+I56+J56+K56+L56+M56+N56+O56+P56+Q56+R56+S56+T56+U56))*$M$12/4),0)</f>
        <v>0</v>
      </c>
      <c r="V58" s="312">
        <f>IF($C14&gt;=20,(($J$18-(G56+H56+I56+J56+K56+L56+M56+N56+O56+P56+Q56+R56+S56+T56+U56+V56))*$M$12/4),0)</f>
        <v>0</v>
      </c>
      <c r="W58" s="319"/>
      <c r="X58" s="319"/>
      <c r="Y58" s="320"/>
      <c r="Z58" s="320"/>
      <c r="AA58" s="320"/>
      <c r="AB58" s="320"/>
      <c r="AC58" s="320"/>
      <c r="AD58" s="320"/>
      <c r="AE58" s="320"/>
      <c r="AF58" s="320"/>
      <c r="AG58" s="320"/>
      <c r="AH58" s="320"/>
      <c r="AI58" s="320"/>
      <c r="AJ58" s="320"/>
      <c r="AK58" s="320"/>
      <c r="AL58" s="320"/>
      <c r="AM58" s="320"/>
      <c r="AN58" s="320"/>
      <c r="AO58" s="320"/>
      <c r="AP58" s="320"/>
      <c r="AQ58" s="320"/>
      <c r="AR58" s="320"/>
      <c r="AS58" s="320"/>
      <c r="AT58" s="320"/>
      <c r="AU58" s="320"/>
      <c r="AV58" s="320"/>
      <c r="AW58" s="320"/>
      <c r="AX58" s="320"/>
      <c r="AY58" s="320"/>
    </row>
    <row r="59" spans="1:51" ht="13.5" customHeight="1" thickBot="1">
      <c r="A59" s="289"/>
      <c r="B59" s="330" t="s">
        <v>178</v>
      </c>
      <c r="C59" s="330">
        <f>SUM(C56:C58)</f>
        <v>0</v>
      </c>
      <c r="D59" s="330">
        <f t="shared" ref="D59:R59" si="8">SUM(D56:D58)</f>
        <v>0</v>
      </c>
      <c r="E59" s="330">
        <f t="shared" si="8"/>
        <v>0</v>
      </c>
      <c r="F59" s="330">
        <f t="shared" si="8"/>
        <v>0</v>
      </c>
      <c r="G59" s="330">
        <f t="shared" si="8"/>
        <v>0</v>
      </c>
      <c r="H59" s="330">
        <f t="shared" si="8"/>
        <v>0</v>
      </c>
      <c r="I59" s="330">
        <f t="shared" si="8"/>
        <v>0</v>
      </c>
      <c r="J59" s="330">
        <f t="shared" si="8"/>
        <v>0</v>
      </c>
      <c r="K59" s="330">
        <f t="shared" si="8"/>
        <v>0</v>
      </c>
      <c r="L59" s="330">
        <f t="shared" si="8"/>
        <v>0</v>
      </c>
      <c r="M59" s="330">
        <f t="shared" si="8"/>
        <v>0</v>
      </c>
      <c r="N59" s="330">
        <f t="shared" si="8"/>
        <v>0</v>
      </c>
      <c r="O59" s="330">
        <f t="shared" si="8"/>
        <v>0</v>
      </c>
      <c r="P59" s="330">
        <f t="shared" si="8"/>
        <v>0</v>
      </c>
      <c r="Q59" s="330">
        <f t="shared" si="8"/>
        <v>0</v>
      </c>
      <c r="R59" s="330">
        <f t="shared" si="8"/>
        <v>0</v>
      </c>
      <c r="S59" s="330">
        <f t="shared" ref="S59:V59" si="9">SUM(S56:S57)</f>
        <v>0</v>
      </c>
      <c r="T59" s="330">
        <f t="shared" si="9"/>
        <v>0</v>
      </c>
      <c r="U59" s="330">
        <f t="shared" si="9"/>
        <v>0</v>
      </c>
      <c r="V59" s="330">
        <f t="shared" si="9"/>
        <v>0</v>
      </c>
      <c r="W59" s="289"/>
      <c r="X59" s="289"/>
    </row>
    <row r="60" spans="1:51" ht="13.5" customHeight="1" thickTop="1">
      <c r="A60" s="289"/>
      <c r="B60" s="326"/>
      <c r="C60" s="326"/>
      <c r="D60" s="326"/>
      <c r="E60" s="326"/>
      <c r="F60" s="326"/>
      <c r="G60" s="326"/>
      <c r="H60" s="326"/>
      <c r="I60" s="326"/>
      <c r="J60" s="326"/>
      <c r="K60" s="326"/>
      <c r="L60" s="326"/>
      <c r="M60" s="326"/>
      <c r="N60" s="326"/>
      <c r="O60" s="326"/>
      <c r="P60" s="326"/>
      <c r="Q60" s="326"/>
      <c r="R60" s="326"/>
      <c r="S60" s="326"/>
      <c r="T60" s="326"/>
      <c r="U60" s="326"/>
      <c r="V60" s="326"/>
      <c r="W60" s="289"/>
      <c r="X60" s="289"/>
      <c r="Y60" s="289"/>
      <c r="Z60" s="289"/>
      <c r="AA60" s="289"/>
      <c r="AB60" s="289"/>
      <c r="AC60" s="289"/>
      <c r="AD60" s="289"/>
      <c r="AE60" s="289"/>
      <c r="AF60" s="289"/>
      <c r="AG60" s="289"/>
      <c r="AH60" s="289"/>
      <c r="AI60" s="289"/>
      <c r="AJ60" s="289"/>
      <c r="AK60" s="289"/>
      <c r="AL60" s="289"/>
      <c r="AM60" s="289"/>
      <c r="AN60" s="289"/>
      <c r="AO60" s="289"/>
      <c r="AP60" s="289"/>
      <c r="AQ60" s="289"/>
      <c r="AR60" s="289"/>
      <c r="AS60" s="289"/>
      <c r="AT60" s="289"/>
      <c r="AU60" s="289"/>
      <c r="AV60" s="289"/>
      <c r="AW60" s="289"/>
      <c r="AX60" s="289"/>
      <c r="AY60" s="289"/>
    </row>
    <row r="61" spans="1:51" ht="13.5" customHeight="1">
      <c r="A61" s="289"/>
      <c r="B61" s="332" t="s">
        <v>191</v>
      </c>
      <c r="C61" s="333">
        <f t="shared" ref="C61:N61" si="10">C62-C59</f>
        <v>595328.94999999995</v>
      </c>
      <c r="D61" s="333">
        <f t="shared" si="10"/>
        <v>595328.94999999995</v>
      </c>
      <c r="E61" s="333">
        <f t="shared" si="10"/>
        <v>595328.94999999995</v>
      </c>
      <c r="F61" s="333">
        <f t="shared" si="10"/>
        <v>595328.94999999995</v>
      </c>
      <c r="G61" s="333">
        <f t="shared" si="10"/>
        <v>595328.94999999995</v>
      </c>
      <c r="H61" s="333">
        <f t="shared" si="10"/>
        <v>595328.94999999995</v>
      </c>
      <c r="I61" s="333">
        <f t="shared" si="10"/>
        <v>595328.94999999995</v>
      </c>
      <c r="J61" s="333">
        <f t="shared" si="10"/>
        <v>595328.94999999995</v>
      </c>
      <c r="K61" s="333">
        <f t="shared" si="10"/>
        <v>595328.94999999995</v>
      </c>
      <c r="L61" s="333">
        <f t="shared" si="10"/>
        <v>595328.94999999995</v>
      </c>
      <c r="M61" s="333">
        <f t="shared" si="10"/>
        <v>595328.94999999995</v>
      </c>
      <c r="N61" s="333">
        <f t="shared" si="10"/>
        <v>595328.94999999995</v>
      </c>
      <c r="O61" s="326"/>
      <c r="P61" s="326"/>
      <c r="Q61" s="326"/>
      <c r="R61" s="326"/>
      <c r="S61" s="326"/>
      <c r="T61" s="326"/>
      <c r="U61" s="326"/>
      <c r="V61" s="326"/>
      <c r="W61" s="289"/>
      <c r="X61" s="289"/>
      <c r="Y61" s="289"/>
      <c r="Z61" s="289"/>
      <c r="AA61" s="289"/>
      <c r="AB61" s="289"/>
      <c r="AC61" s="289"/>
      <c r="AD61" s="289"/>
      <c r="AE61" s="289"/>
      <c r="AF61" s="289"/>
      <c r="AG61" s="289"/>
      <c r="AH61" s="289"/>
      <c r="AI61" s="289"/>
      <c r="AJ61" s="289"/>
      <c r="AK61" s="289"/>
      <c r="AL61" s="289"/>
      <c r="AM61" s="289"/>
      <c r="AN61" s="289"/>
      <c r="AO61" s="289"/>
      <c r="AP61" s="289"/>
      <c r="AQ61" s="289"/>
      <c r="AR61" s="289"/>
      <c r="AS61" s="289"/>
      <c r="AT61" s="289"/>
      <c r="AU61" s="289"/>
      <c r="AV61" s="289"/>
      <c r="AW61" s="289"/>
      <c r="AX61" s="289"/>
      <c r="AY61" s="289"/>
    </row>
    <row r="62" spans="1:51" ht="13.5" customHeight="1">
      <c r="A62" s="289"/>
      <c r="B62" s="333"/>
      <c r="C62" s="333">
        <v>595328.94999999995</v>
      </c>
      <c r="D62" s="333">
        <f t="shared" ref="D62:N62" si="11">C61</f>
        <v>595328.94999999995</v>
      </c>
      <c r="E62" s="333">
        <f t="shared" si="11"/>
        <v>595328.94999999995</v>
      </c>
      <c r="F62" s="333">
        <f t="shared" si="11"/>
        <v>595328.94999999995</v>
      </c>
      <c r="G62" s="333">
        <f t="shared" si="11"/>
        <v>595328.94999999995</v>
      </c>
      <c r="H62" s="333">
        <f t="shared" si="11"/>
        <v>595328.94999999995</v>
      </c>
      <c r="I62" s="333">
        <f t="shared" si="11"/>
        <v>595328.94999999995</v>
      </c>
      <c r="J62" s="333">
        <f t="shared" si="11"/>
        <v>595328.94999999995</v>
      </c>
      <c r="K62" s="333">
        <f t="shared" si="11"/>
        <v>595328.94999999995</v>
      </c>
      <c r="L62" s="333">
        <f t="shared" si="11"/>
        <v>595328.94999999995</v>
      </c>
      <c r="M62" s="333">
        <f t="shared" si="11"/>
        <v>595328.94999999995</v>
      </c>
      <c r="N62" s="333">
        <f t="shared" si="11"/>
        <v>595328.94999999995</v>
      </c>
      <c r="O62" s="326"/>
      <c r="P62" s="326"/>
      <c r="Q62" s="326"/>
      <c r="R62" s="326"/>
      <c r="S62" s="326"/>
      <c r="T62" s="326"/>
      <c r="U62" s="326"/>
      <c r="V62" s="326"/>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row>
    <row r="63" spans="1:51" ht="13.5" customHeight="1">
      <c r="A63" s="289"/>
      <c r="B63" s="334"/>
      <c r="C63" s="334"/>
      <c r="D63" s="334"/>
      <c r="E63" s="334"/>
      <c r="F63" s="334"/>
      <c r="G63" s="334"/>
      <c r="H63" s="334"/>
      <c r="I63" s="334"/>
      <c r="J63" s="334"/>
      <c r="K63" s="334"/>
      <c r="L63" s="334"/>
      <c r="M63" s="334"/>
      <c r="N63" s="334"/>
      <c r="O63" s="289"/>
      <c r="P63" s="289"/>
      <c r="Q63" s="289"/>
      <c r="R63" s="289"/>
      <c r="S63" s="289"/>
      <c r="T63" s="289"/>
      <c r="U63" s="289"/>
      <c r="V63" s="289"/>
      <c r="W63" s="289"/>
      <c r="X63" s="289"/>
      <c r="Y63" s="289"/>
      <c r="Z63" s="289"/>
      <c r="AA63" s="289"/>
      <c r="AB63" s="289"/>
      <c r="AC63" s="289"/>
      <c r="AD63" s="289"/>
      <c r="AE63" s="289"/>
      <c r="AF63" s="289"/>
      <c r="AG63" s="289"/>
      <c r="AH63" s="289"/>
      <c r="AI63" s="289"/>
      <c r="AJ63" s="289"/>
      <c r="AK63" s="289"/>
      <c r="AL63" s="289"/>
      <c r="AM63" s="289"/>
      <c r="AN63" s="289"/>
      <c r="AO63" s="289"/>
      <c r="AP63" s="289"/>
      <c r="AQ63" s="289"/>
      <c r="AR63" s="289"/>
      <c r="AS63" s="289"/>
      <c r="AT63" s="289"/>
      <c r="AU63" s="289"/>
      <c r="AV63" s="289"/>
      <c r="AW63" s="289"/>
      <c r="AX63" s="289"/>
      <c r="AY63" s="289"/>
    </row>
    <row r="64" spans="1:51" ht="13.5" customHeight="1">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c r="AA64" s="289"/>
      <c r="AB64" s="289"/>
      <c r="AC64" s="289"/>
      <c r="AD64" s="289"/>
      <c r="AE64" s="289"/>
      <c r="AF64" s="289"/>
      <c r="AG64" s="289"/>
      <c r="AH64" s="289"/>
      <c r="AI64" s="289"/>
      <c r="AJ64" s="289"/>
      <c r="AK64" s="289"/>
      <c r="AL64" s="289"/>
      <c r="AM64" s="289"/>
      <c r="AN64" s="289"/>
      <c r="AO64" s="289"/>
      <c r="AP64" s="289"/>
      <c r="AQ64" s="289"/>
      <c r="AR64" s="289"/>
      <c r="AS64" s="289"/>
      <c r="AT64" s="289"/>
      <c r="AU64" s="289"/>
      <c r="AV64" s="289"/>
      <c r="AW64" s="289"/>
      <c r="AX64" s="289"/>
      <c r="AY64" s="289"/>
    </row>
    <row r="65" spans="1:51" ht="13.5" customHeight="1">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row>
    <row r="66" spans="1:51" ht="13.5" customHeight="1">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c r="AA66" s="289"/>
      <c r="AB66" s="289"/>
      <c r="AC66" s="289"/>
      <c r="AD66" s="289"/>
      <c r="AE66" s="289"/>
      <c r="AF66" s="289"/>
      <c r="AG66" s="289"/>
      <c r="AH66" s="289"/>
      <c r="AI66" s="289"/>
      <c r="AJ66" s="289"/>
      <c r="AK66" s="289"/>
      <c r="AL66" s="289"/>
      <c r="AM66" s="289"/>
      <c r="AN66" s="289"/>
      <c r="AO66" s="289"/>
      <c r="AP66" s="289"/>
      <c r="AQ66" s="289"/>
      <c r="AR66" s="289"/>
      <c r="AS66" s="289"/>
      <c r="AT66" s="289"/>
      <c r="AU66" s="289"/>
      <c r="AV66" s="289"/>
      <c r="AW66" s="289"/>
      <c r="AX66" s="289"/>
      <c r="AY66" s="289"/>
    </row>
    <row r="67" spans="1:51" ht="13.5" customHeight="1">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c r="AA67" s="289"/>
      <c r="AB67" s="289"/>
      <c r="AC67" s="289"/>
      <c r="AD67" s="289"/>
      <c r="AE67" s="289"/>
      <c r="AF67" s="289"/>
      <c r="AG67" s="289"/>
      <c r="AH67" s="289"/>
      <c r="AI67" s="289"/>
      <c r="AJ67" s="289"/>
      <c r="AK67" s="289"/>
      <c r="AL67" s="289"/>
      <c r="AM67" s="289"/>
      <c r="AN67" s="289"/>
      <c r="AO67" s="289"/>
      <c r="AP67" s="289"/>
      <c r="AQ67" s="289"/>
      <c r="AR67" s="289"/>
      <c r="AS67" s="289"/>
      <c r="AT67" s="289"/>
      <c r="AU67" s="289"/>
      <c r="AV67" s="289"/>
      <c r="AW67" s="289"/>
      <c r="AX67" s="289"/>
      <c r="AY67" s="289"/>
    </row>
    <row r="68" spans="1:51" ht="13.5" customHeight="1">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c r="AA68" s="289"/>
      <c r="AB68" s="289"/>
      <c r="AC68" s="289"/>
      <c r="AD68" s="289"/>
      <c r="AE68" s="289"/>
      <c r="AF68" s="289"/>
      <c r="AG68" s="289"/>
      <c r="AH68" s="289"/>
      <c r="AI68" s="289"/>
      <c r="AJ68" s="289"/>
      <c r="AK68" s="289"/>
      <c r="AL68" s="289"/>
      <c r="AM68" s="289"/>
      <c r="AN68" s="289"/>
      <c r="AO68" s="289"/>
      <c r="AP68" s="289"/>
      <c r="AQ68" s="289"/>
      <c r="AR68" s="289"/>
      <c r="AS68" s="289"/>
      <c r="AT68" s="289"/>
      <c r="AU68" s="289"/>
      <c r="AV68" s="289"/>
      <c r="AW68" s="289"/>
      <c r="AX68" s="289"/>
      <c r="AY68" s="289"/>
    </row>
    <row r="69" spans="1:51" ht="13.5" customHeight="1">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row>
    <row r="70" spans="1:51" ht="13.5" customHeight="1">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row>
    <row r="71" spans="1:51" ht="13.5" customHeight="1">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c r="AA71" s="289"/>
      <c r="AB71" s="289"/>
      <c r="AC71" s="289"/>
      <c r="AD71" s="289"/>
      <c r="AE71" s="289"/>
      <c r="AF71" s="289"/>
      <c r="AG71" s="289"/>
      <c r="AH71" s="289"/>
      <c r="AI71" s="289"/>
      <c r="AJ71" s="289"/>
      <c r="AK71" s="289"/>
      <c r="AL71" s="289"/>
      <c r="AM71" s="289"/>
      <c r="AN71" s="289"/>
      <c r="AO71" s="289"/>
      <c r="AP71" s="289"/>
      <c r="AQ71" s="289"/>
      <c r="AR71" s="289"/>
      <c r="AS71" s="289"/>
      <c r="AT71" s="289"/>
      <c r="AU71" s="289"/>
      <c r="AV71" s="289"/>
      <c r="AW71" s="289"/>
      <c r="AX71" s="289"/>
      <c r="AY71" s="289"/>
    </row>
    <row r="72" spans="1:51" ht="13.5" customHeight="1">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c r="AA72" s="289"/>
      <c r="AB72" s="289"/>
      <c r="AC72" s="289"/>
      <c r="AD72" s="289"/>
      <c r="AE72" s="289"/>
      <c r="AF72" s="289"/>
      <c r="AG72" s="289"/>
      <c r="AH72" s="289"/>
      <c r="AI72" s="289"/>
      <c r="AJ72" s="289"/>
      <c r="AK72" s="289"/>
      <c r="AL72" s="289"/>
      <c r="AM72" s="289"/>
      <c r="AN72" s="289"/>
      <c r="AO72" s="289"/>
      <c r="AP72" s="289"/>
      <c r="AQ72" s="289"/>
      <c r="AR72" s="289"/>
      <c r="AS72" s="289"/>
      <c r="AT72" s="289"/>
      <c r="AU72" s="289"/>
      <c r="AV72" s="289"/>
      <c r="AW72" s="289"/>
      <c r="AX72" s="289"/>
      <c r="AY72" s="289"/>
    </row>
    <row r="73" spans="1:51" ht="13.5" customHeight="1">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89"/>
      <c r="AH73" s="289"/>
      <c r="AI73" s="289"/>
      <c r="AJ73" s="289"/>
      <c r="AK73" s="289"/>
      <c r="AL73" s="289"/>
      <c r="AM73" s="289"/>
      <c r="AN73" s="289"/>
      <c r="AO73" s="289"/>
      <c r="AP73" s="289"/>
      <c r="AQ73" s="289"/>
      <c r="AR73" s="289"/>
      <c r="AS73" s="289"/>
      <c r="AT73" s="289"/>
      <c r="AU73" s="289"/>
      <c r="AV73" s="289"/>
      <c r="AW73" s="289"/>
      <c r="AX73" s="289"/>
      <c r="AY73" s="289"/>
    </row>
    <row r="74" spans="1:51" ht="13.5" customHeight="1">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289"/>
      <c r="AN74" s="289"/>
      <c r="AO74" s="289"/>
      <c r="AP74" s="289"/>
      <c r="AQ74" s="289"/>
      <c r="AR74" s="289"/>
      <c r="AS74" s="289"/>
      <c r="AT74" s="289"/>
      <c r="AU74" s="289"/>
      <c r="AV74" s="289"/>
      <c r="AW74" s="289"/>
      <c r="AX74" s="289"/>
      <c r="AY74" s="289"/>
    </row>
    <row r="75" spans="1:51" ht="13.5" customHeight="1">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c r="AA75" s="289"/>
      <c r="AB75" s="289"/>
      <c r="AC75" s="289"/>
      <c r="AD75" s="289"/>
      <c r="AE75" s="289"/>
      <c r="AF75" s="289"/>
      <c r="AG75" s="289"/>
      <c r="AH75" s="289"/>
      <c r="AI75" s="289"/>
      <c r="AJ75" s="289"/>
      <c r="AK75" s="289"/>
      <c r="AL75" s="289"/>
      <c r="AM75" s="289"/>
      <c r="AN75" s="289"/>
      <c r="AO75" s="289"/>
      <c r="AP75" s="289"/>
      <c r="AQ75" s="289"/>
      <c r="AR75" s="289"/>
      <c r="AS75" s="289"/>
      <c r="AT75" s="289"/>
      <c r="AU75" s="289"/>
      <c r="AV75" s="289"/>
      <c r="AW75" s="289"/>
      <c r="AX75" s="289"/>
      <c r="AY75" s="289"/>
    </row>
    <row r="76" spans="1:51" ht="13.5" customHeight="1">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c r="AA76" s="289"/>
      <c r="AB76" s="289"/>
      <c r="AC76" s="289"/>
      <c r="AD76" s="289"/>
      <c r="AE76" s="289"/>
      <c r="AF76" s="289"/>
      <c r="AG76" s="289"/>
      <c r="AH76" s="289"/>
      <c r="AI76" s="289"/>
      <c r="AJ76" s="289"/>
      <c r="AK76" s="289"/>
      <c r="AL76" s="289"/>
      <c r="AM76" s="289"/>
      <c r="AN76" s="289"/>
      <c r="AO76" s="289"/>
      <c r="AP76" s="289"/>
      <c r="AQ76" s="289"/>
      <c r="AR76" s="289"/>
      <c r="AS76" s="289"/>
      <c r="AT76" s="289"/>
      <c r="AU76" s="289"/>
      <c r="AV76" s="289"/>
      <c r="AW76" s="289"/>
      <c r="AX76" s="289"/>
      <c r="AY76" s="289"/>
    </row>
    <row r="77" spans="1:51" ht="13.5" customHeight="1">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c r="AB77" s="289"/>
      <c r="AC77" s="289"/>
      <c r="AD77" s="289"/>
      <c r="AE77" s="289"/>
      <c r="AF77" s="289"/>
      <c r="AG77" s="289"/>
      <c r="AH77" s="289"/>
      <c r="AI77" s="289"/>
      <c r="AJ77" s="289"/>
      <c r="AK77" s="289"/>
      <c r="AL77" s="289"/>
      <c r="AM77" s="289"/>
      <c r="AN77" s="289"/>
      <c r="AO77" s="289"/>
      <c r="AP77" s="289"/>
      <c r="AQ77" s="289"/>
      <c r="AR77" s="289"/>
      <c r="AS77" s="289"/>
      <c r="AT77" s="289"/>
      <c r="AU77" s="289"/>
      <c r="AV77" s="289"/>
      <c r="AW77" s="289"/>
      <c r="AX77" s="289"/>
      <c r="AY77" s="289"/>
    </row>
    <row r="78" spans="1:51" ht="13.5" customHeight="1">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c r="AA78" s="289"/>
      <c r="AB78" s="289"/>
      <c r="AC78" s="289"/>
      <c r="AD78" s="289"/>
      <c r="AE78" s="289"/>
      <c r="AF78" s="289"/>
      <c r="AG78" s="289"/>
      <c r="AH78" s="289"/>
      <c r="AI78" s="289"/>
      <c r="AJ78" s="289"/>
      <c r="AK78" s="289"/>
      <c r="AL78" s="289"/>
      <c r="AM78" s="289"/>
      <c r="AN78" s="289"/>
      <c r="AO78" s="289"/>
      <c r="AP78" s="289"/>
      <c r="AQ78" s="289"/>
      <c r="AR78" s="289"/>
      <c r="AS78" s="289"/>
      <c r="AT78" s="289"/>
      <c r="AU78" s="289"/>
      <c r="AV78" s="289"/>
      <c r="AW78" s="289"/>
      <c r="AX78" s="289"/>
      <c r="AY78" s="289"/>
    </row>
    <row r="79" spans="1:51" ht="13.5" customHeight="1">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c r="AA79" s="289"/>
      <c r="AB79" s="289"/>
      <c r="AC79" s="289"/>
      <c r="AD79" s="289"/>
      <c r="AE79" s="289"/>
      <c r="AF79" s="289"/>
      <c r="AG79" s="289"/>
      <c r="AH79" s="289"/>
      <c r="AI79" s="289"/>
      <c r="AJ79" s="289"/>
      <c r="AK79" s="289"/>
      <c r="AL79" s="289"/>
      <c r="AM79" s="289"/>
      <c r="AN79" s="289"/>
      <c r="AO79" s="289"/>
      <c r="AP79" s="289"/>
      <c r="AQ79" s="289"/>
      <c r="AR79" s="289"/>
      <c r="AS79" s="289"/>
      <c r="AT79" s="289"/>
      <c r="AU79" s="289"/>
      <c r="AV79" s="289"/>
      <c r="AW79" s="289"/>
      <c r="AX79" s="289"/>
      <c r="AY79" s="289"/>
    </row>
    <row r="80" spans="1:51" ht="13.5" customHeight="1">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c r="AA80" s="289"/>
      <c r="AB80" s="289"/>
      <c r="AC80" s="289"/>
      <c r="AD80" s="289"/>
      <c r="AE80" s="289"/>
      <c r="AF80" s="289"/>
      <c r="AG80" s="289"/>
      <c r="AH80" s="289"/>
      <c r="AI80" s="289"/>
      <c r="AJ80" s="289"/>
      <c r="AK80" s="289"/>
      <c r="AL80" s="289"/>
      <c r="AM80" s="289"/>
      <c r="AN80" s="289"/>
      <c r="AO80" s="289"/>
      <c r="AP80" s="289"/>
      <c r="AQ80" s="289"/>
      <c r="AR80" s="289"/>
      <c r="AS80" s="289"/>
      <c r="AT80" s="289"/>
      <c r="AU80" s="289"/>
      <c r="AV80" s="289"/>
      <c r="AW80" s="289"/>
      <c r="AX80" s="289"/>
      <c r="AY80" s="289"/>
    </row>
    <row r="81" spans="1:51" ht="13.5" customHeight="1">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c r="AA81" s="289"/>
      <c r="AB81" s="289"/>
      <c r="AC81" s="289"/>
      <c r="AD81" s="289"/>
      <c r="AE81" s="289"/>
      <c r="AF81" s="289"/>
      <c r="AG81" s="289"/>
      <c r="AH81" s="289"/>
      <c r="AI81" s="289"/>
      <c r="AJ81" s="289"/>
      <c r="AK81" s="289"/>
      <c r="AL81" s="289"/>
      <c r="AM81" s="289"/>
      <c r="AN81" s="289"/>
      <c r="AO81" s="289"/>
      <c r="AP81" s="289"/>
      <c r="AQ81" s="289"/>
      <c r="AR81" s="289"/>
      <c r="AS81" s="289"/>
      <c r="AT81" s="289"/>
      <c r="AU81" s="289"/>
      <c r="AV81" s="289"/>
      <c r="AW81" s="289"/>
      <c r="AX81" s="289"/>
      <c r="AY81" s="289"/>
    </row>
    <row r="82" spans="1:51" ht="13.5" customHeight="1">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c r="AA82" s="289"/>
      <c r="AB82" s="289"/>
      <c r="AC82" s="289"/>
      <c r="AD82" s="289"/>
      <c r="AE82" s="289"/>
      <c r="AF82" s="289"/>
      <c r="AG82" s="289"/>
      <c r="AH82" s="289"/>
      <c r="AI82" s="289"/>
      <c r="AJ82" s="289"/>
      <c r="AK82" s="289"/>
      <c r="AL82" s="289"/>
      <c r="AM82" s="289"/>
      <c r="AN82" s="289"/>
      <c r="AO82" s="289"/>
      <c r="AP82" s="289"/>
      <c r="AQ82" s="289"/>
      <c r="AR82" s="289"/>
      <c r="AS82" s="289"/>
      <c r="AT82" s="289"/>
      <c r="AU82" s="289"/>
      <c r="AV82" s="289"/>
      <c r="AW82" s="289"/>
      <c r="AX82" s="289"/>
      <c r="AY82" s="289"/>
    </row>
    <row r="83" spans="1:51" ht="13.5" customHeight="1">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row>
    <row r="84" spans="1:51" ht="13.5" customHeight="1">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c r="AB84" s="289"/>
      <c r="AC84" s="289"/>
      <c r="AD84" s="289"/>
      <c r="AE84" s="289"/>
      <c r="AF84" s="289"/>
      <c r="AG84" s="289"/>
      <c r="AH84" s="289"/>
      <c r="AI84" s="289"/>
      <c r="AJ84" s="289"/>
      <c r="AK84" s="289"/>
      <c r="AL84" s="289"/>
      <c r="AM84" s="289"/>
      <c r="AN84" s="289"/>
      <c r="AO84" s="289"/>
      <c r="AP84" s="289"/>
      <c r="AQ84" s="289"/>
      <c r="AR84" s="289"/>
      <c r="AS84" s="289"/>
      <c r="AT84" s="289"/>
      <c r="AU84" s="289"/>
      <c r="AV84" s="289"/>
      <c r="AW84" s="289"/>
      <c r="AX84" s="289"/>
      <c r="AY84" s="289"/>
    </row>
    <row r="85" spans="1:51" ht="13.5" customHeight="1">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c r="AA85" s="289"/>
      <c r="AB85" s="289"/>
      <c r="AC85" s="289"/>
      <c r="AD85" s="289"/>
      <c r="AE85" s="289"/>
      <c r="AF85" s="289"/>
      <c r="AG85" s="289"/>
      <c r="AH85" s="289"/>
      <c r="AI85" s="289"/>
      <c r="AJ85" s="289"/>
      <c r="AK85" s="289"/>
      <c r="AL85" s="289"/>
      <c r="AM85" s="289"/>
      <c r="AN85" s="289"/>
      <c r="AO85" s="289"/>
      <c r="AP85" s="289"/>
      <c r="AQ85" s="289"/>
      <c r="AR85" s="289"/>
      <c r="AS85" s="289"/>
      <c r="AT85" s="289"/>
      <c r="AU85" s="289"/>
      <c r="AV85" s="289"/>
      <c r="AW85" s="289"/>
      <c r="AX85" s="289"/>
      <c r="AY85" s="289"/>
    </row>
    <row r="86" spans="1:51" ht="13.5" customHeight="1">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289"/>
      <c r="AX86" s="289"/>
      <c r="AY86" s="289"/>
    </row>
    <row r="87" spans="1:51" ht="13.5" customHeight="1">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c r="AA87" s="289"/>
      <c r="AB87" s="289"/>
      <c r="AC87" s="289"/>
      <c r="AD87" s="289"/>
      <c r="AE87" s="289"/>
      <c r="AF87" s="289"/>
      <c r="AG87" s="289"/>
      <c r="AH87" s="289"/>
      <c r="AI87" s="289"/>
      <c r="AJ87" s="289"/>
      <c r="AK87" s="289"/>
      <c r="AL87" s="289"/>
      <c r="AM87" s="289"/>
      <c r="AN87" s="289"/>
      <c r="AO87" s="289"/>
      <c r="AP87" s="289"/>
      <c r="AQ87" s="289"/>
      <c r="AR87" s="289"/>
      <c r="AS87" s="289"/>
      <c r="AT87" s="289"/>
      <c r="AU87" s="289"/>
      <c r="AV87" s="289"/>
      <c r="AW87" s="289"/>
      <c r="AX87" s="289"/>
      <c r="AY87" s="289"/>
    </row>
    <row r="88" spans="1:51" ht="13.5" customHeight="1">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c r="AA88" s="289"/>
      <c r="AB88" s="289"/>
      <c r="AC88" s="289"/>
      <c r="AD88" s="289"/>
      <c r="AE88" s="289"/>
      <c r="AF88" s="289"/>
      <c r="AG88" s="289"/>
      <c r="AH88" s="289"/>
      <c r="AI88" s="289"/>
      <c r="AJ88" s="289"/>
      <c r="AK88" s="289"/>
      <c r="AL88" s="289"/>
      <c r="AM88" s="289"/>
      <c r="AN88" s="289"/>
      <c r="AO88" s="289"/>
      <c r="AP88" s="289"/>
      <c r="AQ88" s="289"/>
      <c r="AR88" s="289"/>
      <c r="AS88" s="289"/>
      <c r="AT88" s="289"/>
      <c r="AU88" s="289"/>
      <c r="AV88" s="289"/>
      <c r="AW88" s="289"/>
      <c r="AX88" s="289"/>
      <c r="AY88" s="289"/>
    </row>
    <row r="89" spans="1:51" ht="13.5" customHeight="1">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289"/>
      <c r="AC89" s="289"/>
      <c r="AD89" s="289"/>
      <c r="AE89" s="289"/>
      <c r="AF89" s="289"/>
      <c r="AG89" s="289"/>
      <c r="AH89" s="289"/>
      <c r="AI89" s="289"/>
      <c r="AJ89" s="289"/>
      <c r="AK89" s="289"/>
      <c r="AL89" s="289"/>
      <c r="AM89" s="289"/>
      <c r="AN89" s="289"/>
      <c r="AO89" s="289"/>
      <c r="AP89" s="289"/>
      <c r="AQ89" s="289"/>
      <c r="AR89" s="289"/>
      <c r="AS89" s="289"/>
      <c r="AT89" s="289"/>
      <c r="AU89" s="289"/>
      <c r="AV89" s="289"/>
      <c r="AW89" s="289"/>
      <c r="AX89" s="289"/>
      <c r="AY89" s="289"/>
    </row>
    <row r="90" spans="1:51" ht="13.5" customHeight="1">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289"/>
      <c r="AC90" s="289"/>
      <c r="AD90" s="289"/>
      <c r="AE90" s="289"/>
      <c r="AF90" s="289"/>
      <c r="AG90" s="289"/>
      <c r="AH90" s="289"/>
      <c r="AI90" s="289"/>
      <c r="AJ90" s="289"/>
      <c r="AK90" s="289"/>
      <c r="AL90" s="289"/>
      <c r="AM90" s="289"/>
      <c r="AN90" s="289"/>
      <c r="AO90" s="289"/>
      <c r="AP90" s="289"/>
      <c r="AQ90" s="289"/>
      <c r="AR90" s="289"/>
      <c r="AS90" s="289"/>
      <c r="AT90" s="289"/>
      <c r="AU90" s="289"/>
      <c r="AV90" s="289"/>
      <c r="AW90" s="289"/>
      <c r="AX90" s="289"/>
      <c r="AY90" s="289"/>
    </row>
    <row r="91" spans="1:51" ht="13.5" customHeight="1">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c r="AA91" s="289"/>
      <c r="AB91" s="289"/>
      <c r="AC91" s="289"/>
      <c r="AD91" s="289"/>
      <c r="AE91" s="289"/>
      <c r="AF91" s="289"/>
      <c r="AG91" s="289"/>
      <c r="AH91" s="289"/>
      <c r="AI91" s="289"/>
      <c r="AJ91" s="289"/>
      <c r="AK91" s="289"/>
      <c r="AL91" s="289"/>
      <c r="AM91" s="289"/>
      <c r="AN91" s="289"/>
      <c r="AO91" s="289"/>
      <c r="AP91" s="289"/>
      <c r="AQ91" s="289"/>
      <c r="AR91" s="289"/>
      <c r="AS91" s="289"/>
      <c r="AT91" s="289"/>
      <c r="AU91" s="289"/>
      <c r="AV91" s="289"/>
      <c r="AW91" s="289"/>
      <c r="AX91" s="289"/>
      <c r="AY91" s="289"/>
    </row>
    <row r="92" spans="1:51" ht="13.5" customHeight="1">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c r="AA92" s="289"/>
      <c r="AB92" s="289"/>
      <c r="AC92" s="289"/>
      <c r="AD92" s="289"/>
      <c r="AE92" s="289"/>
      <c r="AF92" s="289"/>
      <c r="AG92" s="289"/>
      <c r="AH92" s="289"/>
      <c r="AI92" s="289"/>
      <c r="AJ92" s="289"/>
      <c r="AK92" s="289"/>
      <c r="AL92" s="289"/>
      <c r="AM92" s="289"/>
      <c r="AN92" s="289"/>
      <c r="AO92" s="289"/>
      <c r="AP92" s="289"/>
      <c r="AQ92" s="289"/>
      <c r="AR92" s="289"/>
      <c r="AS92" s="289"/>
      <c r="AT92" s="289"/>
      <c r="AU92" s="289"/>
      <c r="AV92" s="289"/>
      <c r="AW92" s="289"/>
      <c r="AX92" s="289"/>
      <c r="AY92" s="289"/>
    </row>
    <row r="93" spans="1:51" ht="13.5" customHeight="1">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c r="AA93" s="289"/>
      <c r="AB93" s="289"/>
      <c r="AC93" s="289"/>
      <c r="AD93" s="289"/>
      <c r="AE93" s="289"/>
      <c r="AF93" s="289"/>
      <c r="AG93" s="289"/>
      <c r="AH93" s="289"/>
      <c r="AI93" s="289"/>
      <c r="AJ93" s="289"/>
      <c r="AK93" s="289"/>
      <c r="AL93" s="289"/>
      <c r="AM93" s="289"/>
      <c r="AN93" s="289"/>
      <c r="AO93" s="289"/>
      <c r="AP93" s="289"/>
      <c r="AQ93" s="289"/>
      <c r="AR93" s="289"/>
      <c r="AS93" s="289"/>
      <c r="AT93" s="289"/>
      <c r="AU93" s="289"/>
      <c r="AV93" s="289"/>
      <c r="AW93" s="289"/>
      <c r="AX93" s="289"/>
      <c r="AY93" s="289"/>
    </row>
    <row r="94" spans="1:51" ht="13.5" customHeight="1">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c r="AA94" s="289"/>
      <c r="AB94" s="289"/>
      <c r="AC94" s="289"/>
      <c r="AD94" s="289"/>
      <c r="AE94" s="289"/>
      <c r="AF94" s="289"/>
      <c r="AG94" s="289"/>
      <c r="AH94" s="289"/>
      <c r="AI94" s="289"/>
      <c r="AJ94" s="289"/>
      <c r="AK94" s="289"/>
      <c r="AL94" s="289"/>
      <c r="AM94" s="289"/>
      <c r="AN94" s="289"/>
      <c r="AO94" s="289"/>
      <c r="AP94" s="289"/>
      <c r="AQ94" s="289"/>
      <c r="AR94" s="289"/>
      <c r="AS94" s="289"/>
      <c r="AT94" s="289"/>
      <c r="AU94" s="289"/>
      <c r="AV94" s="289"/>
      <c r="AW94" s="289"/>
      <c r="AX94" s="289"/>
      <c r="AY94" s="289"/>
    </row>
    <row r="95" spans="1:51" ht="13.5" customHeight="1">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c r="AA95" s="289"/>
      <c r="AB95" s="289"/>
      <c r="AC95" s="289"/>
      <c r="AD95" s="289"/>
      <c r="AE95" s="289"/>
      <c r="AF95" s="289"/>
      <c r="AG95" s="289"/>
      <c r="AH95" s="289"/>
      <c r="AI95" s="289"/>
      <c r="AJ95" s="289"/>
      <c r="AK95" s="289"/>
      <c r="AL95" s="289"/>
      <c r="AM95" s="289"/>
      <c r="AN95" s="289"/>
      <c r="AO95" s="289"/>
      <c r="AP95" s="289"/>
      <c r="AQ95" s="289"/>
      <c r="AR95" s="289"/>
      <c r="AS95" s="289"/>
      <c r="AT95" s="289"/>
      <c r="AU95" s="289"/>
      <c r="AV95" s="289"/>
      <c r="AW95" s="289"/>
      <c r="AX95" s="289"/>
      <c r="AY95" s="289"/>
    </row>
    <row r="96" spans="1:51" ht="13.5" customHeight="1">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c r="AA96" s="289"/>
      <c r="AB96" s="289"/>
      <c r="AC96" s="289"/>
      <c r="AD96" s="289"/>
      <c r="AE96" s="289"/>
      <c r="AF96" s="289"/>
      <c r="AG96" s="289"/>
      <c r="AH96" s="289"/>
      <c r="AI96" s="289"/>
      <c r="AJ96" s="289"/>
      <c r="AK96" s="289"/>
      <c r="AL96" s="289"/>
      <c r="AM96" s="289"/>
      <c r="AN96" s="289"/>
      <c r="AO96" s="289"/>
      <c r="AP96" s="289"/>
      <c r="AQ96" s="289"/>
      <c r="AR96" s="289"/>
      <c r="AS96" s="289"/>
      <c r="AT96" s="289"/>
      <c r="AU96" s="289"/>
      <c r="AV96" s="289"/>
      <c r="AW96" s="289"/>
      <c r="AX96" s="289"/>
      <c r="AY96" s="289"/>
    </row>
    <row r="97" spans="1:51" ht="13.5" customHeight="1">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c r="AA97" s="289"/>
      <c r="AB97" s="289"/>
      <c r="AC97" s="289"/>
      <c r="AD97" s="289"/>
      <c r="AE97" s="289"/>
      <c r="AF97" s="289"/>
      <c r="AG97" s="289"/>
      <c r="AH97" s="289"/>
      <c r="AI97" s="289"/>
      <c r="AJ97" s="289"/>
      <c r="AK97" s="289"/>
      <c r="AL97" s="289"/>
      <c r="AM97" s="289"/>
      <c r="AN97" s="289"/>
      <c r="AO97" s="289"/>
      <c r="AP97" s="289"/>
      <c r="AQ97" s="289"/>
      <c r="AR97" s="289"/>
      <c r="AS97" s="289"/>
      <c r="AT97" s="289"/>
      <c r="AU97" s="289"/>
      <c r="AV97" s="289"/>
      <c r="AW97" s="289"/>
      <c r="AX97" s="289"/>
      <c r="AY97" s="289"/>
    </row>
    <row r="98" spans="1:51" ht="13.5" customHeight="1">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289"/>
      <c r="AW98" s="289"/>
      <c r="AX98" s="289"/>
      <c r="AY98" s="289"/>
    </row>
    <row r="99" spans="1:51" ht="13.5" customHeight="1">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W99" s="289"/>
      <c r="AX99" s="289"/>
      <c r="AY99" s="289"/>
    </row>
    <row r="100" spans="1:51" ht="13.5" customHeight="1">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c r="AA100" s="289"/>
      <c r="AB100" s="289"/>
      <c r="AC100" s="289"/>
      <c r="AD100" s="289"/>
      <c r="AE100" s="289"/>
      <c r="AF100" s="289"/>
      <c r="AG100" s="289"/>
      <c r="AH100" s="289"/>
      <c r="AI100" s="289"/>
      <c r="AJ100" s="289"/>
      <c r="AK100" s="289"/>
      <c r="AL100" s="289"/>
      <c r="AM100" s="289"/>
      <c r="AN100" s="289"/>
      <c r="AO100" s="289"/>
      <c r="AP100" s="289"/>
      <c r="AQ100" s="289"/>
      <c r="AR100" s="289"/>
      <c r="AS100" s="289"/>
      <c r="AT100" s="289"/>
      <c r="AU100" s="289"/>
      <c r="AV100" s="289"/>
      <c r="AW100" s="289"/>
      <c r="AX100" s="289"/>
      <c r="AY100" s="289"/>
    </row>
    <row r="101" spans="1:51" ht="13.5" customHeight="1">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c r="AA101" s="289"/>
      <c r="AB101" s="289"/>
      <c r="AC101" s="289"/>
      <c r="AD101" s="289"/>
      <c r="AE101" s="289"/>
      <c r="AF101" s="289"/>
      <c r="AG101" s="289"/>
      <c r="AH101" s="289"/>
      <c r="AI101" s="289"/>
      <c r="AJ101" s="289"/>
      <c r="AK101" s="289"/>
      <c r="AL101" s="289"/>
      <c r="AM101" s="289"/>
      <c r="AN101" s="289"/>
      <c r="AO101" s="289"/>
      <c r="AP101" s="289"/>
      <c r="AQ101" s="289"/>
      <c r="AR101" s="289"/>
      <c r="AS101" s="289"/>
      <c r="AT101" s="289"/>
      <c r="AU101" s="289"/>
      <c r="AV101" s="289"/>
      <c r="AW101" s="289"/>
      <c r="AX101" s="289"/>
      <c r="AY101" s="289"/>
    </row>
    <row r="102" spans="1:51" ht="13.5" customHeight="1">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c r="AA102" s="289"/>
      <c r="AB102" s="289"/>
      <c r="AC102" s="289"/>
      <c r="AD102" s="289"/>
      <c r="AE102" s="289"/>
      <c r="AF102" s="289"/>
      <c r="AG102" s="289"/>
      <c r="AH102" s="289"/>
      <c r="AI102" s="289"/>
      <c r="AJ102" s="289"/>
      <c r="AK102" s="289"/>
      <c r="AL102" s="289"/>
      <c r="AM102" s="289"/>
      <c r="AN102" s="289"/>
      <c r="AO102" s="289"/>
      <c r="AP102" s="289"/>
      <c r="AQ102" s="289"/>
      <c r="AR102" s="289"/>
      <c r="AS102" s="289"/>
      <c r="AT102" s="289"/>
      <c r="AU102" s="289"/>
      <c r="AV102" s="289"/>
      <c r="AW102" s="289"/>
      <c r="AX102" s="289"/>
      <c r="AY102" s="289"/>
    </row>
    <row r="103" spans="1:51" ht="13.5" customHeight="1">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c r="AA103" s="289"/>
      <c r="AB103" s="289"/>
      <c r="AC103" s="289"/>
      <c r="AD103" s="289"/>
      <c r="AE103" s="289"/>
      <c r="AF103" s="289"/>
      <c r="AG103" s="289"/>
      <c r="AH103" s="289"/>
      <c r="AI103" s="289"/>
      <c r="AJ103" s="289"/>
      <c r="AK103" s="289"/>
      <c r="AL103" s="289"/>
      <c r="AM103" s="289"/>
      <c r="AN103" s="289"/>
      <c r="AO103" s="289"/>
      <c r="AP103" s="289"/>
      <c r="AQ103" s="289"/>
      <c r="AR103" s="289"/>
      <c r="AS103" s="289"/>
      <c r="AT103" s="289"/>
      <c r="AU103" s="289"/>
      <c r="AV103" s="289"/>
      <c r="AW103" s="289"/>
      <c r="AX103" s="289"/>
      <c r="AY103" s="289"/>
    </row>
    <row r="104" spans="1:51" ht="13.5" customHeight="1">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c r="AA104" s="289"/>
      <c r="AB104" s="289"/>
      <c r="AC104" s="289"/>
      <c r="AD104" s="289"/>
      <c r="AE104" s="289"/>
      <c r="AF104" s="289"/>
      <c r="AG104" s="289"/>
      <c r="AH104" s="289"/>
      <c r="AI104" s="289"/>
      <c r="AJ104" s="289"/>
      <c r="AK104" s="289"/>
      <c r="AL104" s="289"/>
      <c r="AM104" s="289"/>
      <c r="AN104" s="289"/>
      <c r="AO104" s="289"/>
      <c r="AP104" s="289"/>
      <c r="AQ104" s="289"/>
      <c r="AR104" s="289"/>
      <c r="AS104" s="289"/>
      <c r="AT104" s="289"/>
      <c r="AU104" s="289"/>
      <c r="AV104" s="289"/>
      <c r="AW104" s="289"/>
      <c r="AX104" s="289"/>
      <c r="AY104" s="289"/>
    </row>
    <row r="105" spans="1:51" ht="13.5" customHeight="1">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c r="AA105" s="289"/>
      <c r="AB105" s="289"/>
      <c r="AC105" s="289"/>
      <c r="AD105" s="289"/>
      <c r="AE105" s="289"/>
      <c r="AF105" s="289"/>
      <c r="AG105" s="289"/>
      <c r="AH105" s="289"/>
      <c r="AI105" s="289"/>
      <c r="AJ105" s="289"/>
      <c r="AK105" s="289"/>
      <c r="AL105" s="289"/>
      <c r="AM105" s="289"/>
      <c r="AN105" s="289"/>
      <c r="AO105" s="289"/>
      <c r="AP105" s="289"/>
      <c r="AQ105" s="289"/>
      <c r="AR105" s="289"/>
      <c r="AS105" s="289"/>
      <c r="AT105" s="289"/>
      <c r="AU105" s="289"/>
      <c r="AV105" s="289"/>
      <c r="AW105" s="289"/>
      <c r="AX105" s="289"/>
      <c r="AY105" s="289"/>
    </row>
    <row r="106" spans="1:51" ht="13.5" customHeight="1">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c r="AA106" s="289"/>
      <c r="AB106" s="289"/>
      <c r="AC106" s="289"/>
      <c r="AD106" s="289"/>
      <c r="AE106" s="289"/>
      <c r="AF106" s="289"/>
      <c r="AG106" s="289"/>
      <c r="AH106" s="289"/>
      <c r="AI106" s="289"/>
      <c r="AJ106" s="289"/>
      <c r="AK106" s="289"/>
      <c r="AL106" s="289"/>
      <c r="AM106" s="289"/>
      <c r="AN106" s="289"/>
      <c r="AO106" s="289"/>
      <c r="AP106" s="289"/>
      <c r="AQ106" s="289"/>
      <c r="AR106" s="289"/>
      <c r="AS106" s="289"/>
      <c r="AT106" s="289"/>
      <c r="AU106" s="289"/>
      <c r="AV106" s="289"/>
      <c r="AW106" s="289"/>
      <c r="AX106" s="289"/>
      <c r="AY106" s="289"/>
    </row>
    <row r="107" spans="1:51" ht="13.5" customHeight="1">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c r="AA107" s="289"/>
      <c r="AB107" s="289"/>
      <c r="AC107" s="289"/>
      <c r="AD107" s="289"/>
      <c r="AE107" s="289"/>
      <c r="AF107" s="289"/>
      <c r="AG107" s="289"/>
      <c r="AH107" s="289"/>
      <c r="AI107" s="289"/>
      <c r="AJ107" s="289"/>
      <c r="AK107" s="289"/>
      <c r="AL107" s="289"/>
      <c r="AM107" s="289"/>
      <c r="AN107" s="289"/>
      <c r="AO107" s="289"/>
      <c r="AP107" s="289"/>
      <c r="AQ107" s="289"/>
      <c r="AR107" s="289"/>
      <c r="AS107" s="289"/>
      <c r="AT107" s="289"/>
      <c r="AU107" s="289"/>
      <c r="AV107" s="289"/>
      <c r="AW107" s="289"/>
      <c r="AX107" s="289"/>
      <c r="AY107" s="289"/>
    </row>
    <row r="108" spans="1:51" ht="13.5" customHeight="1">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c r="AA108" s="289"/>
      <c r="AB108" s="289"/>
      <c r="AC108" s="289"/>
      <c r="AD108" s="289"/>
      <c r="AE108" s="289"/>
      <c r="AF108" s="289"/>
      <c r="AG108" s="289"/>
      <c r="AH108" s="289"/>
      <c r="AI108" s="289"/>
      <c r="AJ108" s="289"/>
      <c r="AK108" s="289"/>
      <c r="AL108" s="289"/>
      <c r="AM108" s="289"/>
      <c r="AN108" s="289"/>
      <c r="AO108" s="289"/>
      <c r="AP108" s="289"/>
      <c r="AQ108" s="289"/>
      <c r="AR108" s="289"/>
      <c r="AS108" s="289"/>
      <c r="AT108" s="289"/>
      <c r="AU108" s="289"/>
      <c r="AV108" s="289"/>
      <c r="AW108" s="289"/>
      <c r="AX108" s="289"/>
      <c r="AY108" s="289"/>
    </row>
    <row r="109" spans="1:51" ht="13.5" customHeight="1">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c r="AA109" s="289"/>
      <c r="AB109" s="289"/>
      <c r="AC109" s="289"/>
      <c r="AD109" s="289"/>
      <c r="AE109" s="289"/>
      <c r="AF109" s="289"/>
      <c r="AG109" s="289"/>
      <c r="AH109" s="289"/>
      <c r="AI109" s="289"/>
      <c r="AJ109" s="289"/>
      <c r="AK109" s="289"/>
      <c r="AL109" s="289"/>
      <c r="AM109" s="289"/>
      <c r="AN109" s="289"/>
      <c r="AO109" s="289"/>
      <c r="AP109" s="289"/>
      <c r="AQ109" s="289"/>
      <c r="AR109" s="289"/>
      <c r="AS109" s="289"/>
      <c r="AT109" s="289"/>
      <c r="AU109" s="289"/>
      <c r="AV109" s="289"/>
      <c r="AW109" s="289"/>
      <c r="AX109" s="289"/>
      <c r="AY109" s="289"/>
    </row>
    <row r="110" spans="1:51" ht="13.5" customHeight="1">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c r="AA110" s="289"/>
      <c r="AB110" s="289"/>
      <c r="AC110" s="289"/>
      <c r="AD110" s="289"/>
      <c r="AE110" s="289"/>
      <c r="AF110" s="289"/>
      <c r="AG110" s="289"/>
      <c r="AH110" s="289"/>
      <c r="AI110" s="289"/>
      <c r="AJ110" s="289"/>
      <c r="AK110" s="289"/>
      <c r="AL110" s="289"/>
      <c r="AM110" s="289"/>
      <c r="AN110" s="289"/>
      <c r="AO110" s="289"/>
      <c r="AP110" s="289"/>
      <c r="AQ110" s="289"/>
      <c r="AR110" s="289"/>
      <c r="AS110" s="289"/>
      <c r="AT110" s="289"/>
      <c r="AU110" s="289"/>
      <c r="AV110" s="289"/>
      <c r="AW110" s="289"/>
      <c r="AX110" s="289"/>
      <c r="AY110" s="289"/>
    </row>
    <row r="111" spans="1:51" ht="13.5" customHeight="1">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c r="AA111" s="289"/>
      <c r="AB111" s="289"/>
      <c r="AC111" s="289"/>
      <c r="AD111" s="289"/>
      <c r="AE111" s="289"/>
      <c r="AF111" s="289"/>
      <c r="AG111" s="289"/>
      <c r="AH111" s="289"/>
      <c r="AI111" s="289"/>
      <c r="AJ111" s="289"/>
      <c r="AK111" s="289"/>
      <c r="AL111" s="289"/>
      <c r="AM111" s="289"/>
      <c r="AN111" s="289"/>
      <c r="AO111" s="289"/>
      <c r="AP111" s="289"/>
      <c r="AQ111" s="289"/>
      <c r="AR111" s="289"/>
      <c r="AS111" s="289"/>
      <c r="AT111" s="289"/>
      <c r="AU111" s="289"/>
      <c r="AV111" s="289"/>
      <c r="AW111" s="289"/>
      <c r="AX111" s="289"/>
      <c r="AY111" s="289"/>
    </row>
    <row r="112" spans="1:51" ht="13.5" customHeight="1">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289"/>
      <c r="AQ112" s="289"/>
      <c r="AR112" s="289"/>
      <c r="AS112" s="289"/>
      <c r="AT112" s="289"/>
      <c r="AU112" s="289"/>
      <c r="AV112" s="289"/>
      <c r="AW112" s="289"/>
      <c r="AX112" s="289"/>
      <c r="AY112" s="289"/>
    </row>
    <row r="113" spans="1:51" ht="13.5" customHeight="1">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c r="AA113" s="289"/>
      <c r="AB113" s="289"/>
      <c r="AC113" s="289"/>
      <c r="AD113" s="289"/>
      <c r="AE113" s="289"/>
      <c r="AF113" s="289"/>
      <c r="AG113" s="289"/>
      <c r="AH113" s="289"/>
      <c r="AI113" s="289"/>
      <c r="AJ113" s="289"/>
      <c r="AK113" s="289"/>
      <c r="AL113" s="289"/>
      <c r="AM113" s="289"/>
      <c r="AN113" s="289"/>
      <c r="AO113" s="289"/>
      <c r="AP113" s="289"/>
      <c r="AQ113" s="289"/>
      <c r="AR113" s="289"/>
      <c r="AS113" s="289"/>
      <c r="AT113" s="289"/>
      <c r="AU113" s="289"/>
      <c r="AV113" s="289"/>
      <c r="AW113" s="289"/>
      <c r="AX113" s="289"/>
      <c r="AY113" s="289"/>
    </row>
    <row r="114" spans="1:51" ht="13.5" customHeight="1">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c r="AA114" s="289"/>
      <c r="AB114" s="289"/>
      <c r="AC114" s="289"/>
      <c r="AD114" s="289"/>
      <c r="AE114" s="289"/>
      <c r="AF114" s="289"/>
      <c r="AG114" s="289"/>
      <c r="AH114" s="289"/>
      <c r="AI114" s="289"/>
      <c r="AJ114" s="289"/>
      <c r="AK114" s="289"/>
      <c r="AL114" s="289"/>
      <c r="AM114" s="289"/>
      <c r="AN114" s="289"/>
      <c r="AO114" s="289"/>
      <c r="AP114" s="289"/>
      <c r="AQ114" s="289"/>
      <c r="AR114" s="289"/>
      <c r="AS114" s="289"/>
      <c r="AT114" s="289"/>
      <c r="AU114" s="289"/>
      <c r="AV114" s="289"/>
      <c r="AW114" s="289"/>
      <c r="AX114" s="289"/>
      <c r="AY114" s="289"/>
    </row>
    <row r="115" spans="1:51" ht="13.5" customHeight="1">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c r="AA115" s="289"/>
      <c r="AB115" s="289"/>
      <c r="AC115" s="289"/>
      <c r="AD115" s="289"/>
      <c r="AE115" s="289"/>
      <c r="AF115" s="289"/>
      <c r="AG115" s="289"/>
      <c r="AH115" s="289"/>
      <c r="AI115" s="289"/>
      <c r="AJ115" s="289"/>
      <c r="AK115" s="289"/>
      <c r="AL115" s="289"/>
      <c r="AM115" s="289"/>
      <c r="AN115" s="289"/>
      <c r="AO115" s="289"/>
      <c r="AP115" s="289"/>
      <c r="AQ115" s="289"/>
      <c r="AR115" s="289"/>
      <c r="AS115" s="289"/>
      <c r="AT115" s="289"/>
      <c r="AU115" s="289"/>
      <c r="AV115" s="289"/>
      <c r="AW115" s="289"/>
      <c r="AX115" s="289"/>
      <c r="AY115" s="289"/>
    </row>
    <row r="116" spans="1:51" ht="13.5" customHeight="1">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c r="AB116" s="289"/>
      <c r="AC116" s="289"/>
      <c r="AD116" s="289"/>
      <c r="AE116" s="289"/>
      <c r="AF116" s="289"/>
      <c r="AG116" s="289"/>
      <c r="AH116" s="289"/>
      <c r="AI116" s="289"/>
      <c r="AJ116" s="289"/>
      <c r="AK116" s="289"/>
      <c r="AL116" s="289"/>
      <c r="AM116" s="289"/>
      <c r="AN116" s="289"/>
      <c r="AO116" s="289"/>
      <c r="AP116" s="289"/>
      <c r="AQ116" s="289"/>
      <c r="AR116" s="289"/>
      <c r="AS116" s="289"/>
      <c r="AT116" s="289"/>
      <c r="AU116" s="289"/>
      <c r="AV116" s="289"/>
      <c r="AW116" s="289"/>
      <c r="AX116" s="289"/>
      <c r="AY116" s="289"/>
    </row>
    <row r="117" spans="1:51" ht="13.5" customHeight="1">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c r="AA117" s="289"/>
      <c r="AB117" s="289"/>
      <c r="AC117" s="289"/>
      <c r="AD117" s="289"/>
      <c r="AE117" s="289"/>
      <c r="AF117" s="289"/>
      <c r="AG117" s="289"/>
      <c r="AH117" s="289"/>
      <c r="AI117" s="289"/>
      <c r="AJ117" s="289"/>
      <c r="AK117" s="289"/>
      <c r="AL117" s="289"/>
      <c r="AM117" s="289"/>
      <c r="AN117" s="289"/>
      <c r="AO117" s="289"/>
      <c r="AP117" s="289"/>
      <c r="AQ117" s="289"/>
      <c r="AR117" s="289"/>
      <c r="AS117" s="289"/>
      <c r="AT117" s="289"/>
      <c r="AU117" s="289"/>
      <c r="AV117" s="289"/>
      <c r="AW117" s="289"/>
      <c r="AX117" s="289"/>
      <c r="AY117" s="289"/>
    </row>
    <row r="118" spans="1:51" ht="13.5" customHeight="1">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c r="AB118" s="289"/>
      <c r="AC118" s="289"/>
      <c r="AD118" s="289"/>
      <c r="AE118" s="289"/>
      <c r="AF118" s="289"/>
      <c r="AG118" s="289"/>
      <c r="AH118" s="289"/>
      <c r="AI118" s="289"/>
      <c r="AJ118" s="289"/>
      <c r="AK118" s="289"/>
      <c r="AL118" s="289"/>
      <c r="AM118" s="289"/>
      <c r="AN118" s="289"/>
      <c r="AO118" s="289"/>
      <c r="AP118" s="289"/>
      <c r="AQ118" s="289"/>
      <c r="AR118" s="289"/>
      <c r="AS118" s="289"/>
      <c r="AT118" s="289"/>
      <c r="AU118" s="289"/>
      <c r="AV118" s="289"/>
      <c r="AW118" s="289"/>
      <c r="AX118" s="289"/>
      <c r="AY118" s="289"/>
    </row>
    <row r="119" spans="1:51" ht="13.5" customHeight="1">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c r="AA119" s="289"/>
      <c r="AB119" s="289"/>
      <c r="AC119" s="289"/>
      <c r="AD119" s="289"/>
      <c r="AE119" s="289"/>
      <c r="AF119" s="289"/>
      <c r="AG119" s="289"/>
      <c r="AH119" s="289"/>
      <c r="AI119" s="289"/>
      <c r="AJ119" s="289"/>
      <c r="AK119" s="289"/>
      <c r="AL119" s="289"/>
      <c r="AM119" s="289"/>
      <c r="AN119" s="289"/>
      <c r="AO119" s="289"/>
      <c r="AP119" s="289"/>
      <c r="AQ119" s="289"/>
      <c r="AR119" s="289"/>
      <c r="AS119" s="289"/>
      <c r="AT119" s="289"/>
      <c r="AU119" s="289"/>
      <c r="AV119" s="289"/>
      <c r="AW119" s="289"/>
      <c r="AX119" s="289"/>
      <c r="AY119" s="289"/>
    </row>
    <row r="120" spans="1:51" ht="13.5" customHeight="1">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289"/>
      <c r="AH120" s="289"/>
      <c r="AI120" s="289"/>
      <c r="AJ120" s="289"/>
      <c r="AK120" s="289"/>
      <c r="AL120" s="289"/>
      <c r="AM120" s="289"/>
      <c r="AN120" s="289"/>
      <c r="AO120" s="289"/>
      <c r="AP120" s="289"/>
      <c r="AQ120" s="289"/>
      <c r="AR120" s="289"/>
      <c r="AS120" s="289"/>
      <c r="AT120" s="289"/>
      <c r="AU120" s="289"/>
      <c r="AV120" s="289"/>
      <c r="AW120" s="289"/>
      <c r="AX120" s="289"/>
      <c r="AY120" s="289"/>
    </row>
    <row r="121" spans="1:51" ht="13.5" customHeight="1">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289"/>
      <c r="AH121" s="289"/>
      <c r="AI121" s="289"/>
      <c r="AJ121" s="289"/>
      <c r="AK121" s="289"/>
      <c r="AL121" s="289"/>
      <c r="AM121" s="289"/>
      <c r="AN121" s="289"/>
      <c r="AO121" s="289"/>
      <c r="AP121" s="289"/>
      <c r="AQ121" s="289"/>
      <c r="AR121" s="289"/>
      <c r="AS121" s="289"/>
      <c r="AT121" s="289"/>
      <c r="AU121" s="289"/>
      <c r="AV121" s="289"/>
      <c r="AW121" s="289"/>
      <c r="AX121" s="289"/>
      <c r="AY121" s="289"/>
    </row>
    <row r="122" spans="1:51" ht="13.5" customHeight="1">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c r="AA122" s="289"/>
      <c r="AB122" s="289"/>
      <c r="AC122" s="289"/>
      <c r="AD122" s="289"/>
      <c r="AE122" s="289"/>
      <c r="AF122" s="289"/>
      <c r="AG122" s="289"/>
      <c r="AH122" s="289"/>
      <c r="AI122" s="289"/>
      <c r="AJ122" s="289"/>
      <c r="AK122" s="289"/>
      <c r="AL122" s="289"/>
      <c r="AM122" s="289"/>
      <c r="AN122" s="289"/>
      <c r="AO122" s="289"/>
      <c r="AP122" s="289"/>
      <c r="AQ122" s="289"/>
      <c r="AR122" s="289"/>
      <c r="AS122" s="289"/>
      <c r="AT122" s="289"/>
      <c r="AU122" s="289"/>
      <c r="AV122" s="289"/>
      <c r="AW122" s="289"/>
      <c r="AX122" s="289"/>
      <c r="AY122" s="289"/>
    </row>
    <row r="123" spans="1:51" ht="13.5" customHeight="1">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c r="AA123" s="289"/>
      <c r="AB123" s="289"/>
      <c r="AC123" s="289"/>
      <c r="AD123" s="289"/>
      <c r="AE123" s="289"/>
      <c r="AF123" s="289"/>
      <c r="AG123" s="289"/>
      <c r="AH123" s="289"/>
      <c r="AI123" s="289"/>
      <c r="AJ123" s="289"/>
      <c r="AK123" s="289"/>
      <c r="AL123" s="289"/>
      <c r="AM123" s="289"/>
      <c r="AN123" s="289"/>
      <c r="AO123" s="289"/>
      <c r="AP123" s="289"/>
      <c r="AQ123" s="289"/>
      <c r="AR123" s="289"/>
      <c r="AS123" s="289"/>
      <c r="AT123" s="289"/>
      <c r="AU123" s="289"/>
      <c r="AV123" s="289"/>
      <c r="AW123" s="289"/>
      <c r="AX123" s="289"/>
      <c r="AY123" s="289"/>
    </row>
    <row r="124" spans="1:51" ht="13.5" customHeight="1">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c r="AA124" s="289"/>
      <c r="AB124" s="289"/>
      <c r="AC124" s="289"/>
      <c r="AD124" s="289"/>
      <c r="AE124" s="289"/>
      <c r="AF124" s="289"/>
      <c r="AG124" s="289"/>
      <c r="AH124" s="289"/>
      <c r="AI124" s="289"/>
      <c r="AJ124" s="289"/>
      <c r="AK124" s="289"/>
      <c r="AL124" s="289"/>
      <c r="AM124" s="289"/>
      <c r="AN124" s="289"/>
      <c r="AO124" s="289"/>
      <c r="AP124" s="289"/>
      <c r="AQ124" s="289"/>
      <c r="AR124" s="289"/>
      <c r="AS124" s="289"/>
      <c r="AT124" s="289"/>
      <c r="AU124" s="289"/>
      <c r="AV124" s="289"/>
      <c r="AW124" s="289"/>
      <c r="AX124" s="289"/>
      <c r="AY124" s="289"/>
    </row>
    <row r="125" spans="1:51" ht="13.5" customHeight="1">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c r="AA125" s="289"/>
      <c r="AB125" s="289"/>
      <c r="AC125" s="289"/>
      <c r="AD125" s="289"/>
      <c r="AE125" s="289"/>
      <c r="AF125" s="289"/>
      <c r="AG125" s="289"/>
      <c r="AH125" s="289"/>
      <c r="AI125" s="289"/>
      <c r="AJ125" s="289"/>
      <c r="AK125" s="289"/>
      <c r="AL125" s="289"/>
      <c r="AM125" s="289"/>
      <c r="AN125" s="289"/>
      <c r="AO125" s="289"/>
      <c r="AP125" s="289"/>
      <c r="AQ125" s="289"/>
      <c r="AR125" s="289"/>
      <c r="AS125" s="289"/>
      <c r="AT125" s="289"/>
      <c r="AU125" s="289"/>
      <c r="AV125" s="289"/>
      <c r="AW125" s="289"/>
      <c r="AX125" s="289"/>
      <c r="AY125" s="289"/>
    </row>
    <row r="126" spans="1:51" ht="13.5" customHeight="1">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c r="AA126" s="289"/>
      <c r="AB126" s="289"/>
      <c r="AC126" s="289"/>
      <c r="AD126" s="289"/>
      <c r="AE126" s="289"/>
      <c r="AF126" s="289"/>
      <c r="AG126" s="289"/>
      <c r="AH126" s="289"/>
      <c r="AI126" s="289"/>
      <c r="AJ126" s="289"/>
      <c r="AK126" s="289"/>
      <c r="AL126" s="289"/>
      <c r="AM126" s="289"/>
      <c r="AN126" s="289"/>
      <c r="AO126" s="289"/>
      <c r="AP126" s="289"/>
      <c r="AQ126" s="289"/>
      <c r="AR126" s="289"/>
      <c r="AS126" s="289"/>
      <c r="AT126" s="289"/>
      <c r="AU126" s="289"/>
      <c r="AV126" s="289"/>
      <c r="AW126" s="289"/>
      <c r="AX126" s="289"/>
      <c r="AY126" s="289"/>
    </row>
    <row r="127" spans="1:51" ht="13.5" customHeight="1">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c r="AA127" s="289"/>
      <c r="AB127" s="289"/>
      <c r="AC127" s="289"/>
      <c r="AD127" s="289"/>
      <c r="AE127" s="289"/>
      <c r="AF127" s="289"/>
      <c r="AG127" s="289"/>
      <c r="AH127" s="289"/>
      <c r="AI127" s="289"/>
      <c r="AJ127" s="289"/>
      <c r="AK127" s="289"/>
      <c r="AL127" s="289"/>
      <c r="AM127" s="289"/>
      <c r="AN127" s="289"/>
      <c r="AO127" s="289"/>
      <c r="AP127" s="289"/>
      <c r="AQ127" s="289"/>
      <c r="AR127" s="289"/>
      <c r="AS127" s="289"/>
      <c r="AT127" s="289"/>
      <c r="AU127" s="289"/>
      <c r="AV127" s="289"/>
      <c r="AW127" s="289"/>
      <c r="AX127" s="289"/>
      <c r="AY127" s="289"/>
    </row>
    <row r="128" spans="1:51" ht="13.5" customHeight="1">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c r="AA128" s="289"/>
      <c r="AB128" s="289"/>
      <c r="AC128" s="289"/>
      <c r="AD128" s="289"/>
      <c r="AE128" s="289"/>
      <c r="AF128" s="289"/>
      <c r="AG128" s="289"/>
      <c r="AH128" s="289"/>
      <c r="AI128" s="289"/>
      <c r="AJ128" s="289"/>
      <c r="AK128" s="289"/>
      <c r="AL128" s="289"/>
      <c r="AM128" s="289"/>
      <c r="AN128" s="289"/>
      <c r="AO128" s="289"/>
      <c r="AP128" s="289"/>
      <c r="AQ128" s="289"/>
      <c r="AR128" s="289"/>
      <c r="AS128" s="289"/>
      <c r="AT128" s="289"/>
      <c r="AU128" s="289"/>
      <c r="AV128" s="289"/>
      <c r="AW128" s="289"/>
      <c r="AX128" s="289"/>
      <c r="AY128" s="289"/>
    </row>
    <row r="129" spans="1:51" ht="13.5" customHeight="1">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89"/>
      <c r="AX129" s="289"/>
      <c r="AY129" s="289"/>
    </row>
    <row r="130" spans="1:51" ht="13.5" customHeight="1">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c r="AA130" s="289"/>
      <c r="AB130" s="289"/>
      <c r="AC130" s="289"/>
      <c r="AD130" s="289"/>
      <c r="AE130" s="289"/>
      <c r="AF130" s="289"/>
      <c r="AG130" s="289"/>
      <c r="AH130" s="289"/>
      <c r="AI130" s="289"/>
      <c r="AJ130" s="289"/>
      <c r="AK130" s="289"/>
      <c r="AL130" s="289"/>
      <c r="AM130" s="289"/>
      <c r="AN130" s="289"/>
      <c r="AO130" s="289"/>
      <c r="AP130" s="289"/>
      <c r="AQ130" s="289"/>
      <c r="AR130" s="289"/>
      <c r="AS130" s="289"/>
      <c r="AT130" s="289"/>
      <c r="AU130" s="289"/>
      <c r="AV130" s="289"/>
      <c r="AW130" s="289"/>
      <c r="AX130" s="289"/>
      <c r="AY130" s="289"/>
    </row>
    <row r="131" spans="1:51" ht="13.5" customHeight="1">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c r="AA131" s="289"/>
      <c r="AB131" s="289"/>
      <c r="AC131" s="289"/>
      <c r="AD131" s="289"/>
      <c r="AE131" s="289"/>
      <c r="AF131" s="289"/>
      <c r="AG131" s="289"/>
      <c r="AH131" s="289"/>
      <c r="AI131" s="289"/>
      <c r="AJ131" s="289"/>
      <c r="AK131" s="289"/>
      <c r="AL131" s="289"/>
      <c r="AM131" s="289"/>
      <c r="AN131" s="289"/>
      <c r="AO131" s="289"/>
      <c r="AP131" s="289"/>
      <c r="AQ131" s="289"/>
      <c r="AR131" s="289"/>
      <c r="AS131" s="289"/>
      <c r="AT131" s="289"/>
      <c r="AU131" s="289"/>
      <c r="AV131" s="289"/>
      <c r="AW131" s="289"/>
      <c r="AX131" s="289"/>
      <c r="AY131" s="289"/>
    </row>
    <row r="132" spans="1:51" ht="13.5" customHeight="1">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c r="AA132" s="289"/>
      <c r="AB132" s="289"/>
      <c r="AC132" s="289"/>
      <c r="AD132" s="289"/>
      <c r="AE132" s="289"/>
      <c r="AF132" s="289"/>
      <c r="AG132" s="289"/>
      <c r="AH132" s="289"/>
      <c r="AI132" s="289"/>
      <c r="AJ132" s="289"/>
      <c r="AK132" s="289"/>
      <c r="AL132" s="289"/>
      <c r="AM132" s="289"/>
      <c r="AN132" s="289"/>
      <c r="AO132" s="289"/>
      <c r="AP132" s="289"/>
      <c r="AQ132" s="289"/>
      <c r="AR132" s="289"/>
      <c r="AS132" s="289"/>
      <c r="AT132" s="289"/>
      <c r="AU132" s="289"/>
      <c r="AV132" s="289"/>
      <c r="AW132" s="289"/>
      <c r="AX132" s="289"/>
      <c r="AY132" s="289"/>
    </row>
    <row r="133" spans="1:51" ht="13.5" customHeight="1">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c r="AA133" s="289"/>
      <c r="AB133" s="289"/>
      <c r="AC133" s="289"/>
      <c r="AD133" s="289"/>
      <c r="AE133" s="289"/>
      <c r="AF133" s="289"/>
      <c r="AG133" s="289"/>
      <c r="AH133" s="289"/>
      <c r="AI133" s="289"/>
      <c r="AJ133" s="289"/>
      <c r="AK133" s="289"/>
      <c r="AL133" s="289"/>
      <c r="AM133" s="289"/>
      <c r="AN133" s="289"/>
      <c r="AO133" s="289"/>
      <c r="AP133" s="289"/>
      <c r="AQ133" s="289"/>
      <c r="AR133" s="289"/>
      <c r="AS133" s="289"/>
      <c r="AT133" s="289"/>
      <c r="AU133" s="289"/>
      <c r="AV133" s="289"/>
      <c r="AW133" s="289"/>
      <c r="AX133" s="289"/>
      <c r="AY133" s="289"/>
    </row>
    <row r="134" spans="1:51" ht="13.5" customHeight="1">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c r="AA134" s="289"/>
      <c r="AB134" s="289"/>
      <c r="AC134" s="289"/>
      <c r="AD134" s="289"/>
      <c r="AE134" s="289"/>
      <c r="AF134" s="289"/>
      <c r="AG134" s="289"/>
      <c r="AH134" s="289"/>
      <c r="AI134" s="289"/>
      <c r="AJ134" s="289"/>
      <c r="AK134" s="289"/>
      <c r="AL134" s="289"/>
      <c r="AM134" s="289"/>
      <c r="AN134" s="289"/>
      <c r="AO134" s="289"/>
      <c r="AP134" s="289"/>
      <c r="AQ134" s="289"/>
      <c r="AR134" s="289"/>
      <c r="AS134" s="289"/>
      <c r="AT134" s="289"/>
      <c r="AU134" s="289"/>
      <c r="AV134" s="289"/>
      <c r="AW134" s="289"/>
      <c r="AX134" s="289"/>
      <c r="AY134" s="289"/>
    </row>
    <row r="135" spans="1:51" ht="13.5" customHeight="1">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9"/>
      <c r="AS135" s="289"/>
      <c r="AT135" s="289"/>
      <c r="AU135" s="289"/>
      <c r="AV135" s="289"/>
      <c r="AW135" s="289"/>
      <c r="AX135" s="289"/>
      <c r="AY135" s="289"/>
    </row>
    <row r="136" spans="1:51" ht="13.5" customHeight="1">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c r="AA136" s="289"/>
      <c r="AB136" s="289"/>
      <c r="AC136" s="289"/>
      <c r="AD136" s="289"/>
      <c r="AE136" s="289"/>
      <c r="AF136" s="289"/>
      <c r="AG136" s="289"/>
      <c r="AH136" s="289"/>
      <c r="AI136" s="289"/>
      <c r="AJ136" s="289"/>
      <c r="AK136" s="289"/>
      <c r="AL136" s="289"/>
      <c r="AM136" s="289"/>
      <c r="AN136" s="289"/>
      <c r="AO136" s="289"/>
      <c r="AP136" s="289"/>
      <c r="AQ136" s="289"/>
      <c r="AR136" s="289"/>
      <c r="AS136" s="289"/>
      <c r="AT136" s="289"/>
      <c r="AU136" s="289"/>
      <c r="AV136" s="289"/>
      <c r="AW136" s="289"/>
      <c r="AX136" s="289"/>
      <c r="AY136" s="289"/>
    </row>
    <row r="137" spans="1:51" ht="13.5" customHeight="1">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c r="AA137" s="289"/>
      <c r="AB137" s="289"/>
      <c r="AC137" s="289"/>
      <c r="AD137" s="289"/>
      <c r="AE137" s="289"/>
      <c r="AF137" s="289"/>
      <c r="AG137" s="289"/>
      <c r="AH137" s="289"/>
      <c r="AI137" s="289"/>
      <c r="AJ137" s="289"/>
      <c r="AK137" s="289"/>
      <c r="AL137" s="289"/>
      <c r="AM137" s="289"/>
      <c r="AN137" s="289"/>
      <c r="AO137" s="289"/>
      <c r="AP137" s="289"/>
      <c r="AQ137" s="289"/>
      <c r="AR137" s="289"/>
      <c r="AS137" s="289"/>
      <c r="AT137" s="289"/>
      <c r="AU137" s="289"/>
      <c r="AV137" s="289"/>
      <c r="AW137" s="289"/>
      <c r="AX137" s="289"/>
      <c r="AY137" s="289"/>
    </row>
    <row r="138" spans="1:51" ht="13.5" customHeight="1">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c r="AA138" s="289"/>
      <c r="AB138" s="289"/>
      <c r="AC138" s="289"/>
      <c r="AD138" s="289"/>
      <c r="AE138" s="289"/>
      <c r="AF138" s="289"/>
      <c r="AG138" s="289"/>
      <c r="AH138" s="289"/>
      <c r="AI138" s="289"/>
      <c r="AJ138" s="289"/>
      <c r="AK138" s="289"/>
      <c r="AL138" s="289"/>
      <c r="AM138" s="289"/>
      <c r="AN138" s="289"/>
      <c r="AO138" s="289"/>
      <c r="AP138" s="289"/>
      <c r="AQ138" s="289"/>
      <c r="AR138" s="289"/>
      <c r="AS138" s="289"/>
      <c r="AT138" s="289"/>
      <c r="AU138" s="289"/>
      <c r="AV138" s="289"/>
      <c r="AW138" s="289"/>
      <c r="AX138" s="289"/>
      <c r="AY138" s="289"/>
    </row>
    <row r="139" spans="1:51" ht="13.5" customHeight="1">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c r="AA139" s="289"/>
      <c r="AB139" s="289"/>
      <c r="AC139" s="289"/>
      <c r="AD139" s="289"/>
      <c r="AE139" s="289"/>
      <c r="AF139" s="289"/>
      <c r="AG139" s="289"/>
      <c r="AH139" s="289"/>
      <c r="AI139" s="289"/>
      <c r="AJ139" s="289"/>
      <c r="AK139" s="289"/>
      <c r="AL139" s="289"/>
      <c r="AM139" s="289"/>
      <c r="AN139" s="289"/>
      <c r="AO139" s="289"/>
      <c r="AP139" s="289"/>
      <c r="AQ139" s="289"/>
      <c r="AR139" s="289"/>
      <c r="AS139" s="289"/>
      <c r="AT139" s="289"/>
      <c r="AU139" s="289"/>
      <c r="AV139" s="289"/>
      <c r="AW139" s="289"/>
      <c r="AX139" s="289"/>
      <c r="AY139" s="289"/>
    </row>
    <row r="140" spans="1:51" ht="13.5" customHeight="1">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c r="AA140" s="289"/>
      <c r="AB140" s="289"/>
      <c r="AC140" s="289"/>
      <c r="AD140" s="289"/>
      <c r="AE140" s="289"/>
      <c r="AF140" s="289"/>
      <c r="AG140" s="289"/>
      <c r="AH140" s="289"/>
      <c r="AI140" s="289"/>
      <c r="AJ140" s="289"/>
      <c r="AK140" s="289"/>
      <c r="AL140" s="289"/>
      <c r="AM140" s="289"/>
      <c r="AN140" s="289"/>
      <c r="AO140" s="289"/>
      <c r="AP140" s="289"/>
      <c r="AQ140" s="289"/>
      <c r="AR140" s="289"/>
      <c r="AS140" s="289"/>
      <c r="AT140" s="289"/>
      <c r="AU140" s="289"/>
      <c r="AV140" s="289"/>
      <c r="AW140" s="289"/>
      <c r="AX140" s="289"/>
      <c r="AY140" s="289"/>
    </row>
    <row r="141" spans="1:51" ht="13.5" customHeight="1">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c r="AA141" s="289"/>
      <c r="AB141" s="289"/>
      <c r="AC141" s="289"/>
      <c r="AD141" s="289"/>
      <c r="AE141" s="289"/>
      <c r="AF141" s="289"/>
      <c r="AG141" s="289"/>
      <c r="AH141" s="289"/>
      <c r="AI141" s="289"/>
      <c r="AJ141" s="289"/>
      <c r="AK141" s="289"/>
      <c r="AL141" s="289"/>
      <c r="AM141" s="289"/>
      <c r="AN141" s="289"/>
      <c r="AO141" s="289"/>
      <c r="AP141" s="289"/>
      <c r="AQ141" s="289"/>
      <c r="AR141" s="289"/>
      <c r="AS141" s="289"/>
      <c r="AT141" s="289"/>
      <c r="AU141" s="289"/>
      <c r="AV141" s="289"/>
      <c r="AW141" s="289"/>
      <c r="AX141" s="289"/>
      <c r="AY141" s="289"/>
    </row>
    <row r="142" spans="1:51" ht="13.5" customHeight="1">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c r="AA142" s="289"/>
      <c r="AB142" s="289"/>
      <c r="AC142" s="289"/>
      <c r="AD142" s="289"/>
      <c r="AE142" s="289"/>
      <c r="AF142" s="289"/>
      <c r="AG142" s="289"/>
      <c r="AH142" s="289"/>
      <c r="AI142" s="289"/>
      <c r="AJ142" s="289"/>
      <c r="AK142" s="289"/>
      <c r="AL142" s="289"/>
      <c r="AM142" s="289"/>
      <c r="AN142" s="289"/>
      <c r="AO142" s="289"/>
      <c r="AP142" s="289"/>
      <c r="AQ142" s="289"/>
      <c r="AR142" s="289"/>
      <c r="AS142" s="289"/>
      <c r="AT142" s="289"/>
      <c r="AU142" s="289"/>
      <c r="AV142" s="289"/>
      <c r="AW142" s="289"/>
      <c r="AX142" s="289"/>
      <c r="AY142" s="289"/>
    </row>
    <row r="143" spans="1:51" ht="13.5" customHeight="1">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c r="AA143" s="289"/>
      <c r="AB143" s="289"/>
      <c r="AC143" s="289"/>
      <c r="AD143" s="289"/>
      <c r="AE143" s="289"/>
      <c r="AF143" s="289"/>
      <c r="AG143" s="289"/>
      <c r="AH143" s="289"/>
      <c r="AI143" s="289"/>
      <c r="AJ143" s="289"/>
      <c r="AK143" s="289"/>
      <c r="AL143" s="289"/>
      <c r="AM143" s="289"/>
      <c r="AN143" s="289"/>
      <c r="AO143" s="289"/>
      <c r="AP143" s="289"/>
      <c r="AQ143" s="289"/>
      <c r="AR143" s="289"/>
      <c r="AS143" s="289"/>
      <c r="AT143" s="289"/>
      <c r="AU143" s="289"/>
      <c r="AV143" s="289"/>
      <c r="AW143" s="289"/>
      <c r="AX143" s="289"/>
      <c r="AY143" s="289"/>
    </row>
    <row r="144" spans="1:51" ht="13.5" customHeight="1">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c r="AA144" s="289"/>
      <c r="AB144" s="289"/>
      <c r="AC144" s="289"/>
      <c r="AD144" s="289"/>
      <c r="AE144" s="289"/>
      <c r="AF144" s="289"/>
      <c r="AG144" s="289"/>
      <c r="AH144" s="289"/>
      <c r="AI144" s="289"/>
      <c r="AJ144" s="289"/>
      <c r="AK144" s="289"/>
      <c r="AL144" s="289"/>
      <c r="AM144" s="289"/>
      <c r="AN144" s="289"/>
      <c r="AO144" s="289"/>
      <c r="AP144" s="289"/>
      <c r="AQ144" s="289"/>
      <c r="AR144" s="289"/>
      <c r="AS144" s="289"/>
      <c r="AT144" s="289"/>
      <c r="AU144" s="289"/>
      <c r="AV144" s="289"/>
      <c r="AW144" s="289"/>
      <c r="AX144" s="289"/>
      <c r="AY144" s="289"/>
    </row>
    <row r="145" spans="1:51" ht="13.5" customHeight="1">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c r="AA145" s="289"/>
      <c r="AB145" s="289"/>
      <c r="AC145" s="289"/>
      <c r="AD145" s="289"/>
      <c r="AE145" s="289"/>
      <c r="AF145" s="289"/>
      <c r="AG145" s="289"/>
      <c r="AH145" s="289"/>
      <c r="AI145" s="289"/>
      <c r="AJ145" s="289"/>
      <c r="AK145" s="289"/>
      <c r="AL145" s="289"/>
      <c r="AM145" s="289"/>
      <c r="AN145" s="289"/>
      <c r="AO145" s="289"/>
      <c r="AP145" s="289"/>
      <c r="AQ145" s="289"/>
      <c r="AR145" s="289"/>
      <c r="AS145" s="289"/>
      <c r="AT145" s="289"/>
      <c r="AU145" s="289"/>
      <c r="AV145" s="289"/>
      <c r="AW145" s="289"/>
      <c r="AX145" s="289"/>
      <c r="AY145" s="289"/>
    </row>
    <row r="146" spans="1:51" ht="13.5" customHeight="1">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c r="AA146" s="289"/>
      <c r="AB146" s="289"/>
      <c r="AC146" s="289"/>
      <c r="AD146" s="289"/>
      <c r="AE146" s="289"/>
      <c r="AF146" s="289"/>
      <c r="AG146" s="289"/>
      <c r="AH146" s="289"/>
      <c r="AI146" s="289"/>
      <c r="AJ146" s="289"/>
      <c r="AK146" s="289"/>
      <c r="AL146" s="289"/>
      <c r="AM146" s="289"/>
      <c r="AN146" s="289"/>
      <c r="AO146" s="289"/>
      <c r="AP146" s="289"/>
      <c r="AQ146" s="289"/>
      <c r="AR146" s="289"/>
      <c r="AS146" s="289"/>
      <c r="AT146" s="289"/>
      <c r="AU146" s="289"/>
      <c r="AV146" s="289"/>
      <c r="AW146" s="289"/>
      <c r="AX146" s="289"/>
      <c r="AY146" s="289"/>
    </row>
    <row r="147" spans="1:51" ht="13.5" customHeight="1">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c r="AA147" s="289"/>
      <c r="AB147" s="289"/>
      <c r="AC147" s="289"/>
      <c r="AD147" s="289"/>
      <c r="AE147" s="289"/>
      <c r="AF147" s="289"/>
      <c r="AG147" s="289"/>
      <c r="AH147" s="289"/>
      <c r="AI147" s="289"/>
      <c r="AJ147" s="289"/>
      <c r="AK147" s="289"/>
      <c r="AL147" s="289"/>
      <c r="AM147" s="289"/>
      <c r="AN147" s="289"/>
      <c r="AO147" s="289"/>
      <c r="AP147" s="289"/>
      <c r="AQ147" s="289"/>
      <c r="AR147" s="289"/>
      <c r="AS147" s="289"/>
      <c r="AT147" s="289"/>
      <c r="AU147" s="289"/>
      <c r="AV147" s="289"/>
      <c r="AW147" s="289"/>
      <c r="AX147" s="289"/>
      <c r="AY147" s="289"/>
    </row>
    <row r="148" spans="1:51" ht="13.5" customHeight="1">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c r="AA148" s="289"/>
      <c r="AB148" s="289"/>
      <c r="AC148" s="289"/>
      <c r="AD148" s="289"/>
      <c r="AE148" s="289"/>
      <c r="AF148" s="289"/>
      <c r="AG148" s="289"/>
      <c r="AH148" s="289"/>
      <c r="AI148" s="289"/>
      <c r="AJ148" s="289"/>
      <c r="AK148" s="289"/>
      <c r="AL148" s="289"/>
      <c r="AM148" s="289"/>
      <c r="AN148" s="289"/>
      <c r="AO148" s="289"/>
      <c r="AP148" s="289"/>
      <c r="AQ148" s="289"/>
      <c r="AR148" s="289"/>
      <c r="AS148" s="289"/>
      <c r="AT148" s="289"/>
      <c r="AU148" s="289"/>
      <c r="AV148" s="289"/>
      <c r="AW148" s="289"/>
      <c r="AX148" s="289"/>
      <c r="AY148" s="289"/>
    </row>
    <row r="149" spans="1:51" ht="13.5" customHeight="1">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c r="AA149" s="289"/>
      <c r="AB149" s="289"/>
      <c r="AC149" s="289"/>
      <c r="AD149" s="289"/>
      <c r="AE149" s="289"/>
      <c r="AF149" s="289"/>
      <c r="AG149" s="289"/>
      <c r="AH149" s="289"/>
      <c r="AI149" s="289"/>
      <c r="AJ149" s="289"/>
      <c r="AK149" s="289"/>
      <c r="AL149" s="289"/>
      <c r="AM149" s="289"/>
      <c r="AN149" s="289"/>
      <c r="AO149" s="289"/>
      <c r="AP149" s="289"/>
      <c r="AQ149" s="289"/>
      <c r="AR149" s="289"/>
      <c r="AS149" s="289"/>
      <c r="AT149" s="289"/>
      <c r="AU149" s="289"/>
      <c r="AV149" s="289"/>
      <c r="AW149" s="289"/>
      <c r="AX149" s="289"/>
      <c r="AY149" s="289"/>
    </row>
    <row r="150" spans="1:51" ht="13.5" customHeight="1">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c r="AA150" s="289"/>
      <c r="AB150" s="289"/>
      <c r="AC150" s="289"/>
      <c r="AD150" s="289"/>
      <c r="AE150" s="289"/>
      <c r="AF150" s="289"/>
      <c r="AG150" s="289"/>
      <c r="AH150" s="289"/>
      <c r="AI150" s="289"/>
      <c r="AJ150" s="289"/>
      <c r="AK150" s="289"/>
      <c r="AL150" s="289"/>
      <c r="AM150" s="289"/>
      <c r="AN150" s="289"/>
      <c r="AO150" s="289"/>
      <c r="AP150" s="289"/>
      <c r="AQ150" s="289"/>
      <c r="AR150" s="289"/>
      <c r="AS150" s="289"/>
      <c r="AT150" s="289"/>
      <c r="AU150" s="289"/>
      <c r="AV150" s="289"/>
      <c r="AW150" s="289"/>
      <c r="AX150" s="289"/>
      <c r="AY150" s="289"/>
    </row>
    <row r="151" spans="1:51" ht="13.5" customHeight="1">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c r="AA151" s="289"/>
      <c r="AB151" s="289"/>
      <c r="AC151" s="289"/>
      <c r="AD151" s="289"/>
      <c r="AE151" s="289"/>
      <c r="AF151" s="289"/>
      <c r="AG151" s="289"/>
      <c r="AH151" s="289"/>
      <c r="AI151" s="289"/>
      <c r="AJ151" s="289"/>
      <c r="AK151" s="289"/>
      <c r="AL151" s="289"/>
      <c r="AM151" s="289"/>
      <c r="AN151" s="289"/>
      <c r="AO151" s="289"/>
      <c r="AP151" s="289"/>
      <c r="AQ151" s="289"/>
      <c r="AR151" s="289"/>
      <c r="AS151" s="289"/>
      <c r="AT151" s="289"/>
      <c r="AU151" s="289"/>
      <c r="AV151" s="289"/>
      <c r="AW151" s="289"/>
      <c r="AX151" s="289"/>
      <c r="AY151" s="289"/>
    </row>
    <row r="152" spans="1:51" ht="13.5" customHeight="1">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c r="AA152" s="289"/>
      <c r="AB152" s="289"/>
      <c r="AC152" s="289"/>
      <c r="AD152" s="289"/>
      <c r="AE152" s="289"/>
      <c r="AF152" s="289"/>
      <c r="AG152" s="289"/>
      <c r="AH152" s="289"/>
      <c r="AI152" s="289"/>
      <c r="AJ152" s="289"/>
      <c r="AK152" s="289"/>
      <c r="AL152" s="289"/>
      <c r="AM152" s="289"/>
      <c r="AN152" s="289"/>
      <c r="AO152" s="289"/>
      <c r="AP152" s="289"/>
      <c r="AQ152" s="289"/>
      <c r="AR152" s="289"/>
      <c r="AS152" s="289"/>
      <c r="AT152" s="289"/>
      <c r="AU152" s="289"/>
      <c r="AV152" s="289"/>
      <c r="AW152" s="289"/>
      <c r="AX152" s="289"/>
      <c r="AY152" s="289"/>
    </row>
    <row r="153" spans="1:51" ht="13.5" customHeight="1">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c r="AA153" s="289"/>
      <c r="AB153" s="289"/>
      <c r="AC153" s="289"/>
      <c r="AD153" s="289"/>
      <c r="AE153" s="289"/>
      <c r="AF153" s="289"/>
      <c r="AG153" s="289"/>
      <c r="AH153" s="289"/>
      <c r="AI153" s="289"/>
      <c r="AJ153" s="289"/>
      <c r="AK153" s="289"/>
      <c r="AL153" s="289"/>
      <c r="AM153" s="289"/>
      <c r="AN153" s="289"/>
      <c r="AO153" s="289"/>
      <c r="AP153" s="289"/>
      <c r="AQ153" s="289"/>
      <c r="AR153" s="289"/>
      <c r="AS153" s="289"/>
      <c r="AT153" s="289"/>
      <c r="AU153" s="289"/>
      <c r="AV153" s="289"/>
      <c r="AW153" s="289"/>
      <c r="AX153" s="289"/>
      <c r="AY153" s="289"/>
    </row>
    <row r="154" spans="1:51" ht="13.5" customHeight="1">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c r="AA154" s="289"/>
      <c r="AB154" s="289"/>
      <c r="AC154" s="289"/>
      <c r="AD154" s="289"/>
      <c r="AE154" s="289"/>
      <c r="AF154" s="289"/>
      <c r="AG154" s="289"/>
      <c r="AH154" s="289"/>
      <c r="AI154" s="289"/>
      <c r="AJ154" s="289"/>
      <c r="AK154" s="289"/>
      <c r="AL154" s="289"/>
      <c r="AM154" s="289"/>
      <c r="AN154" s="289"/>
      <c r="AO154" s="289"/>
      <c r="AP154" s="289"/>
      <c r="AQ154" s="289"/>
      <c r="AR154" s="289"/>
      <c r="AS154" s="289"/>
      <c r="AT154" s="289"/>
      <c r="AU154" s="289"/>
      <c r="AV154" s="289"/>
      <c r="AW154" s="289"/>
      <c r="AX154" s="289"/>
      <c r="AY154" s="289"/>
    </row>
    <row r="155" spans="1:51" ht="13.5" customHeight="1">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c r="AB155" s="289"/>
      <c r="AC155" s="289"/>
      <c r="AD155" s="289"/>
      <c r="AE155" s="289"/>
      <c r="AF155" s="289"/>
      <c r="AG155" s="289"/>
      <c r="AH155" s="289"/>
      <c r="AI155" s="289"/>
      <c r="AJ155" s="289"/>
      <c r="AK155" s="289"/>
      <c r="AL155" s="289"/>
      <c r="AM155" s="289"/>
      <c r="AN155" s="289"/>
      <c r="AO155" s="289"/>
      <c r="AP155" s="289"/>
      <c r="AQ155" s="289"/>
      <c r="AR155" s="289"/>
      <c r="AS155" s="289"/>
      <c r="AT155" s="289"/>
      <c r="AU155" s="289"/>
      <c r="AV155" s="289"/>
      <c r="AW155" s="289"/>
      <c r="AX155" s="289"/>
      <c r="AY155" s="289"/>
    </row>
    <row r="156" spans="1:51" ht="13.5" customHeight="1">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c r="AA156" s="289"/>
      <c r="AB156" s="289"/>
      <c r="AC156" s="289"/>
      <c r="AD156" s="289"/>
      <c r="AE156" s="289"/>
      <c r="AF156" s="289"/>
      <c r="AG156" s="289"/>
      <c r="AH156" s="289"/>
      <c r="AI156" s="289"/>
      <c r="AJ156" s="289"/>
      <c r="AK156" s="289"/>
      <c r="AL156" s="289"/>
      <c r="AM156" s="289"/>
      <c r="AN156" s="289"/>
      <c r="AO156" s="289"/>
      <c r="AP156" s="289"/>
      <c r="AQ156" s="289"/>
      <c r="AR156" s="289"/>
      <c r="AS156" s="289"/>
      <c r="AT156" s="289"/>
      <c r="AU156" s="289"/>
      <c r="AV156" s="289"/>
      <c r="AW156" s="289"/>
      <c r="AX156" s="289"/>
      <c r="AY156" s="289"/>
    </row>
    <row r="157" spans="1:51" ht="13.5" customHeight="1">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c r="AA157" s="289"/>
      <c r="AB157" s="289"/>
      <c r="AC157" s="289"/>
      <c r="AD157" s="289"/>
      <c r="AE157" s="289"/>
      <c r="AF157" s="289"/>
      <c r="AG157" s="289"/>
      <c r="AH157" s="289"/>
      <c r="AI157" s="289"/>
      <c r="AJ157" s="289"/>
      <c r="AK157" s="289"/>
      <c r="AL157" s="289"/>
      <c r="AM157" s="289"/>
      <c r="AN157" s="289"/>
      <c r="AO157" s="289"/>
      <c r="AP157" s="289"/>
      <c r="AQ157" s="289"/>
      <c r="AR157" s="289"/>
      <c r="AS157" s="289"/>
      <c r="AT157" s="289"/>
      <c r="AU157" s="289"/>
      <c r="AV157" s="289"/>
      <c r="AW157" s="289"/>
      <c r="AX157" s="289"/>
      <c r="AY157" s="289"/>
    </row>
    <row r="158" spans="1:51" ht="13.5" customHeight="1">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c r="AA158" s="289"/>
      <c r="AB158" s="289"/>
      <c r="AC158" s="289"/>
      <c r="AD158" s="289"/>
      <c r="AE158" s="289"/>
      <c r="AF158" s="289"/>
      <c r="AG158" s="289"/>
      <c r="AH158" s="289"/>
      <c r="AI158" s="289"/>
      <c r="AJ158" s="289"/>
      <c r="AK158" s="289"/>
      <c r="AL158" s="289"/>
      <c r="AM158" s="289"/>
      <c r="AN158" s="289"/>
      <c r="AO158" s="289"/>
      <c r="AP158" s="289"/>
      <c r="AQ158" s="289"/>
      <c r="AR158" s="289"/>
      <c r="AS158" s="289"/>
      <c r="AT158" s="289"/>
      <c r="AU158" s="289"/>
      <c r="AV158" s="289"/>
      <c r="AW158" s="289"/>
      <c r="AX158" s="289"/>
      <c r="AY158" s="289"/>
    </row>
    <row r="159" spans="1:51" ht="13.5" customHeight="1">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c r="AA159" s="289"/>
      <c r="AB159" s="289"/>
      <c r="AC159" s="289"/>
      <c r="AD159" s="289"/>
      <c r="AE159" s="289"/>
      <c r="AF159" s="289"/>
      <c r="AG159" s="289"/>
      <c r="AH159" s="289"/>
      <c r="AI159" s="289"/>
      <c r="AJ159" s="289"/>
      <c r="AK159" s="289"/>
      <c r="AL159" s="289"/>
      <c r="AM159" s="289"/>
      <c r="AN159" s="289"/>
      <c r="AO159" s="289"/>
      <c r="AP159" s="289"/>
      <c r="AQ159" s="289"/>
      <c r="AR159" s="289"/>
      <c r="AS159" s="289"/>
      <c r="AT159" s="289"/>
      <c r="AU159" s="289"/>
      <c r="AV159" s="289"/>
      <c r="AW159" s="289"/>
      <c r="AX159" s="289"/>
      <c r="AY159" s="289"/>
    </row>
    <row r="160" spans="1:51" ht="13.5" customHeight="1">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c r="AA160" s="289"/>
      <c r="AB160" s="289"/>
      <c r="AC160" s="289"/>
      <c r="AD160" s="289"/>
      <c r="AE160" s="289"/>
      <c r="AF160" s="289"/>
      <c r="AG160" s="289"/>
      <c r="AH160" s="289"/>
      <c r="AI160" s="289"/>
      <c r="AJ160" s="289"/>
      <c r="AK160" s="289"/>
      <c r="AL160" s="289"/>
      <c r="AM160" s="289"/>
      <c r="AN160" s="289"/>
      <c r="AO160" s="289"/>
      <c r="AP160" s="289"/>
      <c r="AQ160" s="289"/>
      <c r="AR160" s="289"/>
      <c r="AS160" s="289"/>
      <c r="AT160" s="289"/>
      <c r="AU160" s="289"/>
      <c r="AV160" s="289"/>
      <c r="AW160" s="289"/>
      <c r="AX160" s="289"/>
      <c r="AY160" s="289"/>
    </row>
    <row r="161" spans="1:51" ht="13.5" customHeight="1">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c r="AA161" s="289"/>
      <c r="AB161" s="289"/>
      <c r="AC161" s="289"/>
      <c r="AD161" s="289"/>
      <c r="AE161" s="289"/>
      <c r="AF161" s="289"/>
      <c r="AG161" s="289"/>
      <c r="AH161" s="289"/>
      <c r="AI161" s="289"/>
      <c r="AJ161" s="289"/>
      <c r="AK161" s="289"/>
      <c r="AL161" s="289"/>
      <c r="AM161" s="289"/>
      <c r="AN161" s="289"/>
      <c r="AO161" s="289"/>
      <c r="AP161" s="289"/>
      <c r="AQ161" s="289"/>
      <c r="AR161" s="289"/>
      <c r="AS161" s="289"/>
      <c r="AT161" s="289"/>
      <c r="AU161" s="289"/>
      <c r="AV161" s="289"/>
      <c r="AW161" s="289"/>
      <c r="AX161" s="289"/>
      <c r="AY161" s="289"/>
    </row>
    <row r="162" spans="1:51" ht="13.5" customHeight="1">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c r="AA162" s="289"/>
      <c r="AB162" s="289"/>
      <c r="AC162" s="289"/>
      <c r="AD162" s="289"/>
      <c r="AE162" s="289"/>
      <c r="AF162" s="289"/>
      <c r="AG162" s="289"/>
      <c r="AH162" s="289"/>
      <c r="AI162" s="289"/>
      <c r="AJ162" s="289"/>
      <c r="AK162" s="289"/>
      <c r="AL162" s="289"/>
      <c r="AM162" s="289"/>
      <c r="AN162" s="289"/>
      <c r="AO162" s="289"/>
      <c r="AP162" s="289"/>
      <c r="AQ162" s="289"/>
      <c r="AR162" s="289"/>
      <c r="AS162" s="289"/>
      <c r="AT162" s="289"/>
      <c r="AU162" s="289"/>
      <c r="AV162" s="289"/>
      <c r="AW162" s="289"/>
      <c r="AX162" s="289"/>
      <c r="AY162" s="289"/>
    </row>
    <row r="163" spans="1:51" ht="13.5" customHeight="1">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c r="AA163" s="289"/>
      <c r="AB163" s="289"/>
      <c r="AC163" s="289"/>
      <c r="AD163" s="289"/>
      <c r="AE163" s="289"/>
      <c r="AF163" s="289"/>
      <c r="AG163" s="289"/>
      <c r="AH163" s="289"/>
      <c r="AI163" s="289"/>
      <c r="AJ163" s="289"/>
      <c r="AK163" s="289"/>
      <c r="AL163" s="289"/>
      <c r="AM163" s="289"/>
      <c r="AN163" s="289"/>
      <c r="AO163" s="289"/>
      <c r="AP163" s="289"/>
      <c r="AQ163" s="289"/>
      <c r="AR163" s="289"/>
      <c r="AS163" s="289"/>
      <c r="AT163" s="289"/>
      <c r="AU163" s="289"/>
      <c r="AV163" s="289"/>
      <c r="AW163" s="289"/>
      <c r="AX163" s="289"/>
      <c r="AY163" s="289"/>
    </row>
    <row r="164" spans="1:51" ht="13.5" customHeight="1">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c r="AA164" s="289"/>
      <c r="AB164" s="289"/>
      <c r="AC164" s="289"/>
      <c r="AD164" s="289"/>
      <c r="AE164" s="289"/>
      <c r="AF164" s="289"/>
      <c r="AG164" s="289"/>
      <c r="AH164" s="289"/>
      <c r="AI164" s="289"/>
      <c r="AJ164" s="289"/>
      <c r="AK164" s="289"/>
      <c r="AL164" s="289"/>
      <c r="AM164" s="289"/>
      <c r="AN164" s="289"/>
      <c r="AO164" s="289"/>
      <c r="AP164" s="289"/>
      <c r="AQ164" s="289"/>
      <c r="AR164" s="289"/>
      <c r="AS164" s="289"/>
      <c r="AT164" s="289"/>
      <c r="AU164" s="289"/>
      <c r="AV164" s="289"/>
      <c r="AW164" s="289"/>
      <c r="AX164" s="289"/>
      <c r="AY164" s="289"/>
    </row>
    <row r="165" spans="1:51" ht="13.5" customHeight="1">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c r="AA165" s="289"/>
      <c r="AB165" s="289"/>
      <c r="AC165" s="289"/>
      <c r="AD165" s="289"/>
      <c r="AE165" s="289"/>
      <c r="AF165" s="289"/>
      <c r="AG165" s="289"/>
      <c r="AH165" s="289"/>
      <c r="AI165" s="289"/>
      <c r="AJ165" s="289"/>
      <c r="AK165" s="289"/>
      <c r="AL165" s="289"/>
      <c r="AM165" s="289"/>
      <c r="AN165" s="289"/>
      <c r="AO165" s="289"/>
      <c r="AP165" s="289"/>
      <c r="AQ165" s="289"/>
      <c r="AR165" s="289"/>
      <c r="AS165" s="289"/>
      <c r="AT165" s="289"/>
      <c r="AU165" s="289"/>
      <c r="AV165" s="289"/>
      <c r="AW165" s="289"/>
      <c r="AX165" s="289"/>
      <c r="AY165" s="289"/>
    </row>
    <row r="166" spans="1:51" ht="13.5" customHeight="1">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c r="AA166" s="289"/>
      <c r="AB166" s="289"/>
      <c r="AC166" s="289"/>
      <c r="AD166" s="289"/>
      <c r="AE166" s="289"/>
      <c r="AF166" s="289"/>
      <c r="AG166" s="289"/>
      <c r="AH166" s="289"/>
      <c r="AI166" s="289"/>
      <c r="AJ166" s="289"/>
      <c r="AK166" s="289"/>
      <c r="AL166" s="289"/>
      <c r="AM166" s="289"/>
      <c r="AN166" s="289"/>
      <c r="AO166" s="289"/>
      <c r="AP166" s="289"/>
      <c r="AQ166" s="289"/>
      <c r="AR166" s="289"/>
      <c r="AS166" s="289"/>
      <c r="AT166" s="289"/>
      <c r="AU166" s="289"/>
      <c r="AV166" s="289"/>
      <c r="AW166" s="289"/>
      <c r="AX166" s="289"/>
      <c r="AY166" s="289"/>
    </row>
    <row r="167" spans="1:51" ht="13.5" customHeight="1">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c r="AA167" s="289"/>
      <c r="AB167" s="289"/>
      <c r="AC167" s="289"/>
      <c r="AD167" s="289"/>
      <c r="AE167" s="289"/>
      <c r="AF167" s="289"/>
      <c r="AG167" s="289"/>
      <c r="AH167" s="289"/>
      <c r="AI167" s="289"/>
      <c r="AJ167" s="289"/>
      <c r="AK167" s="289"/>
      <c r="AL167" s="289"/>
      <c r="AM167" s="289"/>
      <c r="AN167" s="289"/>
      <c r="AO167" s="289"/>
      <c r="AP167" s="289"/>
      <c r="AQ167" s="289"/>
      <c r="AR167" s="289"/>
      <c r="AS167" s="289"/>
      <c r="AT167" s="289"/>
      <c r="AU167" s="289"/>
      <c r="AV167" s="289"/>
      <c r="AW167" s="289"/>
      <c r="AX167" s="289"/>
      <c r="AY167" s="289"/>
    </row>
    <row r="168" spans="1:51" ht="13.5" customHeight="1">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c r="AA168" s="289"/>
      <c r="AB168" s="289"/>
      <c r="AC168" s="289"/>
      <c r="AD168" s="289"/>
      <c r="AE168" s="289"/>
      <c r="AF168" s="289"/>
      <c r="AG168" s="289"/>
      <c r="AH168" s="289"/>
      <c r="AI168" s="289"/>
      <c r="AJ168" s="289"/>
      <c r="AK168" s="289"/>
      <c r="AL168" s="289"/>
      <c r="AM168" s="289"/>
      <c r="AN168" s="289"/>
      <c r="AO168" s="289"/>
      <c r="AP168" s="289"/>
      <c r="AQ168" s="289"/>
      <c r="AR168" s="289"/>
      <c r="AS168" s="289"/>
      <c r="AT168" s="289"/>
      <c r="AU168" s="289"/>
      <c r="AV168" s="289"/>
      <c r="AW168" s="289"/>
      <c r="AX168" s="289"/>
      <c r="AY168" s="289"/>
    </row>
    <row r="169" spans="1:51" ht="13.5" customHeight="1">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c r="AA169" s="289"/>
      <c r="AB169" s="289"/>
      <c r="AC169" s="289"/>
      <c r="AD169" s="289"/>
      <c r="AE169" s="289"/>
      <c r="AF169" s="289"/>
      <c r="AG169" s="289"/>
      <c r="AH169" s="289"/>
      <c r="AI169" s="289"/>
      <c r="AJ169" s="289"/>
      <c r="AK169" s="289"/>
      <c r="AL169" s="289"/>
      <c r="AM169" s="289"/>
      <c r="AN169" s="289"/>
      <c r="AO169" s="289"/>
      <c r="AP169" s="289"/>
      <c r="AQ169" s="289"/>
      <c r="AR169" s="289"/>
      <c r="AS169" s="289"/>
      <c r="AT169" s="289"/>
      <c r="AU169" s="289"/>
      <c r="AV169" s="289"/>
      <c r="AW169" s="289"/>
      <c r="AX169" s="289"/>
      <c r="AY169" s="289"/>
    </row>
    <row r="170" spans="1:51" ht="13.5" customHeight="1">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c r="AA170" s="289"/>
      <c r="AB170" s="289"/>
      <c r="AC170" s="289"/>
      <c r="AD170" s="289"/>
      <c r="AE170" s="289"/>
      <c r="AF170" s="289"/>
      <c r="AG170" s="289"/>
      <c r="AH170" s="289"/>
      <c r="AI170" s="289"/>
      <c r="AJ170" s="289"/>
      <c r="AK170" s="289"/>
      <c r="AL170" s="289"/>
      <c r="AM170" s="289"/>
      <c r="AN170" s="289"/>
      <c r="AO170" s="289"/>
      <c r="AP170" s="289"/>
      <c r="AQ170" s="289"/>
      <c r="AR170" s="289"/>
      <c r="AS170" s="289"/>
      <c r="AT170" s="289"/>
      <c r="AU170" s="289"/>
      <c r="AV170" s="289"/>
      <c r="AW170" s="289"/>
      <c r="AX170" s="289"/>
      <c r="AY170" s="289"/>
    </row>
    <row r="171" spans="1:51" ht="13.5" customHeight="1">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89"/>
      <c r="AX171" s="289"/>
      <c r="AY171" s="289"/>
    </row>
    <row r="172" spans="1:51" ht="13.5" customHeight="1">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c r="AA172" s="289"/>
      <c r="AB172" s="289"/>
      <c r="AC172" s="289"/>
      <c r="AD172" s="289"/>
      <c r="AE172" s="289"/>
      <c r="AF172" s="289"/>
      <c r="AG172" s="289"/>
      <c r="AH172" s="289"/>
      <c r="AI172" s="289"/>
      <c r="AJ172" s="289"/>
      <c r="AK172" s="289"/>
      <c r="AL172" s="289"/>
      <c r="AM172" s="289"/>
      <c r="AN172" s="289"/>
      <c r="AO172" s="289"/>
      <c r="AP172" s="289"/>
      <c r="AQ172" s="289"/>
      <c r="AR172" s="289"/>
      <c r="AS172" s="289"/>
      <c r="AT172" s="289"/>
      <c r="AU172" s="289"/>
      <c r="AV172" s="289"/>
      <c r="AW172" s="289"/>
      <c r="AX172" s="289"/>
      <c r="AY172" s="289"/>
    </row>
    <row r="173" spans="1:51" ht="13.5" customHeight="1">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289"/>
      <c r="AC173" s="289"/>
      <c r="AD173" s="289"/>
      <c r="AE173" s="289"/>
      <c r="AF173" s="289"/>
      <c r="AG173" s="289"/>
      <c r="AH173" s="289"/>
      <c r="AI173" s="289"/>
      <c r="AJ173" s="289"/>
      <c r="AK173" s="289"/>
      <c r="AL173" s="289"/>
      <c r="AM173" s="289"/>
      <c r="AN173" s="289"/>
      <c r="AO173" s="289"/>
      <c r="AP173" s="289"/>
      <c r="AQ173" s="289"/>
      <c r="AR173" s="289"/>
      <c r="AS173" s="289"/>
      <c r="AT173" s="289"/>
      <c r="AU173" s="289"/>
      <c r="AV173" s="289"/>
      <c r="AW173" s="289"/>
      <c r="AX173" s="289"/>
      <c r="AY173" s="289"/>
    </row>
    <row r="174" spans="1:51" ht="13.5" customHeight="1">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289"/>
      <c r="AC174" s="289"/>
      <c r="AD174" s="289"/>
      <c r="AE174" s="289"/>
      <c r="AF174" s="289"/>
      <c r="AG174" s="289"/>
      <c r="AH174" s="289"/>
      <c r="AI174" s="289"/>
      <c r="AJ174" s="289"/>
      <c r="AK174" s="289"/>
      <c r="AL174" s="289"/>
      <c r="AM174" s="289"/>
      <c r="AN174" s="289"/>
      <c r="AO174" s="289"/>
      <c r="AP174" s="289"/>
      <c r="AQ174" s="289"/>
      <c r="AR174" s="289"/>
      <c r="AS174" s="289"/>
      <c r="AT174" s="289"/>
      <c r="AU174" s="289"/>
      <c r="AV174" s="289"/>
      <c r="AW174" s="289"/>
      <c r="AX174" s="289"/>
      <c r="AY174" s="289"/>
    </row>
    <row r="175" spans="1:51" ht="13.5" customHeight="1">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c r="AA175" s="289"/>
      <c r="AB175" s="289"/>
      <c r="AC175" s="289"/>
      <c r="AD175" s="289"/>
      <c r="AE175" s="289"/>
      <c r="AF175" s="289"/>
      <c r="AG175" s="289"/>
      <c r="AH175" s="289"/>
      <c r="AI175" s="289"/>
      <c r="AJ175" s="289"/>
      <c r="AK175" s="289"/>
      <c r="AL175" s="289"/>
      <c r="AM175" s="289"/>
      <c r="AN175" s="289"/>
      <c r="AO175" s="289"/>
      <c r="AP175" s="289"/>
      <c r="AQ175" s="289"/>
      <c r="AR175" s="289"/>
      <c r="AS175" s="289"/>
      <c r="AT175" s="289"/>
      <c r="AU175" s="289"/>
      <c r="AV175" s="289"/>
      <c r="AW175" s="289"/>
      <c r="AX175" s="289"/>
      <c r="AY175" s="289"/>
    </row>
    <row r="176" spans="1:51" ht="13.5" customHeight="1">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89"/>
      <c r="AH176" s="289"/>
      <c r="AI176" s="289"/>
      <c r="AJ176" s="289"/>
      <c r="AK176" s="289"/>
      <c r="AL176" s="289"/>
      <c r="AM176" s="289"/>
      <c r="AN176" s="289"/>
      <c r="AO176" s="289"/>
      <c r="AP176" s="289"/>
      <c r="AQ176" s="289"/>
      <c r="AR176" s="289"/>
      <c r="AS176" s="289"/>
      <c r="AT176" s="289"/>
      <c r="AU176" s="289"/>
      <c r="AV176" s="289"/>
      <c r="AW176" s="289"/>
      <c r="AX176" s="289"/>
      <c r="AY176" s="289"/>
    </row>
    <row r="177" spans="1:51" ht="13.5" customHeight="1">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c r="AA177" s="289"/>
      <c r="AB177" s="289"/>
      <c r="AC177" s="289"/>
      <c r="AD177" s="289"/>
      <c r="AE177" s="289"/>
      <c r="AF177" s="289"/>
      <c r="AG177" s="289"/>
      <c r="AH177" s="289"/>
      <c r="AI177" s="289"/>
      <c r="AJ177" s="289"/>
      <c r="AK177" s="289"/>
      <c r="AL177" s="289"/>
      <c r="AM177" s="289"/>
      <c r="AN177" s="289"/>
      <c r="AO177" s="289"/>
      <c r="AP177" s="289"/>
      <c r="AQ177" s="289"/>
      <c r="AR177" s="289"/>
      <c r="AS177" s="289"/>
      <c r="AT177" s="289"/>
      <c r="AU177" s="289"/>
      <c r="AV177" s="289"/>
      <c r="AW177" s="289"/>
      <c r="AX177" s="289"/>
      <c r="AY177" s="289"/>
    </row>
    <row r="178" spans="1:51" ht="13.5" customHeight="1">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c r="AA178" s="289"/>
      <c r="AB178" s="289"/>
      <c r="AC178" s="289"/>
      <c r="AD178" s="289"/>
      <c r="AE178" s="289"/>
      <c r="AF178" s="289"/>
      <c r="AG178" s="289"/>
      <c r="AH178" s="289"/>
      <c r="AI178" s="289"/>
      <c r="AJ178" s="289"/>
      <c r="AK178" s="289"/>
      <c r="AL178" s="289"/>
      <c r="AM178" s="289"/>
      <c r="AN178" s="289"/>
      <c r="AO178" s="289"/>
      <c r="AP178" s="289"/>
      <c r="AQ178" s="289"/>
      <c r="AR178" s="289"/>
      <c r="AS178" s="289"/>
      <c r="AT178" s="289"/>
      <c r="AU178" s="289"/>
      <c r="AV178" s="289"/>
      <c r="AW178" s="289"/>
      <c r="AX178" s="289"/>
      <c r="AY178" s="289"/>
    </row>
    <row r="179" spans="1:51" ht="13.5" customHeight="1">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89"/>
      <c r="AH179" s="289"/>
      <c r="AI179" s="289"/>
      <c r="AJ179" s="289"/>
      <c r="AK179" s="289"/>
      <c r="AL179" s="289"/>
      <c r="AM179" s="289"/>
      <c r="AN179" s="289"/>
      <c r="AO179" s="289"/>
      <c r="AP179" s="289"/>
      <c r="AQ179" s="289"/>
      <c r="AR179" s="289"/>
      <c r="AS179" s="289"/>
      <c r="AT179" s="289"/>
      <c r="AU179" s="289"/>
      <c r="AV179" s="289"/>
      <c r="AW179" s="289"/>
      <c r="AX179" s="289"/>
      <c r="AY179" s="289"/>
    </row>
    <row r="180" spans="1:51" ht="13.5" customHeight="1">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c r="AA180" s="289"/>
      <c r="AB180" s="289"/>
      <c r="AC180" s="289"/>
      <c r="AD180" s="289"/>
      <c r="AE180" s="289"/>
      <c r="AF180" s="289"/>
      <c r="AG180" s="289"/>
      <c r="AH180" s="289"/>
      <c r="AI180" s="289"/>
      <c r="AJ180" s="289"/>
      <c r="AK180" s="289"/>
      <c r="AL180" s="289"/>
      <c r="AM180" s="289"/>
      <c r="AN180" s="289"/>
      <c r="AO180" s="289"/>
      <c r="AP180" s="289"/>
      <c r="AQ180" s="289"/>
      <c r="AR180" s="289"/>
      <c r="AS180" s="289"/>
      <c r="AT180" s="289"/>
      <c r="AU180" s="289"/>
      <c r="AV180" s="289"/>
      <c r="AW180" s="289"/>
      <c r="AX180" s="289"/>
      <c r="AY180" s="289"/>
    </row>
    <row r="181" spans="1:51" ht="13.5" customHeight="1">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c r="AA181" s="289"/>
      <c r="AB181" s="289"/>
      <c r="AC181" s="289"/>
      <c r="AD181" s="289"/>
      <c r="AE181" s="289"/>
      <c r="AF181" s="289"/>
      <c r="AG181" s="289"/>
      <c r="AH181" s="289"/>
      <c r="AI181" s="289"/>
      <c r="AJ181" s="289"/>
      <c r="AK181" s="289"/>
      <c r="AL181" s="289"/>
      <c r="AM181" s="289"/>
      <c r="AN181" s="289"/>
      <c r="AO181" s="289"/>
      <c r="AP181" s="289"/>
      <c r="AQ181" s="289"/>
      <c r="AR181" s="289"/>
      <c r="AS181" s="289"/>
      <c r="AT181" s="289"/>
      <c r="AU181" s="289"/>
      <c r="AV181" s="289"/>
      <c r="AW181" s="289"/>
      <c r="AX181" s="289"/>
      <c r="AY181" s="289"/>
    </row>
    <row r="182" spans="1:51" ht="13.5" customHeight="1">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c r="AA182" s="289"/>
      <c r="AB182" s="289"/>
      <c r="AC182" s="289"/>
      <c r="AD182" s="289"/>
      <c r="AE182" s="289"/>
      <c r="AF182" s="289"/>
      <c r="AG182" s="289"/>
      <c r="AH182" s="289"/>
      <c r="AI182" s="289"/>
      <c r="AJ182" s="289"/>
      <c r="AK182" s="289"/>
      <c r="AL182" s="289"/>
      <c r="AM182" s="289"/>
      <c r="AN182" s="289"/>
      <c r="AO182" s="289"/>
      <c r="AP182" s="289"/>
      <c r="AQ182" s="289"/>
      <c r="AR182" s="289"/>
      <c r="AS182" s="289"/>
      <c r="AT182" s="289"/>
      <c r="AU182" s="289"/>
      <c r="AV182" s="289"/>
      <c r="AW182" s="289"/>
      <c r="AX182" s="289"/>
      <c r="AY182" s="289"/>
    </row>
    <row r="183" spans="1:51" ht="13.5" customHeight="1">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c r="AA183" s="289"/>
      <c r="AB183" s="289"/>
      <c r="AC183" s="289"/>
      <c r="AD183" s="289"/>
      <c r="AE183" s="289"/>
      <c r="AF183" s="289"/>
      <c r="AG183" s="289"/>
      <c r="AH183" s="289"/>
      <c r="AI183" s="289"/>
      <c r="AJ183" s="289"/>
      <c r="AK183" s="289"/>
      <c r="AL183" s="289"/>
      <c r="AM183" s="289"/>
      <c r="AN183" s="289"/>
      <c r="AO183" s="289"/>
      <c r="AP183" s="289"/>
      <c r="AQ183" s="289"/>
      <c r="AR183" s="289"/>
      <c r="AS183" s="289"/>
      <c r="AT183" s="289"/>
      <c r="AU183" s="289"/>
      <c r="AV183" s="289"/>
      <c r="AW183" s="289"/>
      <c r="AX183" s="289"/>
      <c r="AY183" s="289"/>
    </row>
    <row r="184" spans="1:51" ht="13.5" customHeight="1">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c r="AA184" s="289"/>
      <c r="AB184" s="289"/>
      <c r="AC184" s="289"/>
      <c r="AD184" s="289"/>
      <c r="AE184" s="289"/>
      <c r="AF184" s="289"/>
      <c r="AG184" s="289"/>
      <c r="AH184" s="289"/>
      <c r="AI184" s="289"/>
      <c r="AJ184" s="289"/>
      <c r="AK184" s="289"/>
      <c r="AL184" s="289"/>
      <c r="AM184" s="289"/>
      <c r="AN184" s="289"/>
      <c r="AO184" s="289"/>
      <c r="AP184" s="289"/>
      <c r="AQ184" s="289"/>
      <c r="AR184" s="289"/>
      <c r="AS184" s="289"/>
      <c r="AT184" s="289"/>
      <c r="AU184" s="289"/>
      <c r="AV184" s="289"/>
      <c r="AW184" s="289"/>
      <c r="AX184" s="289"/>
      <c r="AY184" s="289"/>
    </row>
    <row r="185" spans="1:51" ht="13.5" customHeight="1">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c r="AA185" s="289"/>
      <c r="AB185" s="289"/>
      <c r="AC185" s="289"/>
      <c r="AD185" s="289"/>
      <c r="AE185" s="289"/>
      <c r="AF185" s="289"/>
      <c r="AG185" s="289"/>
      <c r="AH185" s="289"/>
      <c r="AI185" s="289"/>
      <c r="AJ185" s="289"/>
      <c r="AK185" s="289"/>
      <c r="AL185" s="289"/>
      <c r="AM185" s="289"/>
      <c r="AN185" s="289"/>
      <c r="AO185" s="289"/>
      <c r="AP185" s="289"/>
      <c r="AQ185" s="289"/>
      <c r="AR185" s="289"/>
      <c r="AS185" s="289"/>
      <c r="AT185" s="289"/>
      <c r="AU185" s="289"/>
      <c r="AV185" s="289"/>
      <c r="AW185" s="289"/>
      <c r="AX185" s="289"/>
      <c r="AY185" s="289"/>
    </row>
    <row r="186" spans="1:51" ht="13.5" customHeight="1">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c r="AA186" s="289"/>
      <c r="AB186" s="289"/>
      <c r="AC186" s="289"/>
      <c r="AD186" s="289"/>
      <c r="AE186" s="289"/>
      <c r="AF186" s="289"/>
      <c r="AG186" s="289"/>
      <c r="AH186" s="289"/>
      <c r="AI186" s="289"/>
      <c r="AJ186" s="289"/>
      <c r="AK186" s="289"/>
      <c r="AL186" s="289"/>
      <c r="AM186" s="289"/>
      <c r="AN186" s="289"/>
      <c r="AO186" s="289"/>
      <c r="AP186" s="289"/>
      <c r="AQ186" s="289"/>
      <c r="AR186" s="289"/>
      <c r="AS186" s="289"/>
      <c r="AT186" s="289"/>
      <c r="AU186" s="289"/>
      <c r="AV186" s="289"/>
      <c r="AW186" s="289"/>
      <c r="AX186" s="289"/>
      <c r="AY186" s="289"/>
    </row>
    <row r="187" spans="1:51" ht="13.5" customHeight="1">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c r="AA187" s="289"/>
      <c r="AB187" s="289"/>
      <c r="AC187" s="289"/>
      <c r="AD187" s="289"/>
      <c r="AE187" s="289"/>
      <c r="AF187" s="289"/>
      <c r="AG187" s="289"/>
      <c r="AH187" s="289"/>
      <c r="AI187" s="289"/>
      <c r="AJ187" s="289"/>
      <c r="AK187" s="289"/>
      <c r="AL187" s="289"/>
      <c r="AM187" s="289"/>
      <c r="AN187" s="289"/>
      <c r="AO187" s="289"/>
      <c r="AP187" s="289"/>
      <c r="AQ187" s="289"/>
      <c r="AR187" s="289"/>
      <c r="AS187" s="289"/>
      <c r="AT187" s="289"/>
      <c r="AU187" s="289"/>
      <c r="AV187" s="289"/>
      <c r="AW187" s="289"/>
      <c r="AX187" s="289"/>
      <c r="AY187" s="289"/>
    </row>
    <row r="188" spans="1:51" ht="13.5" customHeight="1">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c r="AA188" s="289"/>
      <c r="AB188" s="289"/>
      <c r="AC188" s="289"/>
      <c r="AD188" s="289"/>
      <c r="AE188" s="289"/>
      <c r="AF188" s="289"/>
      <c r="AG188" s="289"/>
      <c r="AH188" s="289"/>
      <c r="AI188" s="289"/>
      <c r="AJ188" s="289"/>
      <c r="AK188" s="289"/>
      <c r="AL188" s="289"/>
      <c r="AM188" s="289"/>
      <c r="AN188" s="289"/>
      <c r="AO188" s="289"/>
      <c r="AP188" s="289"/>
      <c r="AQ188" s="289"/>
      <c r="AR188" s="289"/>
      <c r="AS188" s="289"/>
      <c r="AT188" s="289"/>
      <c r="AU188" s="289"/>
      <c r="AV188" s="289"/>
      <c r="AW188" s="289"/>
      <c r="AX188" s="289"/>
      <c r="AY188" s="289"/>
    </row>
    <row r="189" spans="1:51" ht="13.5" customHeight="1">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c r="AA189" s="289"/>
      <c r="AB189" s="289"/>
      <c r="AC189" s="289"/>
      <c r="AD189" s="289"/>
      <c r="AE189" s="289"/>
      <c r="AF189" s="289"/>
      <c r="AG189" s="289"/>
      <c r="AH189" s="289"/>
      <c r="AI189" s="289"/>
      <c r="AJ189" s="289"/>
      <c r="AK189" s="289"/>
      <c r="AL189" s="289"/>
      <c r="AM189" s="289"/>
      <c r="AN189" s="289"/>
      <c r="AO189" s="289"/>
      <c r="AP189" s="289"/>
      <c r="AQ189" s="289"/>
      <c r="AR189" s="289"/>
      <c r="AS189" s="289"/>
      <c r="AT189" s="289"/>
      <c r="AU189" s="289"/>
      <c r="AV189" s="289"/>
      <c r="AW189" s="289"/>
      <c r="AX189" s="289"/>
      <c r="AY189" s="289"/>
    </row>
    <row r="190" spans="1:51" ht="13.5" customHeight="1">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c r="AA190" s="289"/>
      <c r="AB190" s="289"/>
      <c r="AC190" s="289"/>
      <c r="AD190" s="289"/>
      <c r="AE190" s="289"/>
      <c r="AF190" s="289"/>
      <c r="AG190" s="289"/>
      <c r="AH190" s="289"/>
      <c r="AI190" s="289"/>
      <c r="AJ190" s="289"/>
      <c r="AK190" s="289"/>
      <c r="AL190" s="289"/>
      <c r="AM190" s="289"/>
      <c r="AN190" s="289"/>
      <c r="AO190" s="289"/>
      <c r="AP190" s="289"/>
      <c r="AQ190" s="289"/>
      <c r="AR190" s="289"/>
      <c r="AS190" s="289"/>
      <c r="AT190" s="289"/>
      <c r="AU190" s="289"/>
      <c r="AV190" s="289"/>
      <c r="AW190" s="289"/>
      <c r="AX190" s="289"/>
      <c r="AY190" s="289"/>
    </row>
    <row r="191" spans="1:51" ht="13.5" customHeight="1">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c r="AA191" s="289"/>
      <c r="AB191" s="289"/>
      <c r="AC191" s="289"/>
      <c r="AD191" s="289"/>
      <c r="AE191" s="289"/>
      <c r="AF191" s="289"/>
      <c r="AG191" s="289"/>
      <c r="AH191" s="289"/>
      <c r="AI191" s="289"/>
      <c r="AJ191" s="289"/>
      <c r="AK191" s="289"/>
      <c r="AL191" s="289"/>
      <c r="AM191" s="289"/>
      <c r="AN191" s="289"/>
      <c r="AO191" s="289"/>
      <c r="AP191" s="289"/>
      <c r="AQ191" s="289"/>
      <c r="AR191" s="289"/>
      <c r="AS191" s="289"/>
      <c r="AT191" s="289"/>
      <c r="AU191" s="289"/>
      <c r="AV191" s="289"/>
      <c r="AW191" s="289"/>
      <c r="AX191" s="289"/>
      <c r="AY191" s="289"/>
    </row>
    <row r="192" spans="1:51" ht="13.5" customHeight="1">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c r="AA192" s="289"/>
      <c r="AB192" s="289"/>
      <c r="AC192" s="289"/>
      <c r="AD192" s="289"/>
      <c r="AE192" s="289"/>
      <c r="AF192" s="289"/>
      <c r="AG192" s="289"/>
      <c r="AH192" s="289"/>
      <c r="AI192" s="289"/>
      <c r="AJ192" s="289"/>
      <c r="AK192" s="289"/>
      <c r="AL192" s="289"/>
      <c r="AM192" s="289"/>
      <c r="AN192" s="289"/>
      <c r="AO192" s="289"/>
      <c r="AP192" s="289"/>
      <c r="AQ192" s="289"/>
      <c r="AR192" s="289"/>
      <c r="AS192" s="289"/>
      <c r="AT192" s="289"/>
      <c r="AU192" s="289"/>
      <c r="AV192" s="289"/>
      <c r="AW192" s="289"/>
      <c r="AX192" s="289"/>
      <c r="AY192" s="289"/>
    </row>
    <row r="193" spans="1:51" ht="13.5" customHeight="1">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c r="AA193" s="289"/>
      <c r="AB193" s="289"/>
      <c r="AC193" s="289"/>
      <c r="AD193" s="289"/>
      <c r="AE193" s="289"/>
      <c r="AF193" s="289"/>
      <c r="AG193" s="289"/>
      <c r="AH193" s="289"/>
      <c r="AI193" s="289"/>
      <c r="AJ193" s="289"/>
      <c r="AK193" s="289"/>
      <c r="AL193" s="289"/>
      <c r="AM193" s="289"/>
      <c r="AN193" s="289"/>
      <c r="AO193" s="289"/>
      <c r="AP193" s="289"/>
      <c r="AQ193" s="289"/>
      <c r="AR193" s="289"/>
      <c r="AS193" s="289"/>
      <c r="AT193" s="289"/>
      <c r="AU193" s="289"/>
      <c r="AV193" s="289"/>
      <c r="AW193" s="289"/>
      <c r="AX193" s="289"/>
      <c r="AY193" s="289"/>
    </row>
    <row r="194" spans="1:51" ht="13.5" customHeight="1">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c r="AA194" s="289"/>
      <c r="AB194" s="289"/>
      <c r="AC194" s="289"/>
      <c r="AD194" s="289"/>
      <c r="AE194" s="289"/>
      <c r="AF194" s="289"/>
      <c r="AG194" s="289"/>
      <c r="AH194" s="289"/>
      <c r="AI194" s="289"/>
      <c r="AJ194" s="289"/>
      <c r="AK194" s="289"/>
      <c r="AL194" s="289"/>
      <c r="AM194" s="289"/>
      <c r="AN194" s="289"/>
      <c r="AO194" s="289"/>
      <c r="AP194" s="289"/>
      <c r="AQ194" s="289"/>
      <c r="AR194" s="289"/>
      <c r="AS194" s="289"/>
      <c r="AT194" s="289"/>
      <c r="AU194" s="289"/>
      <c r="AV194" s="289"/>
      <c r="AW194" s="289"/>
      <c r="AX194" s="289"/>
      <c r="AY194" s="289"/>
    </row>
    <row r="195" spans="1:51" ht="13.5" customHeight="1">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c r="AA195" s="289"/>
      <c r="AB195" s="289"/>
      <c r="AC195" s="289"/>
      <c r="AD195" s="289"/>
      <c r="AE195" s="289"/>
      <c r="AF195" s="289"/>
      <c r="AG195" s="289"/>
      <c r="AH195" s="289"/>
      <c r="AI195" s="289"/>
      <c r="AJ195" s="289"/>
      <c r="AK195" s="289"/>
      <c r="AL195" s="289"/>
      <c r="AM195" s="289"/>
      <c r="AN195" s="289"/>
      <c r="AO195" s="289"/>
      <c r="AP195" s="289"/>
      <c r="AQ195" s="289"/>
      <c r="AR195" s="289"/>
      <c r="AS195" s="289"/>
      <c r="AT195" s="289"/>
      <c r="AU195" s="289"/>
      <c r="AV195" s="289"/>
      <c r="AW195" s="289"/>
      <c r="AX195" s="289"/>
      <c r="AY195" s="289"/>
    </row>
    <row r="196" spans="1:51" ht="13.5" customHeight="1">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289"/>
      <c r="AH196" s="289"/>
      <c r="AI196" s="289"/>
      <c r="AJ196" s="289"/>
      <c r="AK196" s="289"/>
      <c r="AL196" s="289"/>
      <c r="AM196" s="289"/>
      <c r="AN196" s="289"/>
      <c r="AO196" s="289"/>
      <c r="AP196" s="289"/>
      <c r="AQ196" s="289"/>
      <c r="AR196" s="289"/>
      <c r="AS196" s="289"/>
      <c r="AT196" s="289"/>
      <c r="AU196" s="289"/>
      <c r="AV196" s="289"/>
      <c r="AW196" s="289"/>
      <c r="AX196" s="289"/>
      <c r="AY196" s="289"/>
    </row>
    <row r="197" spans="1:51" ht="13.5" customHeight="1">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c r="AA197" s="289"/>
      <c r="AB197" s="289"/>
      <c r="AC197" s="289"/>
      <c r="AD197" s="289"/>
      <c r="AE197" s="289"/>
      <c r="AF197" s="289"/>
      <c r="AG197" s="289"/>
      <c r="AH197" s="289"/>
      <c r="AI197" s="289"/>
      <c r="AJ197" s="289"/>
      <c r="AK197" s="289"/>
      <c r="AL197" s="289"/>
      <c r="AM197" s="289"/>
      <c r="AN197" s="289"/>
      <c r="AO197" s="289"/>
      <c r="AP197" s="289"/>
      <c r="AQ197" s="289"/>
      <c r="AR197" s="289"/>
      <c r="AS197" s="289"/>
      <c r="AT197" s="289"/>
      <c r="AU197" s="289"/>
      <c r="AV197" s="289"/>
      <c r="AW197" s="289"/>
      <c r="AX197" s="289"/>
      <c r="AY197" s="289"/>
    </row>
    <row r="198" spans="1:51" ht="13.5" customHeight="1">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289"/>
      <c r="AH198" s="289"/>
      <c r="AI198" s="289"/>
      <c r="AJ198" s="289"/>
      <c r="AK198" s="289"/>
      <c r="AL198" s="289"/>
      <c r="AM198" s="289"/>
      <c r="AN198" s="289"/>
      <c r="AO198" s="289"/>
      <c r="AP198" s="289"/>
      <c r="AQ198" s="289"/>
      <c r="AR198" s="289"/>
      <c r="AS198" s="289"/>
      <c r="AT198" s="289"/>
      <c r="AU198" s="289"/>
      <c r="AV198" s="289"/>
      <c r="AW198" s="289"/>
      <c r="AX198" s="289"/>
      <c r="AY198" s="289"/>
    </row>
    <row r="199" spans="1:51" ht="13.5" customHeight="1">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289"/>
      <c r="AH199" s="289"/>
      <c r="AI199" s="289"/>
      <c r="AJ199" s="289"/>
      <c r="AK199" s="289"/>
      <c r="AL199" s="289"/>
      <c r="AM199" s="289"/>
      <c r="AN199" s="289"/>
      <c r="AO199" s="289"/>
      <c r="AP199" s="289"/>
      <c r="AQ199" s="289"/>
      <c r="AR199" s="289"/>
      <c r="AS199" s="289"/>
      <c r="AT199" s="289"/>
      <c r="AU199" s="289"/>
      <c r="AV199" s="289"/>
      <c r="AW199" s="289"/>
      <c r="AX199" s="289"/>
      <c r="AY199" s="289"/>
    </row>
    <row r="200" spans="1:51" ht="13.5" customHeight="1">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289"/>
      <c r="AH200" s="289"/>
      <c r="AI200" s="289"/>
      <c r="AJ200" s="289"/>
      <c r="AK200" s="289"/>
      <c r="AL200" s="289"/>
      <c r="AM200" s="289"/>
      <c r="AN200" s="289"/>
      <c r="AO200" s="289"/>
      <c r="AP200" s="289"/>
      <c r="AQ200" s="289"/>
      <c r="AR200" s="289"/>
      <c r="AS200" s="289"/>
      <c r="AT200" s="289"/>
      <c r="AU200" s="289"/>
      <c r="AV200" s="289"/>
      <c r="AW200" s="289"/>
      <c r="AX200" s="289"/>
      <c r="AY200" s="289"/>
    </row>
    <row r="201" spans="1:51" ht="13.5" customHeight="1">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c r="AA201" s="289"/>
      <c r="AB201" s="289"/>
      <c r="AC201" s="289"/>
      <c r="AD201" s="289"/>
      <c r="AE201" s="289"/>
      <c r="AF201" s="289"/>
      <c r="AG201" s="289"/>
      <c r="AH201" s="289"/>
      <c r="AI201" s="289"/>
      <c r="AJ201" s="289"/>
      <c r="AK201" s="289"/>
      <c r="AL201" s="289"/>
      <c r="AM201" s="289"/>
      <c r="AN201" s="289"/>
      <c r="AO201" s="289"/>
      <c r="AP201" s="289"/>
      <c r="AQ201" s="289"/>
      <c r="AR201" s="289"/>
      <c r="AS201" s="289"/>
      <c r="AT201" s="289"/>
      <c r="AU201" s="289"/>
      <c r="AV201" s="289"/>
      <c r="AW201" s="289"/>
      <c r="AX201" s="289"/>
      <c r="AY201" s="289"/>
    </row>
    <row r="202" spans="1:51" ht="13.5" customHeight="1">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c r="AA202" s="289"/>
      <c r="AB202" s="289"/>
      <c r="AC202" s="289"/>
      <c r="AD202" s="289"/>
      <c r="AE202" s="289"/>
      <c r="AF202" s="289"/>
      <c r="AG202" s="289"/>
      <c r="AH202" s="289"/>
      <c r="AI202" s="289"/>
      <c r="AJ202" s="289"/>
      <c r="AK202" s="289"/>
      <c r="AL202" s="289"/>
      <c r="AM202" s="289"/>
      <c r="AN202" s="289"/>
      <c r="AO202" s="289"/>
      <c r="AP202" s="289"/>
      <c r="AQ202" s="289"/>
      <c r="AR202" s="289"/>
      <c r="AS202" s="289"/>
      <c r="AT202" s="289"/>
      <c r="AU202" s="289"/>
      <c r="AV202" s="289"/>
      <c r="AW202" s="289"/>
      <c r="AX202" s="289"/>
      <c r="AY202" s="289"/>
    </row>
    <row r="203" spans="1:51" ht="13.5" customHeight="1">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c r="AA203" s="289"/>
      <c r="AB203" s="289"/>
      <c r="AC203" s="289"/>
      <c r="AD203" s="289"/>
      <c r="AE203" s="289"/>
      <c r="AF203" s="289"/>
      <c r="AG203" s="289"/>
      <c r="AH203" s="289"/>
      <c r="AI203" s="289"/>
      <c r="AJ203" s="289"/>
      <c r="AK203" s="289"/>
      <c r="AL203" s="289"/>
      <c r="AM203" s="289"/>
      <c r="AN203" s="289"/>
      <c r="AO203" s="289"/>
      <c r="AP203" s="289"/>
      <c r="AQ203" s="289"/>
      <c r="AR203" s="289"/>
      <c r="AS203" s="289"/>
      <c r="AT203" s="289"/>
      <c r="AU203" s="289"/>
      <c r="AV203" s="289"/>
      <c r="AW203" s="289"/>
      <c r="AX203" s="289"/>
      <c r="AY203" s="289"/>
    </row>
    <row r="204" spans="1:51" ht="13.5" customHeight="1">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c r="AA204" s="289"/>
      <c r="AB204" s="289"/>
      <c r="AC204" s="289"/>
      <c r="AD204" s="289"/>
      <c r="AE204" s="289"/>
      <c r="AF204" s="289"/>
      <c r="AG204" s="289"/>
      <c r="AH204" s="289"/>
      <c r="AI204" s="289"/>
      <c r="AJ204" s="289"/>
      <c r="AK204" s="289"/>
      <c r="AL204" s="289"/>
      <c r="AM204" s="289"/>
      <c r="AN204" s="289"/>
      <c r="AO204" s="289"/>
      <c r="AP204" s="289"/>
      <c r="AQ204" s="289"/>
      <c r="AR204" s="289"/>
      <c r="AS204" s="289"/>
      <c r="AT204" s="289"/>
      <c r="AU204" s="289"/>
      <c r="AV204" s="289"/>
      <c r="AW204" s="289"/>
      <c r="AX204" s="289"/>
      <c r="AY204" s="289"/>
    </row>
    <row r="205" spans="1:51" ht="13.5" customHeight="1">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c r="AA205" s="289"/>
      <c r="AB205" s="289"/>
      <c r="AC205" s="289"/>
      <c r="AD205" s="289"/>
      <c r="AE205" s="289"/>
      <c r="AF205" s="289"/>
      <c r="AG205" s="289"/>
      <c r="AH205" s="289"/>
      <c r="AI205" s="289"/>
      <c r="AJ205" s="289"/>
      <c r="AK205" s="289"/>
      <c r="AL205" s="289"/>
      <c r="AM205" s="289"/>
      <c r="AN205" s="289"/>
      <c r="AO205" s="289"/>
      <c r="AP205" s="289"/>
      <c r="AQ205" s="289"/>
      <c r="AR205" s="289"/>
      <c r="AS205" s="289"/>
      <c r="AT205" s="289"/>
      <c r="AU205" s="289"/>
      <c r="AV205" s="289"/>
      <c r="AW205" s="289"/>
      <c r="AX205" s="289"/>
      <c r="AY205" s="289"/>
    </row>
    <row r="206" spans="1:51" ht="13.5" customHeight="1">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c r="AA206" s="289"/>
      <c r="AB206" s="289"/>
      <c r="AC206" s="289"/>
      <c r="AD206" s="289"/>
      <c r="AE206" s="289"/>
      <c r="AF206" s="289"/>
      <c r="AG206" s="289"/>
      <c r="AH206" s="289"/>
      <c r="AI206" s="289"/>
      <c r="AJ206" s="289"/>
      <c r="AK206" s="289"/>
      <c r="AL206" s="289"/>
      <c r="AM206" s="289"/>
      <c r="AN206" s="289"/>
      <c r="AO206" s="289"/>
      <c r="AP206" s="289"/>
      <c r="AQ206" s="289"/>
      <c r="AR206" s="289"/>
      <c r="AS206" s="289"/>
      <c r="AT206" s="289"/>
      <c r="AU206" s="289"/>
      <c r="AV206" s="289"/>
      <c r="AW206" s="289"/>
      <c r="AX206" s="289"/>
      <c r="AY206" s="289"/>
    </row>
    <row r="207" spans="1:51" ht="13.5" customHeight="1">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c r="AA207" s="289"/>
      <c r="AB207" s="289"/>
      <c r="AC207" s="289"/>
      <c r="AD207" s="289"/>
      <c r="AE207" s="289"/>
      <c r="AF207" s="289"/>
      <c r="AG207" s="289"/>
      <c r="AH207" s="289"/>
      <c r="AI207" s="289"/>
      <c r="AJ207" s="289"/>
      <c r="AK207" s="289"/>
      <c r="AL207" s="289"/>
      <c r="AM207" s="289"/>
      <c r="AN207" s="289"/>
      <c r="AO207" s="289"/>
      <c r="AP207" s="289"/>
      <c r="AQ207" s="289"/>
      <c r="AR207" s="289"/>
      <c r="AS207" s="289"/>
      <c r="AT207" s="289"/>
      <c r="AU207" s="289"/>
      <c r="AV207" s="289"/>
      <c r="AW207" s="289"/>
      <c r="AX207" s="289"/>
      <c r="AY207" s="289"/>
    </row>
    <row r="208" spans="1:51" ht="13.5" customHeight="1">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c r="AA208" s="289"/>
      <c r="AB208" s="289"/>
      <c r="AC208" s="289"/>
      <c r="AD208" s="289"/>
      <c r="AE208" s="289"/>
      <c r="AF208" s="289"/>
      <c r="AG208" s="289"/>
      <c r="AH208" s="289"/>
      <c r="AI208" s="289"/>
      <c r="AJ208" s="289"/>
      <c r="AK208" s="289"/>
      <c r="AL208" s="289"/>
      <c r="AM208" s="289"/>
      <c r="AN208" s="289"/>
      <c r="AO208" s="289"/>
      <c r="AP208" s="289"/>
      <c r="AQ208" s="289"/>
      <c r="AR208" s="289"/>
      <c r="AS208" s="289"/>
      <c r="AT208" s="289"/>
      <c r="AU208" s="289"/>
      <c r="AV208" s="289"/>
      <c r="AW208" s="289"/>
      <c r="AX208" s="289"/>
      <c r="AY208" s="289"/>
    </row>
    <row r="209" spans="1:51" ht="13.5" customHeight="1">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c r="AA209" s="289"/>
      <c r="AB209" s="289"/>
      <c r="AC209" s="289"/>
      <c r="AD209" s="289"/>
      <c r="AE209" s="289"/>
      <c r="AF209" s="289"/>
      <c r="AG209" s="289"/>
      <c r="AH209" s="289"/>
      <c r="AI209" s="289"/>
      <c r="AJ209" s="289"/>
      <c r="AK209" s="289"/>
      <c r="AL209" s="289"/>
      <c r="AM209" s="289"/>
      <c r="AN209" s="289"/>
      <c r="AO209" s="289"/>
      <c r="AP209" s="289"/>
      <c r="AQ209" s="289"/>
      <c r="AR209" s="289"/>
      <c r="AS209" s="289"/>
      <c r="AT209" s="289"/>
      <c r="AU209" s="289"/>
      <c r="AV209" s="289"/>
      <c r="AW209" s="289"/>
      <c r="AX209" s="289"/>
      <c r="AY209" s="289"/>
    </row>
    <row r="210" spans="1:51" ht="13.5" customHeight="1">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c r="AA210" s="289"/>
      <c r="AB210" s="289"/>
      <c r="AC210" s="289"/>
      <c r="AD210" s="289"/>
      <c r="AE210" s="289"/>
      <c r="AF210" s="289"/>
      <c r="AG210" s="289"/>
      <c r="AH210" s="289"/>
      <c r="AI210" s="289"/>
      <c r="AJ210" s="289"/>
      <c r="AK210" s="289"/>
      <c r="AL210" s="289"/>
      <c r="AM210" s="289"/>
      <c r="AN210" s="289"/>
      <c r="AO210" s="289"/>
      <c r="AP210" s="289"/>
      <c r="AQ210" s="289"/>
      <c r="AR210" s="289"/>
      <c r="AS210" s="289"/>
      <c r="AT210" s="289"/>
      <c r="AU210" s="289"/>
      <c r="AV210" s="289"/>
      <c r="AW210" s="289"/>
      <c r="AX210" s="289"/>
      <c r="AY210" s="289"/>
    </row>
    <row r="211" spans="1:51" ht="13.5" customHeight="1">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c r="AA211" s="289"/>
      <c r="AB211" s="289"/>
      <c r="AC211" s="289"/>
      <c r="AD211" s="289"/>
      <c r="AE211" s="289"/>
      <c r="AF211" s="289"/>
      <c r="AG211" s="289"/>
      <c r="AH211" s="289"/>
      <c r="AI211" s="289"/>
      <c r="AJ211" s="289"/>
      <c r="AK211" s="289"/>
      <c r="AL211" s="289"/>
      <c r="AM211" s="289"/>
      <c r="AN211" s="289"/>
      <c r="AO211" s="289"/>
      <c r="AP211" s="289"/>
      <c r="AQ211" s="289"/>
      <c r="AR211" s="289"/>
      <c r="AS211" s="289"/>
      <c r="AT211" s="289"/>
      <c r="AU211" s="289"/>
      <c r="AV211" s="289"/>
      <c r="AW211" s="289"/>
      <c r="AX211" s="289"/>
      <c r="AY211" s="289"/>
    </row>
    <row r="212" spans="1:51" ht="13.5" customHeight="1">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c r="AA212" s="289"/>
      <c r="AB212" s="289"/>
      <c r="AC212" s="289"/>
      <c r="AD212" s="289"/>
      <c r="AE212" s="289"/>
      <c r="AF212" s="289"/>
      <c r="AG212" s="289"/>
      <c r="AH212" s="289"/>
      <c r="AI212" s="289"/>
      <c r="AJ212" s="289"/>
      <c r="AK212" s="289"/>
      <c r="AL212" s="289"/>
      <c r="AM212" s="289"/>
      <c r="AN212" s="289"/>
      <c r="AO212" s="289"/>
      <c r="AP212" s="289"/>
      <c r="AQ212" s="289"/>
      <c r="AR212" s="289"/>
      <c r="AS212" s="289"/>
      <c r="AT212" s="289"/>
      <c r="AU212" s="289"/>
      <c r="AV212" s="289"/>
      <c r="AW212" s="289"/>
      <c r="AX212" s="289"/>
      <c r="AY212" s="289"/>
    </row>
    <row r="213" spans="1:51" ht="13.5" customHeight="1">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c r="AA213" s="289"/>
      <c r="AB213" s="289"/>
      <c r="AC213" s="289"/>
      <c r="AD213" s="289"/>
      <c r="AE213" s="289"/>
      <c r="AF213" s="289"/>
      <c r="AG213" s="289"/>
      <c r="AH213" s="289"/>
      <c r="AI213" s="289"/>
      <c r="AJ213" s="289"/>
      <c r="AK213" s="289"/>
      <c r="AL213" s="289"/>
      <c r="AM213" s="289"/>
      <c r="AN213" s="289"/>
      <c r="AO213" s="289"/>
      <c r="AP213" s="289"/>
      <c r="AQ213" s="289"/>
      <c r="AR213" s="289"/>
      <c r="AS213" s="289"/>
      <c r="AT213" s="289"/>
      <c r="AU213" s="289"/>
      <c r="AV213" s="289"/>
      <c r="AW213" s="289"/>
      <c r="AX213" s="289"/>
      <c r="AY213" s="289"/>
    </row>
    <row r="214" spans="1:51" ht="13.5" customHeight="1">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c r="AA214" s="289"/>
      <c r="AB214" s="289"/>
      <c r="AC214" s="289"/>
      <c r="AD214" s="289"/>
      <c r="AE214" s="289"/>
      <c r="AF214" s="289"/>
      <c r="AG214" s="289"/>
      <c r="AH214" s="289"/>
      <c r="AI214" s="289"/>
      <c r="AJ214" s="289"/>
      <c r="AK214" s="289"/>
      <c r="AL214" s="289"/>
      <c r="AM214" s="289"/>
      <c r="AN214" s="289"/>
      <c r="AO214" s="289"/>
      <c r="AP214" s="289"/>
      <c r="AQ214" s="289"/>
      <c r="AR214" s="289"/>
      <c r="AS214" s="289"/>
      <c r="AT214" s="289"/>
      <c r="AU214" s="289"/>
      <c r="AV214" s="289"/>
      <c r="AW214" s="289"/>
      <c r="AX214" s="289"/>
      <c r="AY214" s="289"/>
    </row>
    <row r="215" spans="1:51" ht="13.5" customHeight="1">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289"/>
      <c r="AH215" s="289"/>
      <c r="AI215" s="289"/>
      <c r="AJ215" s="289"/>
      <c r="AK215" s="289"/>
      <c r="AL215" s="289"/>
      <c r="AM215" s="289"/>
      <c r="AN215" s="289"/>
      <c r="AO215" s="289"/>
      <c r="AP215" s="289"/>
      <c r="AQ215" s="289"/>
      <c r="AR215" s="289"/>
      <c r="AS215" s="289"/>
      <c r="AT215" s="289"/>
      <c r="AU215" s="289"/>
      <c r="AV215" s="289"/>
      <c r="AW215" s="289"/>
      <c r="AX215" s="289"/>
      <c r="AY215" s="289"/>
    </row>
    <row r="216" spans="1:51" ht="13.5" customHeight="1">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c r="AA216" s="289"/>
      <c r="AB216" s="289"/>
      <c r="AC216" s="289"/>
      <c r="AD216" s="289"/>
      <c r="AE216" s="289"/>
      <c r="AF216" s="289"/>
      <c r="AG216" s="289"/>
      <c r="AH216" s="289"/>
      <c r="AI216" s="289"/>
      <c r="AJ216" s="289"/>
      <c r="AK216" s="289"/>
      <c r="AL216" s="289"/>
      <c r="AM216" s="289"/>
      <c r="AN216" s="289"/>
      <c r="AO216" s="289"/>
      <c r="AP216" s="289"/>
      <c r="AQ216" s="289"/>
      <c r="AR216" s="289"/>
      <c r="AS216" s="289"/>
      <c r="AT216" s="289"/>
      <c r="AU216" s="289"/>
      <c r="AV216" s="289"/>
      <c r="AW216" s="289"/>
      <c r="AX216" s="289"/>
      <c r="AY216" s="289"/>
    </row>
    <row r="217" spans="1:51" ht="13.5" customHeight="1">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c r="AA217" s="289"/>
      <c r="AB217" s="289"/>
      <c r="AC217" s="289"/>
      <c r="AD217" s="289"/>
      <c r="AE217" s="289"/>
      <c r="AF217" s="289"/>
      <c r="AG217" s="289"/>
      <c r="AH217" s="289"/>
      <c r="AI217" s="289"/>
      <c r="AJ217" s="289"/>
      <c r="AK217" s="289"/>
      <c r="AL217" s="289"/>
      <c r="AM217" s="289"/>
      <c r="AN217" s="289"/>
      <c r="AO217" s="289"/>
      <c r="AP217" s="289"/>
      <c r="AQ217" s="289"/>
      <c r="AR217" s="289"/>
      <c r="AS217" s="289"/>
      <c r="AT217" s="289"/>
      <c r="AU217" s="289"/>
      <c r="AV217" s="289"/>
      <c r="AW217" s="289"/>
      <c r="AX217" s="289"/>
      <c r="AY217" s="289"/>
    </row>
    <row r="218" spans="1:51" ht="13.5" customHeight="1">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c r="AA218" s="289"/>
      <c r="AB218" s="289"/>
      <c r="AC218" s="289"/>
      <c r="AD218" s="289"/>
      <c r="AE218" s="289"/>
      <c r="AF218" s="289"/>
      <c r="AG218" s="289"/>
      <c r="AH218" s="289"/>
      <c r="AI218" s="289"/>
      <c r="AJ218" s="289"/>
      <c r="AK218" s="289"/>
      <c r="AL218" s="289"/>
      <c r="AM218" s="289"/>
      <c r="AN218" s="289"/>
      <c r="AO218" s="289"/>
      <c r="AP218" s="289"/>
      <c r="AQ218" s="289"/>
      <c r="AR218" s="289"/>
      <c r="AS218" s="289"/>
      <c r="AT218" s="289"/>
      <c r="AU218" s="289"/>
      <c r="AV218" s="289"/>
      <c r="AW218" s="289"/>
      <c r="AX218" s="289"/>
      <c r="AY218" s="289"/>
    </row>
    <row r="219" spans="1:51" ht="13.5" customHeight="1">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c r="AA219" s="289"/>
      <c r="AB219" s="289"/>
      <c r="AC219" s="289"/>
      <c r="AD219" s="289"/>
      <c r="AE219" s="289"/>
      <c r="AF219" s="289"/>
      <c r="AG219" s="289"/>
      <c r="AH219" s="289"/>
      <c r="AI219" s="289"/>
      <c r="AJ219" s="289"/>
      <c r="AK219" s="289"/>
      <c r="AL219" s="289"/>
      <c r="AM219" s="289"/>
      <c r="AN219" s="289"/>
      <c r="AO219" s="289"/>
      <c r="AP219" s="289"/>
      <c r="AQ219" s="289"/>
      <c r="AR219" s="289"/>
      <c r="AS219" s="289"/>
      <c r="AT219" s="289"/>
      <c r="AU219" s="289"/>
      <c r="AV219" s="289"/>
      <c r="AW219" s="289"/>
      <c r="AX219" s="289"/>
      <c r="AY219" s="289"/>
    </row>
    <row r="220" spans="1:51" ht="13.5" customHeight="1">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c r="AA220" s="289"/>
      <c r="AB220" s="289"/>
      <c r="AC220" s="289"/>
      <c r="AD220" s="289"/>
      <c r="AE220" s="289"/>
      <c r="AF220" s="289"/>
      <c r="AG220" s="289"/>
      <c r="AH220" s="289"/>
      <c r="AI220" s="289"/>
      <c r="AJ220" s="289"/>
      <c r="AK220" s="289"/>
      <c r="AL220" s="289"/>
      <c r="AM220" s="289"/>
      <c r="AN220" s="289"/>
      <c r="AO220" s="289"/>
      <c r="AP220" s="289"/>
      <c r="AQ220" s="289"/>
      <c r="AR220" s="289"/>
      <c r="AS220" s="289"/>
      <c r="AT220" s="289"/>
      <c r="AU220" s="289"/>
      <c r="AV220" s="289"/>
      <c r="AW220" s="289"/>
      <c r="AX220" s="289"/>
      <c r="AY220" s="289"/>
    </row>
    <row r="221" spans="1:51" ht="13.5" customHeight="1">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c r="AA221" s="289"/>
      <c r="AB221" s="289"/>
      <c r="AC221" s="289"/>
      <c r="AD221" s="289"/>
      <c r="AE221" s="289"/>
      <c r="AF221" s="289"/>
      <c r="AG221" s="289"/>
      <c r="AH221" s="289"/>
      <c r="AI221" s="289"/>
      <c r="AJ221" s="289"/>
      <c r="AK221" s="289"/>
      <c r="AL221" s="289"/>
      <c r="AM221" s="289"/>
      <c r="AN221" s="289"/>
      <c r="AO221" s="289"/>
      <c r="AP221" s="289"/>
      <c r="AQ221" s="289"/>
      <c r="AR221" s="289"/>
      <c r="AS221" s="289"/>
      <c r="AT221" s="289"/>
      <c r="AU221" s="289"/>
      <c r="AV221" s="289"/>
      <c r="AW221" s="289"/>
      <c r="AX221" s="289"/>
      <c r="AY221" s="289"/>
    </row>
    <row r="222" spans="1:51" ht="13.5" customHeight="1">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c r="AA222" s="289"/>
      <c r="AB222" s="289"/>
      <c r="AC222" s="289"/>
      <c r="AD222" s="289"/>
      <c r="AE222" s="289"/>
      <c r="AF222" s="289"/>
      <c r="AG222" s="289"/>
      <c r="AH222" s="289"/>
      <c r="AI222" s="289"/>
      <c r="AJ222" s="289"/>
      <c r="AK222" s="289"/>
      <c r="AL222" s="289"/>
      <c r="AM222" s="289"/>
      <c r="AN222" s="289"/>
      <c r="AO222" s="289"/>
      <c r="AP222" s="289"/>
      <c r="AQ222" s="289"/>
      <c r="AR222" s="289"/>
      <c r="AS222" s="289"/>
      <c r="AT222" s="289"/>
      <c r="AU222" s="289"/>
      <c r="AV222" s="289"/>
      <c r="AW222" s="289"/>
      <c r="AX222" s="289"/>
      <c r="AY222" s="289"/>
    </row>
    <row r="223" spans="1:51" ht="13.5" customHeight="1">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c r="AA223" s="289"/>
      <c r="AB223" s="289"/>
      <c r="AC223" s="289"/>
      <c r="AD223" s="289"/>
      <c r="AE223" s="289"/>
      <c r="AF223" s="289"/>
      <c r="AG223" s="289"/>
      <c r="AH223" s="289"/>
      <c r="AI223" s="289"/>
      <c r="AJ223" s="289"/>
      <c r="AK223" s="289"/>
      <c r="AL223" s="289"/>
      <c r="AM223" s="289"/>
      <c r="AN223" s="289"/>
      <c r="AO223" s="289"/>
      <c r="AP223" s="289"/>
      <c r="AQ223" s="289"/>
      <c r="AR223" s="289"/>
      <c r="AS223" s="289"/>
      <c r="AT223" s="289"/>
      <c r="AU223" s="289"/>
      <c r="AV223" s="289"/>
      <c r="AW223" s="289"/>
      <c r="AX223" s="289"/>
      <c r="AY223" s="289"/>
    </row>
    <row r="224" spans="1:51" ht="13.5" customHeight="1">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c r="AA224" s="289"/>
      <c r="AB224" s="289"/>
      <c r="AC224" s="289"/>
      <c r="AD224" s="289"/>
      <c r="AE224" s="289"/>
      <c r="AF224" s="289"/>
      <c r="AG224" s="289"/>
      <c r="AH224" s="289"/>
      <c r="AI224" s="289"/>
      <c r="AJ224" s="289"/>
      <c r="AK224" s="289"/>
      <c r="AL224" s="289"/>
      <c r="AM224" s="289"/>
      <c r="AN224" s="289"/>
      <c r="AO224" s="289"/>
      <c r="AP224" s="289"/>
      <c r="AQ224" s="289"/>
      <c r="AR224" s="289"/>
      <c r="AS224" s="289"/>
      <c r="AT224" s="289"/>
      <c r="AU224" s="289"/>
      <c r="AV224" s="289"/>
      <c r="AW224" s="289"/>
      <c r="AX224" s="289"/>
      <c r="AY224" s="289"/>
    </row>
    <row r="225" spans="1:51" ht="13.5" customHeight="1">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c r="AA225" s="289"/>
      <c r="AB225" s="289"/>
      <c r="AC225" s="289"/>
      <c r="AD225" s="289"/>
      <c r="AE225" s="289"/>
      <c r="AF225" s="289"/>
      <c r="AG225" s="289"/>
      <c r="AH225" s="289"/>
      <c r="AI225" s="289"/>
      <c r="AJ225" s="289"/>
      <c r="AK225" s="289"/>
      <c r="AL225" s="289"/>
      <c r="AM225" s="289"/>
      <c r="AN225" s="289"/>
      <c r="AO225" s="289"/>
      <c r="AP225" s="289"/>
      <c r="AQ225" s="289"/>
      <c r="AR225" s="289"/>
      <c r="AS225" s="289"/>
      <c r="AT225" s="289"/>
      <c r="AU225" s="289"/>
      <c r="AV225" s="289"/>
      <c r="AW225" s="289"/>
      <c r="AX225" s="289"/>
      <c r="AY225" s="289"/>
    </row>
    <row r="226" spans="1:51" ht="13.5" customHeight="1">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c r="AA226" s="289"/>
      <c r="AB226" s="289"/>
      <c r="AC226" s="289"/>
      <c r="AD226" s="289"/>
      <c r="AE226" s="289"/>
      <c r="AF226" s="289"/>
      <c r="AG226" s="289"/>
      <c r="AH226" s="289"/>
      <c r="AI226" s="289"/>
      <c r="AJ226" s="289"/>
      <c r="AK226" s="289"/>
      <c r="AL226" s="289"/>
      <c r="AM226" s="289"/>
      <c r="AN226" s="289"/>
      <c r="AO226" s="289"/>
      <c r="AP226" s="289"/>
      <c r="AQ226" s="289"/>
      <c r="AR226" s="289"/>
      <c r="AS226" s="289"/>
      <c r="AT226" s="289"/>
      <c r="AU226" s="289"/>
      <c r="AV226" s="289"/>
      <c r="AW226" s="289"/>
      <c r="AX226" s="289"/>
      <c r="AY226" s="289"/>
    </row>
    <row r="227" spans="1:51" ht="13.5" customHeight="1">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c r="AA227" s="289"/>
      <c r="AB227" s="289"/>
      <c r="AC227" s="289"/>
      <c r="AD227" s="289"/>
      <c r="AE227" s="289"/>
      <c r="AF227" s="289"/>
      <c r="AG227" s="289"/>
      <c r="AH227" s="289"/>
      <c r="AI227" s="289"/>
      <c r="AJ227" s="289"/>
      <c r="AK227" s="289"/>
      <c r="AL227" s="289"/>
      <c r="AM227" s="289"/>
      <c r="AN227" s="289"/>
      <c r="AO227" s="289"/>
      <c r="AP227" s="289"/>
      <c r="AQ227" s="289"/>
      <c r="AR227" s="289"/>
      <c r="AS227" s="289"/>
      <c r="AT227" s="289"/>
      <c r="AU227" s="289"/>
      <c r="AV227" s="289"/>
      <c r="AW227" s="289"/>
      <c r="AX227" s="289"/>
      <c r="AY227" s="289"/>
    </row>
    <row r="228" spans="1:51" ht="13.5" customHeight="1">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c r="AA228" s="289"/>
      <c r="AB228" s="289"/>
      <c r="AC228" s="289"/>
      <c r="AD228" s="289"/>
      <c r="AE228" s="289"/>
      <c r="AF228" s="289"/>
      <c r="AG228" s="289"/>
      <c r="AH228" s="289"/>
      <c r="AI228" s="289"/>
      <c r="AJ228" s="289"/>
      <c r="AK228" s="289"/>
      <c r="AL228" s="289"/>
      <c r="AM228" s="289"/>
      <c r="AN228" s="289"/>
      <c r="AO228" s="289"/>
      <c r="AP228" s="289"/>
      <c r="AQ228" s="289"/>
      <c r="AR228" s="289"/>
      <c r="AS228" s="289"/>
      <c r="AT228" s="289"/>
      <c r="AU228" s="289"/>
      <c r="AV228" s="289"/>
      <c r="AW228" s="289"/>
      <c r="AX228" s="289"/>
      <c r="AY228" s="289"/>
    </row>
    <row r="229" spans="1:51" ht="13.5" customHeight="1">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c r="AA229" s="289"/>
      <c r="AB229" s="289"/>
      <c r="AC229" s="289"/>
      <c r="AD229" s="289"/>
      <c r="AE229" s="289"/>
      <c r="AF229" s="289"/>
      <c r="AG229" s="289"/>
      <c r="AH229" s="289"/>
      <c r="AI229" s="289"/>
      <c r="AJ229" s="289"/>
      <c r="AK229" s="289"/>
      <c r="AL229" s="289"/>
      <c r="AM229" s="289"/>
      <c r="AN229" s="289"/>
      <c r="AO229" s="289"/>
      <c r="AP229" s="289"/>
      <c r="AQ229" s="289"/>
      <c r="AR229" s="289"/>
      <c r="AS229" s="289"/>
      <c r="AT229" s="289"/>
      <c r="AU229" s="289"/>
      <c r="AV229" s="289"/>
      <c r="AW229" s="289"/>
      <c r="AX229" s="289"/>
      <c r="AY229" s="289"/>
    </row>
    <row r="230" spans="1:51" ht="13.5" customHeight="1">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c r="AA230" s="289"/>
      <c r="AB230" s="289"/>
      <c r="AC230" s="289"/>
      <c r="AD230" s="289"/>
      <c r="AE230" s="289"/>
      <c r="AF230" s="289"/>
      <c r="AG230" s="289"/>
      <c r="AH230" s="289"/>
      <c r="AI230" s="289"/>
      <c r="AJ230" s="289"/>
      <c r="AK230" s="289"/>
      <c r="AL230" s="289"/>
      <c r="AM230" s="289"/>
      <c r="AN230" s="289"/>
      <c r="AO230" s="289"/>
      <c r="AP230" s="289"/>
      <c r="AQ230" s="289"/>
      <c r="AR230" s="289"/>
      <c r="AS230" s="289"/>
      <c r="AT230" s="289"/>
      <c r="AU230" s="289"/>
      <c r="AV230" s="289"/>
      <c r="AW230" s="289"/>
      <c r="AX230" s="289"/>
      <c r="AY230" s="289"/>
    </row>
    <row r="231" spans="1:51" ht="13.5" customHeight="1">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c r="AA231" s="289"/>
      <c r="AB231" s="289"/>
      <c r="AC231" s="289"/>
      <c r="AD231" s="289"/>
      <c r="AE231" s="289"/>
      <c r="AF231" s="289"/>
      <c r="AG231" s="289"/>
      <c r="AH231" s="289"/>
      <c r="AI231" s="289"/>
      <c r="AJ231" s="289"/>
      <c r="AK231" s="289"/>
      <c r="AL231" s="289"/>
      <c r="AM231" s="289"/>
      <c r="AN231" s="289"/>
      <c r="AO231" s="289"/>
      <c r="AP231" s="289"/>
      <c r="AQ231" s="289"/>
      <c r="AR231" s="289"/>
      <c r="AS231" s="289"/>
      <c r="AT231" s="289"/>
      <c r="AU231" s="289"/>
      <c r="AV231" s="289"/>
      <c r="AW231" s="289"/>
      <c r="AX231" s="289"/>
      <c r="AY231" s="289"/>
    </row>
    <row r="232" spans="1:51" ht="13.5" customHeight="1">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c r="AA232" s="289"/>
      <c r="AB232" s="289"/>
      <c r="AC232" s="289"/>
      <c r="AD232" s="289"/>
      <c r="AE232" s="289"/>
      <c r="AF232" s="289"/>
      <c r="AG232" s="289"/>
      <c r="AH232" s="289"/>
      <c r="AI232" s="289"/>
      <c r="AJ232" s="289"/>
      <c r="AK232" s="289"/>
      <c r="AL232" s="289"/>
      <c r="AM232" s="289"/>
      <c r="AN232" s="289"/>
      <c r="AO232" s="289"/>
      <c r="AP232" s="289"/>
      <c r="AQ232" s="289"/>
      <c r="AR232" s="289"/>
      <c r="AS232" s="289"/>
      <c r="AT232" s="289"/>
      <c r="AU232" s="289"/>
      <c r="AV232" s="289"/>
      <c r="AW232" s="289"/>
      <c r="AX232" s="289"/>
      <c r="AY232" s="289"/>
    </row>
    <row r="233" spans="1:51" ht="13.5" customHeight="1">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289"/>
      <c r="AH233" s="289"/>
      <c r="AI233" s="289"/>
      <c r="AJ233" s="289"/>
      <c r="AK233" s="289"/>
      <c r="AL233" s="289"/>
      <c r="AM233" s="289"/>
      <c r="AN233" s="289"/>
      <c r="AO233" s="289"/>
      <c r="AP233" s="289"/>
      <c r="AQ233" s="289"/>
      <c r="AR233" s="289"/>
      <c r="AS233" s="289"/>
      <c r="AT233" s="289"/>
      <c r="AU233" s="289"/>
      <c r="AV233" s="289"/>
      <c r="AW233" s="289"/>
      <c r="AX233" s="289"/>
      <c r="AY233" s="289"/>
    </row>
    <row r="234" spans="1:51" ht="13.5" customHeight="1">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c r="AA234" s="289"/>
      <c r="AB234" s="289"/>
      <c r="AC234" s="289"/>
      <c r="AD234" s="289"/>
      <c r="AE234" s="289"/>
      <c r="AF234" s="289"/>
      <c r="AG234" s="289"/>
      <c r="AH234" s="289"/>
      <c r="AI234" s="289"/>
      <c r="AJ234" s="289"/>
      <c r="AK234" s="289"/>
      <c r="AL234" s="289"/>
      <c r="AM234" s="289"/>
      <c r="AN234" s="289"/>
      <c r="AO234" s="289"/>
      <c r="AP234" s="289"/>
      <c r="AQ234" s="289"/>
      <c r="AR234" s="289"/>
      <c r="AS234" s="289"/>
      <c r="AT234" s="289"/>
      <c r="AU234" s="289"/>
      <c r="AV234" s="289"/>
      <c r="AW234" s="289"/>
      <c r="AX234" s="289"/>
      <c r="AY234" s="289"/>
    </row>
    <row r="235" spans="1:51" ht="13.5" customHeight="1">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c r="AA235" s="289"/>
      <c r="AB235" s="289"/>
      <c r="AC235" s="289"/>
      <c r="AD235" s="289"/>
      <c r="AE235" s="289"/>
      <c r="AF235" s="289"/>
      <c r="AG235" s="289"/>
      <c r="AH235" s="289"/>
      <c r="AI235" s="289"/>
      <c r="AJ235" s="289"/>
      <c r="AK235" s="289"/>
      <c r="AL235" s="289"/>
      <c r="AM235" s="289"/>
      <c r="AN235" s="289"/>
      <c r="AO235" s="289"/>
      <c r="AP235" s="289"/>
      <c r="AQ235" s="289"/>
      <c r="AR235" s="289"/>
      <c r="AS235" s="289"/>
      <c r="AT235" s="289"/>
      <c r="AU235" s="289"/>
      <c r="AV235" s="289"/>
      <c r="AW235" s="289"/>
      <c r="AX235" s="289"/>
      <c r="AY235" s="289"/>
    </row>
    <row r="236" spans="1:51" ht="13.5" customHeight="1">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c r="AA236" s="289"/>
      <c r="AB236" s="289"/>
      <c r="AC236" s="289"/>
      <c r="AD236" s="289"/>
      <c r="AE236" s="289"/>
      <c r="AF236" s="289"/>
      <c r="AG236" s="289"/>
      <c r="AH236" s="289"/>
      <c r="AI236" s="289"/>
      <c r="AJ236" s="289"/>
      <c r="AK236" s="289"/>
      <c r="AL236" s="289"/>
      <c r="AM236" s="289"/>
      <c r="AN236" s="289"/>
      <c r="AO236" s="289"/>
      <c r="AP236" s="289"/>
      <c r="AQ236" s="289"/>
      <c r="AR236" s="289"/>
      <c r="AS236" s="289"/>
      <c r="AT236" s="289"/>
      <c r="AU236" s="289"/>
      <c r="AV236" s="289"/>
      <c r="AW236" s="289"/>
      <c r="AX236" s="289"/>
      <c r="AY236" s="289"/>
    </row>
    <row r="237" spans="1:51" ht="13.5" customHeight="1">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c r="AA237" s="289"/>
      <c r="AB237" s="289"/>
      <c r="AC237" s="289"/>
      <c r="AD237" s="289"/>
      <c r="AE237" s="289"/>
      <c r="AF237" s="289"/>
      <c r="AG237" s="289"/>
      <c r="AH237" s="289"/>
      <c r="AI237" s="289"/>
      <c r="AJ237" s="289"/>
      <c r="AK237" s="289"/>
      <c r="AL237" s="289"/>
      <c r="AM237" s="289"/>
      <c r="AN237" s="289"/>
      <c r="AO237" s="289"/>
      <c r="AP237" s="289"/>
      <c r="AQ237" s="289"/>
      <c r="AR237" s="289"/>
      <c r="AS237" s="289"/>
      <c r="AT237" s="289"/>
      <c r="AU237" s="289"/>
      <c r="AV237" s="289"/>
      <c r="AW237" s="289"/>
      <c r="AX237" s="289"/>
      <c r="AY237" s="289"/>
    </row>
    <row r="238" spans="1:51" ht="13.5" customHeight="1">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c r="AA238" s="289"/>
      <c r="AB238" s="289"/>
      <c r="AC238" s="289"/>
      <c r="AD238" s="289"/>
      <c r="AE238" s="289"/>
      <c r="AF238" s="289"/>
      <c r="AG238" s="289"/>
      <c r="AH238" s="289"/>
      <c r="AI238" s="289"/>
      <c r="AJ238" s="289"/>
      <c r="AK238" s="289"/>
      <c r="AL238" s="289"/>
      <c r="AM238" s="289"/>
      <c r="AN238" s="289"/>
      <c r="AO238" s="289"/>
      <c r="AP238" s="289"/>
      <c r="AQ238" s="289"/>
      <c r="AR238" s="289"/>
      <c r="AS238" s="289"/>
      <c r="AT238" s="289"/>
      <c r="AU238" s="289"/>
      <c r="AV238" s="289"/>
      <c r="AW238" s="289"/>
      <c r="AX238" s="289"/>
      <c r="AY238" s="289"/>
    </row>
    <row r="239" spans="1:51" ht="13.5" customHeight="1">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c r="AA239" s="289"/>
      <c r="AB239" s="289"/>
      <c r="AC239" s="289"/>
      <c r="AD239" s="289"/>
      <c r="AE239" s="289"/>
      <c r="AF239" s="289"/>
      <c r="AG239" s="289"/>
      <c r="AH239" s="289"/>
      <c r="AI239" s="289"/>
      <c r="AJ239" s="289"/>
      <c r="AK239" s="289"/>
      <c r="AL239" s="289"/>
      <c r="AM239" s="289"/>
      <c r="AN239" s="289"/>
      <c r="AO239" s="289"/>
      <c r="AP239" s="289"/>
      <c r="AQ239" s="289"/>
      <c r="AR239" s="289"/>
      <c r="AS239" s="289"/>
      <c r="AT239" s="289"/>
      <c r="AU239" s="289"/>
      <c r="AV239" s="289"/>
      <c r="AW239" s="289"/>
      <c r="AX239" s="289"/>
      <c r="AY239" s="289"/>
    </row>
    <row r="240" spans="1:51" ht="13.5" customHeight="1">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289"/>
      <c r="AH240" s="289"/>
      <c r="AI240" s="289"/>
      <c r="AJ240" s="289"/>
      <c r="AK240" s="289"/>
      <c r="AL240" s="289"/>
      <c r="AM240" s="289"/>
      <c r="AN240" s="289"/>
      <c r="AO240" s="289"/>
      <c r="AP240" s="289"/>
      <c r="AQ240" s="289"/>
      <c r="AR240" s="289"/>
      <c r="AS240" s="289"/>
      <c r="AT240" s="289"/>
      <c r="AU240" s="289"/>
      <c r="AV240" s="289"/>
      <c r="AW240" s="289"/>
      <c r="AX240" s="289"/>
      <c r="AY240" s="289"/>
    </row>
    <row r="241" spans="1:51" ht="13.5" customHeight="1">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c r="AA241" s="289"/>
      <c r="AB241" s="289"/>
      <c r="AC241" s="289"/>
      <c r="AD241" s="289"/>
      <c r="AE241" s="289"/>
      <c r="AF241" s="289"/>
      <c r="AG241" s="289"/>
      <c r="AH241" s="289"/>
      <c r="AI241" s="289"/>
      <c r="AJ241" s="289"/>
      <c r="AK241" s="289"/>
      <c r="AL241" s="289"/>
      <c r="AM241" s="289"/>
      <c r="AN241" s="289"/>
      <c r="AO241" s="289"/>
      <c r="AP241" s="289"/>
      <c r="AQ241" s="289"/>
      <c r="AR241" s="289"/>
      <c r="AS241" s="289"/>
      <c r="AT241" s="289"/>
      <c r="AU241" s="289"/>
      <c r="AV241" s="289"/>
      <c r="AW241" s="289"/>
      <c r="AX241" s="289"/>
      <c r="AY241" s="289"/>
    </row>
    <row r="242" spans="1:51" ht="13.5" customHeight="1">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c r="AA242" s="289"/>
      <c r="AB242" s="289"/>
      <c r="AC242" s="289"/>
      <c r="AD242" s="289"/>
      <c r="AE242" s="289"/>
      <c r="AF242" s="289"/>
      <c r="AG242" s="289"/>
      <c r="AH242" s="289"/>
      <c r="AI242" s="289"/>
      <c r="AJ242" s="289"/>
      <c r="AK242" s="289"/>
      <c r="AL242" s="289"/>
      <c r="AM242" s="289"/>
      <c r="AN242" s="289"/>
      <c r="AO242" s="289"/>
      <c r="AP242" s="289"/>
      <c r="AQ242" s="289"/>
      <c r="AR242" s="289"/>
      <c r="AS242" s="289"/>
      <c r="AT242" s="289"/>
      <c r="AU242" s="289"/>
      <c r="AV242" s="289"/>
      <c r="AW242" s="289"/>
      <c r="AX242" s="289"/>
      <c r="AY242" s="289"/>
    </row>
    <row r="243" spans="1:51" ht="13.5" customHeight="1">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c r="AA243" s="289"/>
      <c r="AB243" s="289"/>
      <c r="AC243" s="289"/>
      <c r="AD243" s="289"/>
      <c r="AE243" s="289"/>
      <c r="AF243" s="289"/>
      <c r="AG243" s="289"/>
      <c r="AH243" s="289"/>
      <c r="AI243" s="289"/>
      <c r="AJ243" s="289"/>
      <c r="AK243" s="289"/>
      <c r="AL243" s="289"/>
      <c r="AM243" s="289"/>
      <c r="AN243" s="289"/>
      <c r="AO243" s="289"/>
      <c r="AP243" s="289"/>
      <c r="AQ243" s="289"/>
      <c r="AR243" s="289"/>
      <c r="AS243" s="289"/>
      <c r="AT243" s="289"/>
      <c r="AU243" s="289"/>
      <c r="AV243" s="289"/>
      <c r="AW243" s="289"/>
      <c r="AX243" s="289"/>
      <c r="AY243" s="289"/>
    </row>
    <row r="244" spans="1:51" ht="13.5" customHeight="1">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c r="AA244" s="289"/>
      <c r="AB244" s="289"/>
      <c r="AC244" s="289"/>
      <c r="AD244" s="289"/>
      <c r="AE244" s="289"/>
      <c r="AF244" s="289"/>
      <c r="AG244" s="289"/>
      <c r="AH244" s="289"/>
      <c r="AI244" s="289"/>
      <c r="AJ244" s="289"/>
      <c r="AK244" s="289"/>
      <c r="AL244" s="289"/>
      <c r="AM244" s="289"/>
      <c r="AN244" s="289"/>
      <c r="AO244" s="289"/>
      <c r="AP244" s="289"/>
      <c r="AQ244" s="289"/>
      <c r="AR244" s="289"/>
      <c r="AS244" s="289"/>
      <c r="AT244" s="289"/>
      <c r="AU244" s="289"/>
      <c r="AV244" s="289"/>
      <c r="AW244" s="289"/>
      <c r="AX244" s="289"/>
      <c r="AY244" s="289"/>
    </row>
    <row r="245" spans="1:51" ht="13.5" customHeight="1">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c r="AA245" s="289"/>
      <c r="AB245" s="289"/>
      <c r="AC245" s="289"/>
      <c r="AD245" s="289"/>
      <c r="AE245" s="289"/>
      <c r="AF245" s="289"/>
      <c r="AG245" s="289"/>
      <c r="AH245" s="289"/>
      <c r="AI245" s="289"/>
      <c r="AJ245" s="289"/>
      <c r="AK245" s="289"/>
      <c r="AL245" s="289"/>
      <c r="AM245" s="289"/>
      <c r="AN245" s="289"/>
      <c r="AO245" s="289"/>
      <c r="AP245" s="289"/>
      <c r="AQ245" s="289"/>
      <c r="AR245" s="289"/>
      <c r="AS245" s="289"/>
      <c r="AT245" s="289"/>
      <c r="AU245" s="289"/>
      <c r="AV245" s="289"/>
      <c r="AW245" s="289"/>
      <c r="AX245" s="289"/>
      <c r="AY245" s="289"/>
    </row>
    <row r="246" spans="1:51" ht="13.5" customHeight="1">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c r="AA246" s="289"/>
      <c r="AB246" s="289"/>
      <c r="AC246" s="289"/>
      <c r="AD246" s="289"/>
      <c r="AE246" s="289"/>
      <c r="AF246" s="289"/>
      <c r="AG246" s="289"/>
      <c r="AH246" s="289"/>
      <c r="AI246" s="289"/>
      <c r="AJ246" s="289"/>
      <c r="AK246" s="289"/>
      <c r="AL246" s="289"/>
      <c r="AM246" s="289"/>
      <c r="AN246" s="289"/>
      <c r="AO246" s="289"/>
      <c r="AP246" s="289"/>
      <c r="AQ246" s="289"/>
      <c r="AR246" s="289"/>
      <c r="AS246" s="289"/>
      <c r="AT246" s="289"/>
      <c r="AU246" s="289"/>
      <c r="AV246" s="289"/>
      <c r="AW246" s="289"/>
      <c r="AX246" s="289"/>
      <c r="AY246" s="289"/>
    </row>
    <row r="247" spans="1:51" ht="13.5" customHeight="1">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c r="AA247" s="289"/>
      <c r="AB247" s="289"/>
      <c r="AC247" s="289"/>
      <c r="AD247" s="289"/>
      <c r="AE247" s="289"/>
      <c r="AF247" s="289"/>
      <c r="AG247" s="289"/>
      <c r="AH247" s="289"/>
      <c r="AI247" s="289"/>
      <c r="AJ247" s="289"/>
      <c r="AK247" s="289"/>
      <c r="AL247" s="289"/>
      <c r="AM247" s="289"/>
      <c r="AN247" s="289"/>
      <c r="AO247" s="289"/>
      <c r="AP247" s="289"/>
      <c r="AQ247" s="289"/>
      <c r="AR247" s="289"/>
      <c r="AS247" s="289"/>
      <c r="AT247" s="289"/>
      <c r="AU247" s="289"/>
      <c r="AV247" s="289"/>
      <c r="AW247" s="289"/>
      <c r="AX247" s="289"/>
      <c r="AY247" s="289"/>
    </row>
    <row r="248" spans="1:51" ht="13.5" customHeight="1">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c r="AA248" s="289"/>
      <c r="AB248" s="289"/>
      <c r="AC248" s="289"/>
      <c r="AD248" s="289"/>
      <c r="AE248" s="289"/>
      <c r="AF248" s="289"/>
      <c r="AG248" s="289"/>
      <c r="AH248" s="289"/>
      <c r="AI248" s="289"/>
      <c r="AJ248" s="289"/>
      <c r="AK248" s="289"/>
      <c r="AL248" s="289"/>
      <c r="AM248" s="289"/>
      <c r="AN248" s="289"/>
      <c r="AO248" s="289"/>
      <c r="AP248" s="289"/>
      <c r="AQ248" s="289"/>
      <c r="AR248" s="289"/>
      <c r="AS248" s="289"/>
      <c r="AT248" s="289"/>
      <c r="AU248" s="289"/>
      <c r="AV248" s="289"/>
      <c r="AW248" s="289"/>
      <c r="AX248" s="289"/>
      <c r="AY248" s="289"/>
    </row>
    <row r="249" spans="1:51" ht="13.5" customHeight="1">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c r="AA249" s="289"/>
      <c r="AB249" s="289"/>
      <c r="AC249" s="289"/>
      <c r="AD249" s="289"/>
      <c r="AE249" s="289"/>
      <c r="AF249" s="289"/>
      <c r="AG249" s="289"/>
      <c r="AH249" s="289"/>
      <c r="AI249" s="289"/>
      <c r="AJ249" s="289"/>
      <c r="AK249" s="289"/>
      <c r="AL249" s="289"/>
      <c r="AM249" s="289"/>
      <c r="AN249" s="289"/>
      <c r="AO249" s="289"/>
      <c r="AP249" s="289"/>
      <c r="AQ249" s="289"/>
      <c r="AR249" s="289"/>
      <c r="AS249" s="289"/>
      <c r="AT249" s="289"/>
      <c r="AU249" s="289"/>
      <c r="AV249" s="289"/>
      <c r="AW249" s="289"/>
      <c r="AX249" s="289"/>
      <c r="AY249" s="289"/>
    </row>
    <row r="250" spans="1:51" ht="13.5" customHeight="1">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c r="AA250" s="289"/>
      <c r="AB250" s="289"/>
      <c r="AC250" s="289"/>
      <c r="AD250" s="289"/>
      <c r="AE250" s="289"/>
      <c r="AF250" s="289"/>
      <c r="AG250" s="289"/>
      <c r="AH250" s="289"/>
      <c r="AI250" s="289"/>
      <c r="AJ250" s="289"/>
      <c r="AK250" s="289"/>
      <c r="AL250" s="289"/>
      <c r="AM250" s="289"/>
      <c r="AN250" s="289"/>
      <c r="AO250" s="289"/>
      <c r="AP250" s="289"/>
      <c r="AQ250" s="289"/>
      <c r="AR250" s="289"/>
      <c r="AS250" s="289"/>
      <c r="AT250" s="289"/>
      <c r="AU250" s="289"/>
      <c r="AV250" s="289"/>
      <c r="AW250" s="289"/>
      <c r="AX250" s="289"/>
      <c r="AY250" s="289"/>
    </row>
    <row r="251" spans="1:51" ht="13.5" customHeight="1">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c r="AA251" s="289"/>
      <c r="AB251" s="289"/>
      <c r="AC251" s="289"/>
      <c r="AD251" s="289"/>
      <c r="AE251" s="289"/>
      <c r="AF251" s="289"/>
      <c r="AG251" s="289"/>
      <c r="AH251" s="289"/>
      <c r="AI251" s="289"/>
      <c r="AJ251" s="289"/>
      <c r="AK251" s="289"/>
      <c r="AL251" s="289"/>
      <c r="AM251" s="289"/>
      <c r="AN251" s="289"/>
      <c r="AO251" s="289"/>
      <c r="AP251" s="289"/>
      <c r="AQ251" s="289"/>
      <c r="AR251" s="289"/>
      <c r="AS251" s="289"/>
      <c r="AT251" s="289"/>
      <c r="AU251" s="289"/>
      <c r="AV251" s="289"/>
      <c r="AW251" s="289"/>
      <c r="AX251" s="289"/>
      <c r="AY251" s="289"/>
    </row>
    <row r="252" spans="1:51" ht="13.5" customHeight="1">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c r="AA252" s="289"/>
      <c r="AB252" s="289"/>
      <c r="AC252" s="289"/>
      <c r="AD252" s="289"/>
      <c r="AE252" s="289"/>
      <c r="AF252" s="289"/>
      <c r="AG252" s="289"/>
      <c r="AH252" s="289"/>
      <c r="AI252" s="289"/>
      <c r="AJ252" s="289"/>
      <c r="AK252" s="289"/>
      <c r="AL252" s="289"/>
      <c r="AM252" s="289"/>
      <c r="AN252" s="289"/>
      <c r="AO252" s="289"/>
      <c r="AP252" s="289"/>
      <c r="AQ252" s="289"/>
      <c r="AR252" s="289"/>
      <c r="AS252" s="289"/>
      <c r="AT252" s="289"/>
      <c r="AU252" s="289"/>
      <c r="AV252" s="289"/>
      <c r="AW252" s="289"/>
      <c r="AX252" s="289"/>
      <c r="AY252" s="289"/>
    </row>
    <row r="253" spans="1:51" ht="13.5" customHeight="1">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c r="AA253" s="289"/>
      <c r="AB253" s="289"/>
      <c r="AC253" s="289"/>
      <c r="AD253" s="289"/>
      <c r="AE253" s="289"/>
      <c r="AF253" s="289"/>
      <c r="AG253" s="289"/>
      <c r="AH253" s="289"/>
      <c r="AI253" s="289"/>
      <c r="AJ253" s="289"/>
      <c r="AK253" s="289"/>
      <c r="AL253" s="289"/>
      <c r="AM253" s="289"/>
      <c r="AN253" s="289"/>
      <c r="AO253" s="289"/>
      <c r="AP253" s="289"/>
      <c r="AQ253" s="289"/>
      <c r="AR253" s="289"/>
      <c r="AS253" s="289"/>
      <c r="AT253" s="289"/>
      <c r="AU253" s="289"/>
      <c r="AV253" s="289"/>
      <c r="AW253" s="289"/>
      <c r="AX253" s="289"/>
      <c r="AY253" s="289"/>
    </row>
    <row r="254" spans="1:51" ht="13.5" customHeight="1">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c r="AA254" s="289"/>
      <c r="AB254" s="289"/>
      <c r="AC254" s="289"/>
      <c r="AD254" s="289"/>
      <c r="AE254" s="289"/>
      <c r="AF254" s="289"/>
      <c r="AG254" s="289"/>
      <c r="AH254" s="289"/>
      <c r="AI254" s="289"/>
      <c r="AJ254" s="289"/>
      <c r="AK254" s="289"/>
      <c r="AL254" s="289"/>
      <c r="AM254" s="289"/>
      <c r="AN254" s="289"/>
      <c r="AO254" s="289"/>
      <c r="AP254" s="289"/>
      <c r="AQ254" s="289"/>
      <c r="AR254" s="289"/>
      <c r="AS254" s="289"/>
      <c r="AT254" s="289"/>
      <c r="AU254" s="289"/>
      <c r="AV254" s="289"/>
      <c r="AW254" s="289"/>
      <c r="AX254" s="289"/>
      <c r="AY254" s="289"/>
    </row>
    <row r="255" spans="1:51" ht="13.5" customHeight="1">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c r="AA255" s="289"/>
      <c r="AB255" s="289"/>
      <c r="AC255" s="289"/>
      <c r="AD255" s="289"/>
      <c r="AE255" s="289"/>
      <c r="AF255" s="289"/>
      <c r="AG255" s="289"/>
      <c r="AH255" s="289"/>
      <c r="AI255" s="289"/>
      <c r="AJ255" s="289"/>
      <c r="AK255" s="289"/>
      <c r="AL255" s="289"/>
      <c r="AM255" s="289"/>
      <c r="AN255" s="289"/>
      <c r="AO255" s="289"/>
      <c r="AP255" s="289"/>
      <c r="AQ255" s="289"/>
      <c r="AR255" s="289"/>
      <c r="AS255" s="289"/>
      <c r="AT255" s="289"/>
      <c r="AU255" s="289"/>
      <c r="AV255" s="289"/>
      <c r="AW255" s="289"/>
      <c r="AX255" s="289"/>
      <c r="AY255" s="289"/>
    </row>
    <row r="256" spans="1:51" ht="13.5" customHeight="1">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c r="AA256" s="289"/>
      <c r="AB256" s="289"/>
      <c r="AC256" s="289"/>
      <c r="AD256" s="289"/>
      <c r="AE256" s="289"/>
      <c r="AF256" s="289"/>
      <c r="AG256" s="289"/>
      <c r="AH256" s="289"/>
      <c r="AI256" s="289"/>
      <c r="AJ256" s="289"/>
      <c r="AK256" s="289"/>
      <c r="AL256" s="289"/>
      <c r="AM256" s="289"/>
      <c r="AN256" s="289"/>
      <c r="AO256" s="289"/>
      <c r="AP256" s="289"/>
      <c r="AQ256" s="289"/>
      <c r="AR256" s="289"/>
      <c r="AS256" s="289"/>
      <c r="AT256" s="289"/>
      <c r="AU256" s="289"/>
      <c r="AV256" s="289"/>
      <c r="AW256" s="289"/>
      <c r="AX256" s="289"/>
      <c r="AY256" s="289"/>
    </row>
    <row r="257" spans="1:51" ht="13.5" customHeight="1">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c r="AA257" s="289"/>
      <c r="AB257" s="289"/>
      <c r="AC257" s="289"/>
      <c r="AD257" s="289"/>
      <c r="AE257" s="289"/>
      <c r="AF257" s="289"/>
      <c r="AG257" s="289"/>
      <c r="AH257" s="289"/>
      <c r="AI257" s="289"/>
      <c r="AJ257" s="289"/>
      <c r="AK257" s="289"/>
      <c r="AL257" s="289"/>
      <c r="AM257" s="289"/>
      <c r="AN257" s="289"/>
      <c r="AO257" s="289"/>
      <c r="AP257" s="289"/>
      <c r="AQ257" s="289"/>
      <c r="AR257" s="289"/>
      <c r="AS257" s="289"/>
      <c r="AT257" s="289"/>
      <c r="AU257" s="289"/>
      <c r="AV257" s="289"/>
      <c r="AW257" s="289"/>
      <c r="AX257" s="289"/>
      <c r="AY257" s="289"/>
    </row>
    <row r="258" spans="1:51" ht="13.5" customHeight="1">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c r="AA258" s="289"/>
      <c r="AB258" s="289"/>
      <c r="AC258" s="289"/>
      <c r="AD258" s="289"/>
      <c r="AE258" s="289"/>
      <c r="AF258" s="289"/>
      <c r="AG258" s="289"/>
      <c r="AH258" s="289"/>
      <c r="AI258" s="289"/>
      <c r="AJ258" s="289"/>
      <c r="AK258" s="289"/>
      <c r="AL258" s="289"/>
      <c r="AM258" s="289"/>
      <c r="AN258" s="289"/>
      <c r="AO258" s="289"/>
      <c r="AP258" s="289"/>
      <c r="AQ258" s="289"/>
      <c r="AR258" s="289"/>
      <c r="AS258" s="289"/>
      <c r="AT258" s="289"/>
      <c r="AU258" s="289"/>
      <c r="AV258" s="289"/>
      <c r="AW258" s="289"/>
      <c r="AX258" s="289"/>
      <c r="AY258" s="289"/>
    </row>
    <row r="259" spans="1:51" ht="13.5" customHeight="1">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c r="AA259" s="289"/>
      <c r="AB259" s="289"/>
      <c r="AC259" s="289"/>
      <c r="AD259" s="289"/>
      <c r="AE259" s="289"/>
      <c r="AF259" s="289"/>
      <c r="AG259" s="289"/>
      <c r="AH259" s="289"/>
      <c r="AI259" s="289"/>
      <c r="AJ259" s="289"/>
      <c r="AK259" s="289"/>
      <c r="AL259" s="289"/>
      <c r="AM259" s="289"/>
      <c r="AN259" s="289"/>
      <c r="AO259" s="289"/>
      <c r="AP259" s="289"/>
      <c r="AQ259" s="289"/>
      <c r="AR259" s="289"/>
      <c r="AS259" s="289"/>
      <c r="AT259" s="289"/>
      <c r="AU259" s="289"/>
      <c r="AV259" s="289"/>
      <c r="AW259" s="289"/>
      <c r="AX259" s="289"/>
      <c r="AY259" s="289"/>
    </row>
    <row r="260" spans="1:51" ht="13.5" customHeight="1">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c r="AA260" s="289"/>
      <c r="AB260" s="289"/>
      <c r="AC260" s="289"/>
      <c r="AD260" s="289"/>
      <c r="AE260" s="289"/>
      <c r="AF260" s="289"/>
      <c r="AG260" s="289"/>
      <c r="AH260" s="289"/>
      <c r="AI260" s="289"/>
      <c r="AJ260" s="289"/>
      <c r="AK260" s="289"/>
      <c r="AL260" s="289"/>
      <c r="AM260" s="289"/>
      <c r="AN260" s="289"/>
      <c r="AO260" s="289"/>
      <c r="AP260" s="289"/>
      <c r="AQ260" s="289"/>
      <c r="AR260" s="289"/>
      <c r="AS260" s="289"/>
      <c r="AT260" s="289"/>
      <c r="AU260" s="289"/>
      <c r="AV260" s="289"/>
      <c r="AW260" s="289"/>
      <c r="AX260" s="289"/>
      <c r="AY260" s="289"/>
    </row>
    <row r="261" spans="1:51" ht="13.5" customHeight="1">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c r="AA261" s="289"/>
      <c r="AB261" s="289"/>
      <c r="AC261" s="289"/>
      <c r="AD261" s="289"/>
      <c r="AE261" s="289"/>
      <c r="AF261" s="289"/>
      <c r="AG261" s="289"/>
      <c r="AH261" s="289"/>
      <c r="AI261" s="289"/>
      <c r="AJ261" s="289"/>
      <c r="AK261" s="289"/>
      <c r="AL261" s="289"/>
      <c r="AM261" s="289"/>
      <c r="AN261" s="289"/>
      <c r="AO261" s="289"/>
      <c r="AP261" s="289"/>
      <c r="AQ261" s="289"/>
      <c r="AR261" s="289"/>
      <c r="AS261" s="289"/>
      <c r="AT261" s="289"/>
      <c r="AU261" s="289"/>
      <c r="AV261" s="289"/>
      <c r="AW261" s="289"/>
      <c r="AX261" s="289"/>
      <c r="AY261" s="289"/>
    </row>
    <row r="262" spans="1:51" ht="13.5" customHeight="1">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c r="AA262" s="289"/>
      <c r="AB262" s="289"/>
      <c r="AC262" s="289"/>
      <c r="AD262" s="289"/>
      <c r="AE262" s="289"/>
      <c r="AF262" s="289"/>
      <c r="AG262" s="289"/>
      <c r="AH262" s="289"/>
      <c r="AI262" s="289"/>
      <c r="AJ262" s="289"/>
      <c r="AK262" s="289"/>
      <c r="AL262" s="289"/>
      <c r="AM262" s="289"/>
      <c r="AN262" s="289"/>
      <c r="AO262" s="289"/>
      <c r="AP262" s="289"/>
      <c r="AQ262" s="289"/>
      <c r="AR262" s="289"/>
      <c r="AS262" s="289"/>
      <c r="AT262" s="289"/>
      <c r="AU262" s="289"/>
      <c r="AV262" s="289"/>
      <c r="AW262" s="289"/>
      <c r="AX262" s="289"/>
      <c r="AY262" s="289"/>
    </row>
    <row r="263" spans="1:51" ht="13.5" customHeight="1">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c r="AA263" s="289"/>
      <c r="AB263" s="289"/>
      <c r="AC263" s="289"/>
      <c r="AD263" s="289"/>
      <c r="AE263" s="289"/>
      <c r="AF263" s="289"/>
      <c r="AG263" s="289"/>
      <c r="AH263" s="289"/>
      <c r="AI263" s="289"/>
      <c r="AJ263" s="289"/>
      <c r="AK263" s="289"/>
      <c r="AL263" s="289"/>
      <c r="AM263" s="289"/>
      <c r="AN263" s="289"/>
      <c r="AO263" s="289"/>
      <c r="AP263" s="289"/>
      <c r="AQ263" s="289"/>
      <c r="AR263" s="289"/>
      <c r="AS263" s="289"/>
      <c r="AT263" s="289"/>
      <c r="AU263" s="289"/>
      <c r="AV263" s="289"/>
      <c r="AW263" s="289"/>
      <c r="AX263" s="289"/>
      <c r="AY263" s="289"/>
    </row>
    <row r="264" spans="1:51" ht="13.5" customHeight="1">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c r="AA264" s="289"/>
      <c r="AB264" s="289"/>
      <c r="AC264" s="289"/>
      <c r="AD264" s="289"/>
      <c r="AE264" s="289"/>
      <c r="AF264" s="289"/>
      <c r="AG264" s="289"/>
      <c r="AH264" s="289"/>
      <c r="AI264" s="289"/>
      <c r="AJ264" s="289"/>
      <c r="AK264" s="289"/>
      <c r="AL264" s="289"/>
      <c r="AM264" s="289"/>
      <c r="AN264" s="289"/>
      <c r="AO264" s="289"/>
      <c r="AP264" s="289"/>
      <c r="AQ264" s="289"/>
      <c r="AR264" s="289"/>
      <c r="AS264" s="289"/>
      <c r="AT264" s="289"/>
      <c r="AU264" s="289"/>
      <c r="AV264" s="289"/>
      <c r="AW264" s="289"/>
      <c r="AX264" s="289"/>
      <c r="AY264" s="289"/>
    </row>
    <row r="265" spans="1:51" ht="13.5" customHeight="1">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c r="AA265" s="289"/>
      <c r="AB265" s="289"/>
      <c r="AC265" s="289"/>
      <c r="AD265" s="289"/>
      <c r="AE265" s="289"/>
      <c r="AF265" s="289"/>
      <c r="AG265" s="289"/>
      <c r="AH265" s="289"/>
      <c r="AI265" s="289"/>
      <c r="AJ265" s="289"/>
      <c r="AK265" s="289"/>
      <c r="AL265" s="289"/>
      <c r="AM265" s="289"/>
      <c r="AN265" s="289"/>
      <c r="AO265" s="289"/>
      <c r="AP265" s="289"/>
      <c r="AQ265" s="289"/>
      <c r="AR265" s="289"/>
      <c r="AS265" s="289"/>
      <c r="AT265" s="289"/>
      <c r="AU265" s="289"/>
      <c r="AV265" s="289"/>
      <c r="AW265" s="289"/>
      <c r="AX265" s="289"/>
      <c r="AY265" s="289"/>
    </row>
    <row r="266" spans="1:51" ht="13.5" customHeight="1">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c r="AA266" s="289"/>
      <c r="AB266" s="289"/>
      <c r="AC266" s="289"/>
      <c r="AD266" s="289"/>
      <c r="AE266" s="289"/>
      <c r="AF266" s="289"/>
      <c r="AG266" s="289"/>
      <c r="AH266" s="289"/>
      <c r="AI266" s="289"/>
      <c r="AJ266" s="289"/>
      <c r="AK266" s="289"/>
      <c r="AL266" s="289"/>
      <c r="AM266" s="289"/>
      <c r="AN266" s="289"/>
      <c r="AO266" s="289"/>
      <c r="AP266" s="289"/>
      <c r="AQ266" s="289"/>
      <c r="AR266" s="289"/>
      <c r="AS266" s="289"/>
      <c r="AT266" s="289"/>
      <c r="AU266" s="289"/>
      <c r="AV266" s="289"/>
      <c r="AW266" s="289"/>
      <c r="AX266" s="289"/>
      <c r="AY266" s="289"/>
    </row>
    <row r="267" spans="1:51" ht="13.5" customHeight="1">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c r="AA267" s="289"/>
      <c r="AB267" s="289"/>
      <c r="AC267" s="289"/>
      <c r="AD267" s="289"/>
      <c r="AE267" s="289"/>
      <c r="AF267" s="289"/>
      <c r="AG267" s="289"/>
      <c r="AH267" s="289"/>
      <c r="AI267" s="289"/>
      <c r="AJ267" s="289"/>
      <c r="AK267" s="289"/>
      <c r="AL267" s="289"/>
      <c r="AM267" s="289"/>
      <c r="AN267" s="289"/>
      <c r="AO267" s="289"/>
      <c r="AP267" s="289"/>
      <c r="AQ267" s="289"/>
      <c r="AR267" s="289"/>
      <c r="AS267" s="289"/>
      <c r="AT267" s="289"/>
      <c r="AU267" s="289"/>
      <c r="AV267" s="289"/>
      <c r="AW267" s="289"/>
      <c r="AX267" s="289"/>
      <c r="AY267" s="289"/>
    </row>
    <row r="268" spans="1:51" ht="13.5" customHeight="1">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c r="AA268" s="289"/>
      <c r="AB268" s="289"/>
      <c r="AC268" s="289"/>
      <c r="AD268" s="289"/>
      <c r="AE268" s="289"/>
      <c r="AF268" s="289"/>
      <c r="AG268" s="289"/>
      <c r="AH268" s="289"/>
      <c r="AI268" s="289"/>
      <c r="AJ268" s="289"/>
      <c r="AK268" s="289"/>
      <c r="AL268" s="289"/>
      <c r="AM268" s="289"/>
      <c r="AN268" s="289"/>
      <c r="AO268" s="289"/>
      <c r="AP268" s="289"/>
      <c r="AQ268" s="289"/>
      <c r="AR268" s="289"/>
      <c r="AS268" s="289"/>
      <c r="AT268" s="289"/>
      <c r="AU268" s="289"/>
      <c r="AV268" s="289"/>
      <c r="AW268" s="289"/>
      <c r="AX268" s="289"/>
      <c r="AY268" s="289"/>
    </row>
    <row r="269" spans="1:51" ht="13.5" customHeight="1">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c r="AA269" s="289"/>
      <c r="AB269" s="289"/>
      <c r="AC269" s="289"/>
      <c r="AD269" s="289"/>
      <c r="AE269" s="289"/>
      <c r="AF269" s="289"/>
      <c r="AG269" s="289"/>
      <c r="AH269" s="289"/>
      <c r="AI269" s="289"/>
      <c r="AJ269" s="289"/>
      <c r="AK269" s="289"/>
      <c r="AL269" s="289"/>
      <c r="AM269" s="289"/>
      <c r="AN269" s="289"/>
      <c r="AO269" s="289"/>
      <c r="AP269" s="289"/>
      <c r="AQ269" s="289"/>
      <c r="AR269" s="289"/>
      <c r="AS269" s="289"/>
      <c r="AT269" s="289"/>
      <c r="AU269" s="289"/>
      <c r="AV269" s="289"/>
      <c r="AW269" s="289"/>
      <c r="AX269" s="289"/>
      <c r="AY269" s="289"/>
    </row>
    <row r="270" spans="1:51" ht="13.5" customHeight="1">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289"/>
      <c r="AH270" s="289"/>
      <c r="AI270" s="289"/>
      <c r="AJ270" s="289"/>
      <c r="AK270" s="289"/>
      <c r="AL270" s="289"/>
      <c r="AM270" s="289"/>
      <c r="AN270" s="289"/>
      <c r="AO270" s="289"/>
      <c r="AP270" s="289"/>
      <c r="AQ270" s="289"/>
      <c r="AR270" s="289"/>
      <c r="AS270" s="289"/>
      <c r="AT270" s="289"/>
      <c r="AU270" s="289"/>
      <c r="AV270" s="289"/>
      <c r="AW270" s="289"/>
      <c r="AX270" s="289"/>
      <c r="AY270" s="289"/>
    </row>
    <row r="271" spans="1:51" ht="13.5" customHeight="1">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289"/>
      <c r="AH271" s="289"/>
      <c r="AI271" s="289"/>
      <c r="AJ271" s="289"/>
      <c r="AK271" s="289"/>
      <c r="AL271" s="289"/>
      <c r="AM271" s="289"/>
      <c r="AN271" s="289"/>
      <c r="AO271" s="289"/>
      <c r="AP271" s="289"/>
      <c r="AQ271" s="289"/>
      <c r="AR271" s="289"/>
      <c r="AS271" s="289"/>
      <c r="AT271" s="289"/>
      <c r="AU271" s="289"/>
      <c r="AV271" s="289"/>
      <c r="AW271" s="289"/>
      <c r="AX271" s="289"/>
      <c r="AY271" s="289"/>
    </row>
    <row r="272" spans="1:51" ht="13.5" customHeight="1">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c r="AA272" s="289"/>
      <c r="AB272" s="289"/>
      <c r="AC272" s="289"/>
      <c r="AD272" s="289"/>
      <c r="AE272" s="289"/>
      <c r="AF272" s="289"/>
      <c r="AG272" s="289"/>
      <c r="AH272" s="289"/>
      <c r="AI272" s="289"/>
      <c r="AJ272" s="289"/>
      <c r="AK272" s="289"/>
      <c r="AL272" s="289"/>
      <c r="AM272" s="289"/>
      <c r="AN272" s="289"/>
      <c r="AO272" s="289"/>
      <c r="AP272" s="289"/>
      <c r="AQ272" s="289"/>
      <c r="AR272" s="289"/>
      <c r="AS272" s="289"/>
      <c r="AT272" s="289"/>
      <c r="AU272" s="289"/>
      <c r="AV272" s="289"/>
      <c r="AW272" s="289"/>
      <c r="AX272" s="289"/>
      <c r="AY272" s="289"/>
    </row>
    <row r="273" spans="1:51" ht="13.5" customHeight="1">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c r="AA273" s="289"/>
      <c r="AB273" s="289"/>
      <c r="AC273" s="289"/>
      <c r="AD273" s="289"/>
      <c r="AE273" s="289"/>
      <c r="AF273" s="289"/>
      <c r="AG273" s="289"/>
      <c r="AH273" s="289"/>
      <c r="AI273" s="289"/>
      <c r="AJ273" s="289"/>
      <c r="AK273" s="289"/>
      <c r="AL273" s="289"/>
      <c r="AM273" s="289"/>
      <c r="AN273" s="289"/>
      <c r="AO273" s="289"/>
      <c r="AP273" s="289"/>
      <c r="AQ273" s="289"/>
      <c r="AR273" s="289"/>
      <c r="AS273" s="289"/>
      <c r="AT273" s="289"/>
      <c r="AU273" s="289"/>
      <c r="AV273" s="289"/>
      <c r="AW273" s="289"/>
      <c r="AX273" s="289"/>
      <c r="AY273" s="289"/>
    </row>
    <row r="274" spans="1:51" ht="13.5" customHeight="1">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c r="AA274" s="289"/>
      <c r="AB274" s="289"/>
      <c r="AC274" s="289"/>
      <c r="AD274" s="289"/>
      <c r="AE274" s="289"/>
      <c r="AF274" s="289"/>
      <c r="AG274" s="289"/>
      <c r="AH274" s="289"/>
      <c r="AI274" s="289"/>
      <c r="AJ274" s="289"/>
      <c r="AK274" s="289"/>
      <c r="AL274" s="289"/>
      <c r="AM274" s="289"/>
      <c r="AN274" s="289"/>
      <c r="AO274" s="289"/>
      <c r="AP274" s="289"/>
      <c r="AQ274" s="289"/>
      <c r="AR274" s="289"/>
      <c r="AS274" s="289"/>
      <c r="AT274" s="289"/>
      <c r="AU274" s="289"/>
      <c r="AV274" s="289"/>
      <c r="AW274" s="289"/>
      <c r="AX274" s="289"/>
      <c r="AY274" s="289"/>
    </row>
    <row r="275" spans="1:51" ht="13.5" customHeight="1">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c r="AA275" s="289"/>
      <c r="AB275" s="289"/>
      <c r="AC275" s="289"/>
      <c r="AD275" s="289"/>
      <c r="AE275" s="289"/>
      <c r="AF275" s="289"/>
      <c r="AG275" s="289"/>
      <c r="AH275" s="289"/>
      <c r="AI275" s="289"/>
      <c r="AJ275" s="289"/>
      <c r="AK275" s="289"/>
      <c r="AL275" s="289"/>
      <c r="AM275" s="289"/>
      <c r="AN275" s="289"/>
      <c r="AO275" s="289"/>
      <c r="AP275" s="289"/>
      <c r="AQ275" s="289"/>
      <c r="AR275" s="289"/>
      <c r="AS275" s="289"/>
      <c r="AT275" s="289"/>
      <c r="AU275" s="289"/>
      <c r="AV275" s="289"/>
      <c r="AW275" s="289"/>
      <c r="AX275" s="289"/>
      <c r="AY275" s="289"/>
    </row>
    <row r="276" spans="1:51" ht="13.5" customHeight="1">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c r="AA276" s="289"/>
      <c r="AB276" s="289"/>
      <c r="AC276" s="289"/>
      <c r="AD276" s="289"/>
      <c r="AE276" s="289"/>
      <c r="AF276" s="289"/>
      <c r="AG276" s="289"/>
      <c r="AH276" s="289"/>
      <c r="AI276" s="289"/>
      <c r="AJ276" s="289"/>
      <c r="AK276" s="289"/>
      <c r="AL276" s="289"/>
      <c r="AM276" s="289"/>
      <c r="AN276" s="289"/>
      <c r="AO276" s="289"/>
      <c r="AP276" s="289"/>
      <c r="AQ276" s="289"/>
      <c r="AR276" s="289"/>
      <c r="AS276" s="289"/>
      <c r="AT276" s="289"/>
      <c r="AU276" s="289"/>
      <c r="AV276" s="289"/>
      <c r="AW276" s="289"/>
      <c r="AX276" s="289"/>
      <c r="AY276" s="289"/>
    </row>
    <row r="277" spans="1:51" ht="13.5" customHeight="1">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c r="AA277" s="289"/>
      <c r="AB277" s="289"/>
      <c r="AC277" s="289"/>
      <c r="AD277" s="289"/>
      <c r="AE277" s="289"/>
      <c r="AF277" s="289"/>
      <c r="AG277" s="289"/>
      <c r="AH277" s="289"/>
      <c r="AI277" s="289"/>
      <c r="AJ277" s="289"/>
      <c r="AK277" s="289"/>
      <c r="AL277" s="289"/>
      <c r="AM277" s="289"/>
      <c r="AN277" s="289"/>
      <c r="AO277" s="289"/>
      <c r="AP277" s="289"/>
      <c r="AQ277" s="289"/>
      <c r="AR277" s="289"/>
      <c r="AS277" s="289"/>
      <c r="AT277" s="289"/>
      <c r="AU277" s="289"/>
      <c r="AV277" s="289"/>
      <c r="AW277" s="289"/>
      <c r="AX277" s="289"/>
      <c r="AY277" s="289"/>
    </row>
    <row r="278" spans="1:51" ht="13.5" customHeight="1">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c r="AA278" s="289"/>
      <c r="AB278" s="289"/>
      <c r="AC278" s="289"/>
      <c r="AD278" s="289"/>
      <c r="AE278" s="289"/>
      <c r="AF278" s="289"/>
      <c r="AG278" s="289"/>
      <c r="AH278" s="289"/>
      <c r="AI278" s="289"/>
      <c r="AJ278" s="289"/>
      <c r="AK278" s="289"/>
      <c r="AL278" s="289"/>
      <c r="AM278" s="289"/>
      <c r="AN278" s="289"/>
      <c r="AO278" s="289"/>
      <c r="AP278" s="289"/>
      <c r="AQ278" s="289"/>
      <c r="AR278" s="289"/>
      <c r="AS278" s="289"/>
      <c r="AT278" s="289"/>
      <c r="AU278" s="289"/>
      <c r="AV278" s="289"/>
      <c r="AW278" s="289"/>
      <c r="AX278" s="289"/>
      <c r="AY278" s="289"/>
    </row>
    <row r="279" spans="1:51" ht="13.5" customHeight="1">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c r="AA279" s="289"/>
      <c r="AB279" s="289"/>
      <c r="AC279" s="289"/>
      <c r="AD279" s="289"/>
      <c r="AE279" s="289"/>
      <c r="AF279" s="289"/>
      <c r="AG279" s="289"/>
      <c r="AH279" s="289"/>
      <c r="AI279" s="289"/>
      <c r="AJ279" s="289"/>
      <c r="AK279" s="289"/>
      <c r="AL279" s="289"/>
      <c r="AM279" s="289"/>
      <c r="AN279" s="289"/>
      <c r="AO279" s="289"/>
      <c r="AP279" s="289"/>
      <c r="AQ279" s="289"/>
      <c r="AR279" s="289"/>
      <c r="AS279" s="289"/>
      <c r="AT279" s="289"/>
      <c r="AU279" s="289"/>
      <c r="AV279" s="289"/>
      <c r="AW279" s="289"/>
      <c r="AX279" s="289"/>
      <c r="AY279" s="289"/>
    </row>
    <row r="280" spans="1:51" ht="13.5" customHeight="1">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c r="AB280" s="289"/>
      <c r="AC280" s="289"/>
      <c r="AD280" s="289"/>
      <c r="AE280" s="289"/>
      <c r="AF280" s="289"/>
      <c r="AG280" s="289"/>
      <c r="AH280" s="289"/>
      <c r="AI280" s="289"/>
      <c r="AJ280" s="289"/>
      <c r="AK280" s="289"/>
      <c r="AL280" s="289"/>
      <c r="AM280" s="289"/>
      <c r="AN280" s="289"/>
      <c r="AO280" s="289"/>
      <c r="AP280" s="289"/>
      <c r="AQ280" s="289"/>
      <c r="AR280" s="289"/>
      <c r="AS280" s="289"/>
      <c r="AT280" s="289"/>
      <c r="AU280" s="289"/>
      <c r="AV280" s="289"/>
      <c r="AW280" s="289"/>
      <c r="AX280" s="289"/>
      <c r="AY280" s="289"/>
    </row>
    <row r="281" spans="1:51" ht="13.5" customHeight="1">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c r="AB281" s="289"/>
      <c r="AC281" s="289"/>
      <c r="AD281" s="289"/>
      <c r="AE281" s="289"/>
      <c r="AF281" s="289"/>
      <c r="AG281" s="289"/>
      <c r="AH281" s="289"/>
      <c r="AI281" s="289"/>
      <c r="AJ281" s="289"/>
      <c r="AK281" s="289"/>
      <c r="AL281" s="289"/>
      <c r="AM281" s="289"/>
      <c r="AN281" s="289"/>
      <c r="AO281" s="289"/>
      <c r="AP281" s="289"/>
      <c r="AQ281" s="289"/>
      <c r="AR281" s="289"/>
      <c r="AS281" s="289"/>
      <c r="AT281" s="289"/>
      <c r="AU281" s="289"/>
      <c r="AV281" s="289"/>
      <c r="AW281" s="289"/>
      <c r="AX281" s="289"/>
      <c r="AY281" s="289"/>
    </row>
    <row r="282" spans="1:51" ht="13.5" customHeight="1">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c r="AA282" s="289"/>
      <c r="AB282" s="289"/>
      <c r="AC282" s="289"/>
      <c r="AD282" s="289"/>
      <c r="AE282" s="289"/>
      <c r="AF282" s="289"/>
      <c r="AG282" s="289"/>
      <c r="AH282" s="289"/>
      <c r="AI282" s="289"/>
      <c r="AJ282" s="289"/>
      <c r="AK282" s="289"/>
      <c r="AL282" s="289"/>
      <c r="AM282" s="289"/>
      <c r="AN282" s="289"/>
      <c r="AO282" s="289"/>
      <c r="AP282" s="289"/>
      <c r="AQ282" s="289"/>
      <c r="AR282" s="289"/>
      <c r="AS282" s="289"/>
      <c r="AT282" s="289"/>
      <c r="AU282" s="289"/>
      <c r="AV282" s="289"/>
      <c r="AW282" s="289"/>
      <c r="AX282" s="289"/>
      <c r="AY282" s="289"/>
    </row>
    <row r="283" spans="1:51" ht="13.5" customHeight="1">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c r="AA283" s="289"/>
      <c r="AB283" s="289"/>
      <c r="AC283" s="289"/>
      <c r="AD283" s="289"/>
      <c r="AE283" s="289"/>
      <c r="AF283" s="289"/>
      <c r="AG283" s="289"/>
      <c r="AH283" s="289"/>
      <c r="AI283" s="289"/>
      <c r="AJ283" s="289"/>
      <c r="AK283" s="289"/>
      <c r="AL283" s="289"/>
      <c r="AM283" s="289"/>
      <c r="AN283" s="289"/>
      <c r="AO283" s="289"/>
      <c r="AP283" s="289"/>
      <c r="AQ283" s="289"/>
      <c r="AR283" s="289"/>
      <c r="AS283" s="289"/>
      <c r="AT283" s="289"/>
      <c r="AU283" s="289"/>
      <c r="AV283" s="289"/>
      <c r="AW283" s="289"/>
      <c r="AX283" s="289"/>
      <c r="AY283" s="289"/>
    </row>
    <row r="284" spans="1:51" ht="13.5" customHeight="1">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c r="AA284" s="289"/>
      <c r="AB284" s="289"/>
      <c r="AC284" s="289"/>
      <c r="AD284" s="289"/>
      <c r="AE284" s="289"/>
      <c r="AF284" s="289"/>
      <c r="AG284" s="289"/>
      <c r="AH284" s="289"/>
      <c r="AI284" s="289"/>
      <c r="AJ284" s="289"/>
      <c r="AK284" s="289"/>
      <c r="AL284" s="289"/>
      <c r="AM284" s="289"/>
      <c r="AN284" s="289"/>
      <c r="AO284" s="289"/>
      <c r="AP284" s="289"/>
      <c r="AQ284" s="289"/>
      <c r="AR284" s="289"/>
      <c r="AS284" s="289"/>
      <c r="AT284" s="289"/>
      <c r="AU284" s="289"/>
      <c r="AV284" s="289"/>
      <c r="AW284" s="289"/>
      <c r="AX284" s="289"/>
      <c r="AY284" s="289"/>
    </row>
    <row r="285" spans="1:51" ht="13.5" customHeight="1">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c r="AA285" s="289"/>
      <c r="AB285" s="289"/>
      <c r="AC285" s="289"/>
      <c r="AD285" s="289"/>
      <c r="AE285" s="289"/>
      <c r="AF285" s="289"/>
      <c r="AG285" s="289"/>
      <c r="AH285" s="289"/>
      <c r="AI285" s="289"/>
      <c r="AJ285" s="289"/>
      <c r="AK285" s="289"/>
      <c r="AL285" s="289"/>
      <c r="AM285" s="289"/>
      <c r="AN285" s="289"/>
      <c r="AO285" s="289"/>
      <c r="AP285" s="289"/>
      <c r="AQ285" s="289"/>
      <c r="AR285" s="289"/>
      <c r="AS285" s="289"/>
      <c r="AT285" s="289"/>
      <c r="AU285" s="289"/>
      <c r="AV285" s="289"/>
      <c r="AW285" s="289"/>
      <c r="AX285" s="289"/>
      <c r="AY285" s="289"/>
    </row>
    <row r="286" spans="1:51" ht="13.5" customHeight="1">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c r="AA286" s="289"/>
      <c r="AB286" s="289"/>
      <c r="AC286" s="289"/>
      <c r="AD286" s="289"/>
      <c r="AE286" s="289"/>
      <c r="AF286" s="289"/>
      <c r="AG286" s="289"/>
      <c r="AH286" s="289"/>
      <c r="AI286" s="289"/>
      <c r="AJ286" s="289"/>
      <c r="AK286" s="289"/>
      <c r="AL286" s="289"/>
      <c r="AM286" s="289"/>
      <c r="AN286" s="289"/>
      <c r="AO286" s="289"/>
      <c r="AP286" s="289"/>
      <c r="AQ286" s="289"/>
      <c r="AR286" s="289"/>
      <c r="AS286" s="289"/>
      <c r="AT286" s="289"/>
      <c r="AU286" s="289"/>
      <c r="AV286" s="289"/>
      <c r="AW286" s="289"/>
      <c r="AX286" s="289"/>
      <c r="AY286" s="289"/>
    </row>
    <row r="287" spans="1:51" ht="13.5" customHeight="1">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c r="AA287" s="289"/>
      <c r="AB287" s="289"/>
      <c r="AC287" s="289"/>
      <c r="AD287" s="289"/>
      <c r="AE287" s="289"/>
      <c r="AF287" s="289"/>
      <c r="AG287" s="289"/>
      <c r="AH287" s="289"/>
      <c r="AI287" s="289"/>
      <c r="AJ287" s="289"/>
      <c r="AK287" s="289"/>
      <c r="AL287" s="289"/>
      <c r="AM287" s="289"/>
      <c r="AN287" s="289"/>
      <c r="AO287" s="289"/>
      <c r="AP287" s="289"/>
      <c r="AQ287" s="289"/>
      <c r="AR287" s="289"/>
      <c r="AS287" s="289"/>
      <c r="AT287" s="289"/>
      <c r="AU287" s="289"/>
      <c r="AV287" s="289"/>
      <c r="AW287" s="289"/>
      <c r="AX287" s="289"/>
      <c r="AY287" s="289"/>
    </row>
    <row r="288" spans="1:51" ht="13.5" customHeight="1">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c r="AA288" s="289"/>
      <c r="AB288" s="289"/>
      <c r="AC288" s="289"/>
      <c r="AD288" s="289"/>
      <c r="AE288" s="289"/>
      <c r="AF288" s="289"/>
      <c r="AG288" s="289"/>
      <c r="AH288" s="289"/>
      <c r="AI288" s="289"/>
      <c r="AJ288" s="289"/>
      <c r="AK288" s="289"/>
      <c r="AL288" s="289"/>
      <c r="AM288" s="289"/>
      <c r="AN288" s="289"/>
      <c r="AO288" s="289"/>
      <c r="AP288" s="289"/>
      <c r="AQ288" s="289"/>
      <c r="AR288" s="289"/>
      <c r="AS288" s="289"/>
      <c r="AT288" s="289"/>
      <c r="AU288" s="289"/>
      <c r="AV288" s="289"/>
      <c r="AW288" s="289"/>
      <c r="AX288" s="289"/>
      <c r="AY288" s="289"/>
    </row>
    <row r="289" spans="1:51" ht="13.5" customHeight="1">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c r="AA289" s="289"/>
      <c r="AB289" s="289"/>
      <c r="AC289" s="289"/>
      <c r="AD289" s="289"/>
      <c r="AE289" s="289"/>
      <c r="AF289" s="289"/>
      <c r="AG289" s="289"/>
      <c r="AH289" s="289"/>
      <c r="AI289" s="289"/>
      <c r="AJ289" s="289"/>
      <c r="AK289" s="289"/>
      <c r="AL289" s="289"/>
      <c r="AM289" s="289"/>
      <c r="AN289" s="289"/>
      <c r="AO289" s="289"/>
      <c r="AP289" s="289"/>
      <c r="AQ289" s="289"/>
      <c r="AR289" s="289"/>
      <c r="AS289" s="289"/>
      <c r="AT289" s="289"/>
      <c r="AU289" s="289"/>
      <c r="AV289" s="289"/>
      <c r="AW289" s="289"/>
      <c r="AX289" s="289"/>
      <c r="AY289" s="289"/>
    </row>
    <row r="290" spans="1:51" ht="13.5" customHeight="1">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c r="AA290" s="289"/>
      <c r="AB290" s="289"/>
      <c r="AC290" s="289"/>
      <c r="AD290" s="289"/>
      <c r="AE290" s="289"/>
      <c r="AF290" s="289"/>
      <c r="AG290" s="289"/>
      <c r="AH290" s="289"/>
      <c r="AI290" s="289"/>
      <c r="AJ290" s="289"/>
      <c r="AK290" s="289"/>
      <c r="AL290" s="289"/>
      <c r="AM290" s="289"/>
      <c r="AN290" s="289"/>
      <c r="AO290" s="289"/>
      <c r="AP290" s="289"/>
      <c r="AQ290" s="289"/>
      <c r="AR290" s="289"/>
      <c r="AS290" s="289"/>
      <c r="AT290" s="289"/>
      <c r="AU290" s="289"/>
      <c r="AV290" s="289"/>
      <c r="AW290" s="289"/>
      <c r="AX290" s="289"/>
      <c r="AY290" s="289"/>
    </row>
    <row r="291" spans="1:51" ht="13.5" customHeight="1">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c r="AA291" s="289"/>
      <c r="AB291" s="289"/>
      <c r="AC291" s="289"/>
      <c r="AD291" s="289"/>
      <c r="AE291" s="289"/>
      <c r="AF291" s="289"/>
      <c r="AG291" s="289"/>
      <c r="AH291" s="289"/>
      <c r="AI291" s="289"/>
      <c r="AJ291" s="289"/>
      <c r="AK291" s="289"/>
      <c r="AL291" s="289"/>
      <c r="AM291" s="289"/>
      <c r="AN291" s="289"/>
      <c r="AO291" s="289"/>
      <c r="AP291" s="289"/>
      <c r="AQ291" s="289"/>
      <c r="AR291" s="289"/>
      <c r="AS291" s="289"/>
      <c r="AT291" s="289"/>
      <c r="AU291" s="289"/>
      <c r="AV291" s="289"/>
      <c r="AW291" s="289"/>
      <c r="AX291" s="289"/>
      <c r="AY291" s="289"/>
    </row>
    <row r="292" spans="1:51" ht="13.5" customHeight="1">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c r="AA292" s="289"/>
      <c r="AB292" s="289"/>
      <c r="AC292" s="289"/>
      <c r="AD292" s="289"/>
      <c r="AE292" s="289"/>
      <c r="AF292" s="289"/>
      <c r="AG292" s="289"/>
      <c r="AH292" s="289"/>
      <c r="AI292" s="289"/>
      <c r="AJ292" s="289"/>
      <c r="AK292" s="289"/>
      <c r="AL292" s="289"/>
      <c r="AM292" s="289"/>
      <c r="AN292" s="289"/>
      <c r="AO292" s="289"/>
      <c r="AP292" s="289"/>
      <c r="AQ292" s="289"/>
      <c r="AR292" s="289"/>
      <c r="AS292" s="289"/>
      <c r="AT292" s="289"/>
      <c r="AU292" s="289"/>
      <c r="AV292" s="289"/>
      <c r="AW292" s="289"/>
      <c r="AX292" s="289"/>
      <c r="AY292" s="289"/>
    </row>
    <row r="293" spans="1:51" ht="13.5" customHeight="1">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c r="AA293" s="289"/>
      <c r="AB293" s="289"/>
      <c r="AC293" s="289"/>
      <c r="AD293" s="289"/>
      <c r="AE293" s="289"/>
      <c r="AF293" s="289"/>
      <c r="AG293" s="289"/>
      <c r="AH293" s="289"/>
      <c r="AI293" s="289"/>
      <c r="AJ293" s="289"/>
      <c r="AK293" s="289"/>
      <c r="AL293" s="289"/>
      <c r="AM293" s="289"/>
      <c r="AN293" s="289"/>
      <c r="AO293" s="289"/>
      <c r="AP293" s="289"/>
      <c r="AQ293" s="289"/>
      <c r="AR293" s="289"/>
      <c r="AS293" s="289"/>
      <c r="AT293" s="289"/>
      <c r="AU293" s="289"/>
      <c r="AV293" s="289"/>
      <c r="AW293" s="289"/>
      <c r="AX293" s="289"/>
      <c r="AY293" s="289"/>
    </row>
    <row r="294" spans="1:51" ht="13.5" customHeight="1">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c r="AA294" s="289"/>
      <c r="AB294" s="289"/>
      <c r="AC294" s="289"/>
      <c r="AD294" s="289"/>
      <c r="AE294" s="289"/>
      <c r="AF294" s="289"/>
      <c r="AG294" s="289"/>
      <c r="AH294" s="289"/>
      <c r="AI294" s="289"/>
      <c r="AJ294" s="289"/>
      <c r="AK294" s="289"/>
      <c r="AL294" s="289"/>
      <c r="AM294" s="289"/>
      <c r="AN294" s="289"/>
      <c r="AO294" s="289"/>
      <c r="AP294" s="289"/>
      <c r="AQ294" s="289"/>
      <c r="AR294" s="289"/>
      <c r="AS294" s="289"/>
      <c r="AT294" s="289"/>
      <c r="AU294" s="289"/>
      <c r="AV294" s="289"/>
      <c r="AW294" s="289"/>
      <c r="AX294" s="289"/>
      <c r="AY294" s="289"/>
    </row>
    <row r="295" spans="1:51" ht="13.5" customHeight="1">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c r="AA295" s="289"/>
      <c r="AB295" s="289"/>
      <c r="AC295" s="289"/>
      <c r="AD295" s="289"/>
      <c r="AE295" s="289"/>
      <c r="AF295" s="289"/>
      <c r="AG295" s="289"/>
      <c r="AH295" s="289"/>
      <c r="AI295" s="289"/>
      <c r="AJ295" s="289"/>
      <c r="AK295" s="289"/>
      <c r="AL295" s="289"/>
      <c r="AM295" s="289"/>
      <c r="AN295" s="289"/>
      <c r="AO295" s="289"/>
      <c r="AP295" s="289"/>
      <c r="AQ295" s="289"/>
      <c r="AR295" s="289"/>
      <c r="AS295" s="289"/>
      <c r="AT295" s="289"/>
      <c r="AU295" s="289"/>
      <c r="AV295" s="289"/>
      <c r="AW295" s="289"/>
      <c r="AX295" s="289"/>
      <c r="AY295" s="289"/>
    </row>
    <row r="296" spans="1:51" ht="13.5" customHeight="1">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c r="AA296" s="289"/>
      <c r="AB296" s="289"/>
      <c r="AC296" s="289"/>
      <c r="AD296" s="289"/>
      <c r="AE296" s="289"/>
      <c r="AF296" s="289"/>
      <c r="AG296" s="289"/>
      <c r="AH296" s="289"/>
      <c r="AI296" s="289"/>
      <c r="AJ296" s="289"/>
      <c r="AK296" s="289"/>
      <c r="AL296" s="289"/>
      <c r="AM296" s="289"/>
      <c r="AN296" s="289"/>
      <c r="AO296" s="289"/>
      <c r="AP296" s="289"/>
      <c r="AQ296" s="289"/>
      <c r="AR296" s="289"/>
      <c r="AS296" s="289"/>
      <c r="AT296" s="289"/>
      <c r="AU296" s="289"/>
      <c r="AV296" s="289"/>
      <c r="AW296" s="289"/>
      <c r="AX296" s="289"/>
      <c r="AY296" s="289"/>
    </row>
    <row r="297" spans="1:51" ht="13.5" customHeight="1">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c r="AA297" s="289"/>
      <c r="AB297" s="289"/>
      <c r="AC297" s="289"/>
      <c r="AD297" s="289"/>
      <c r="AE297" s="289"/>
      <c r="AF297" s="289"/>
      <c r="AG297" s="289"/>
      <c r="AH297" s="289"/>
      <c r="AI297" s="289"/>
      <c r="AJ297" s="289"/>
      <c r="AK297" s="289"/>
      <c r="AL297" s="289"/>
      <c r="AM297" s="289"/>
      <c r="AN297" s="289"/>
      <c r="AO297" s="289"/>
      <c r="AP297" s="289"/>
      <c r="AQ297" s="289"/>
      <c r="AR297" s="289"/>
      <c r="AS297" s="289"/>
      <c r="AT297" s="289"/>
      <c r="AU297" s="289"/>
      <c r="AV297" s="289"/>
      <c r="AW297" s="289"/>
      <c r="AX297" s="289"/>
      <c r="AY297" s="289"/>
    </row>
    <row r="298" spans="1:51" ht="13.5" customHeight="1">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c r="AA298" s="289"/>
      <c r="AB298" s="289"/>
      <c r="AC298" s="289"/>
      <c r="AD298" s="289"/>
      <c r="AE298" s="289"/>
      <c r="AF298" s="289"/>
      <c r="AG298" s="289"/>
      <c r="AH298" s="289"/>
      <c r="AI298" s="289"/>
      <c r="AJ298" s="289"/>
      <c r="AK298" s="289"/>
      <c r="AL298" s="289"/>
      <c r="AM298" s="289"/>
      <c r="AN298" s="289"/>
      <c r="AO298" s="289"/>
      <c r="AP298" s="289"/>
      <c r="AQ298" s="289"/>
      <c r="AR298" s="289"/>
      <c r="AS298" s="289"/>
      <c r="AT298" s="289"/>
      <c r="AU298" s="289"/>
      <c r="AV298" s="289"/>
      <c r="AW298" s="289"/>
      <c r="AX298" s="289"/>
      <c r="AY298" s="289"/>
    </row>
    <row r="299" spans="1:51" ht="13.5" customHeight="1">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c r="AA299" s="289"/>
      <c r="AB299" s="289"/>
      <c r="AC299" s="289"/>
      <c r="AD299" s="289"/>
      <c r="AE299" s="289"/>
      <c r="AF299" s="289"/>
      <c r="AG299" s="289"/>
      <c r="AH299" s="289"/>
      <c r="AI299" s="289"/>
      <c r="AJ299" s="289"/>
      <c r="AK299" s="289"/>
      <c r="AL299" s="289"/>
      <c r="AM299" s="289"/>
      <c r="AN299" s="289"/>
      <c r="AO299" s="289"/>
      <c r="AP299" s="289"/>
      <c r="AQ299" s="289"/>
      <c r="AR299" s="289"/>
      <c r="AS299" s="289"/>
      <c r="AT299" s="289"/>
      <c r="AU299" s="289"/>
      <c r="AV299" s="289"/>
      <c r="AW299" s="289"/>
      <c r="AX299" s="289"/>
      <c r="AY299" s="289"/>
    </row>
    <row r="300" spans="1:51" ht="13.5" customHeight="1">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c r="AA300" s="289"/>
      <c r="AB300" s="289"/>
      <c r="AC300" s="289"/>
      <c r="AD300" s="289"/>
      <c r="AE300" s="289"/>
      <c r="AF300" s="289"/>
      <c r="AG300" s="289"/>
      <c r="AH300" s="289"/>
      <c r="AI300" s="289"/>
      <c r="AJ300" s="289"/>
      <c r="AK300" s="289"/>
      <c r="AL300" s="289"/>
      <c r="AM300" s="289"/>
      <c r="AN300" s="289"/>
      <c r="AO300" s="289"/>
      <c r="AP300" s="289"/>
      <c r="AQ300" s="289"/>
      <c r="AR300" s="289"/>
      <c r="AS300" s="289"/>
      <c r="AT300" s="289"/>
      <c r="AU300" s="289"/>
      <c r="AV300" s="289"/>
      <c r="AW300" s="289"/>
      <c r="AX300" s="289"/>
      <c r="AY300" s="289"/>
    </row>
    <row r="301" spans="1:51" ht="13.5" customHeight="1">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c r="AA301" s="289"/>
      <c r="AB301" s="289"/>
      <c r="AC301" s="289"/>
      <c r="AD301" s="289"/>
      <c r="AE301" s="289"/>
      <c r="AF301" s="289"/>
      <c r="AG301" s="289"/>
      <c r="AH301" s="289"/>
      <c r="AI301" s="289"/>
      <c r="AJ301" s="289"/>
      <c r="AK301" s="289"/>
      <c r="AL301" s="289"/>
      <c r="AM301" s="289"/>
      <c r="AN301" s="289"/>
      <c r="AO301" s="289"/>
      <c r="AP301" s="289"/>
      <c r="AQ301" s="289"/>
      <c r="AR301" s="289"/>
      <c r="AS301" s="289"/>
      <c r="AT301" s="289"/>
      <c r="AU301" s="289"/>
      <c r="AV301" s="289"/>
      <c r="AW301" s="289"/>
      <c r="AX301" s="289"/>
      <c r="AY301" s="289"/>
    </row>
    <row r="302" spans="1:51" ht="13.5" customHeight="1">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c r="AA302" s="289"/>
      <c r="AB302" s="289"/>
      <c r="AC302" s="289"/>
      <c r="AD302" s="289"/>
      <c r="AE302" s="289"/>
      <c r="AF302" s="289"/>
      <c r="AG302" s="289"/>
      <c r="AH302" s="289"/>
      <c r="AI302" s="289"/>
      <c r="AJ302" s="289"/>
      <c r="AK302" s="289"/>
      <c r="AL302" s="289"/>
      <c r="AM302" s="289"/>
      <c r="AN302" s="289"/>
      <c r="AO302" s="289"/>
      <c r="AP302" s="289"/>
      <c r="AQ302" s="289"/>
      <c r="AR302" s="289"/>
      <c r="AS302" s="289"/>
      <c r="AT302" s="289"/>
      <c r="AU302" s="289"/>
      <c r="AV302" s="289"/>
      <c r="AW302" s="289"/>
      <c r="AX302" s="289"/>
      <c r="AY302" s="289"/>
    </row>
    <row r="303" spans="1:51" ht="13.5" customHeight="1">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c r="AA303" s="289"/>
      <c r="AB303" s="289"/>
      <c r="AC303" s="289"/>
      <c r="AD303" s="289"/>
      <c r="AE303" s="289"/>
      <c r="AF303" s="289"/>
      <c r="AG303" s="289"/>
      <c r="AH303" s="289"/>
      <c r="AI303" s="289"/>
      <c r="AJ303" s="289"/>
      <c r="AK303" s="289"/>
      <c r="AL303" s="289"/>
      <c r="AM303" s="289"/>
      <c r="AN303" s="289"/>
      <c r="AO303" s="289"/>
      <c r="AP303" s="289"/>
      <c r="AQ303" s="289"/>
      <c r="AR303" s="289"/>
      <c r="AS303" s="289"/>
      <c r="AT303" s="289"/>
      <c r="AU303" s="289"/>
      <c r="AV303" s="289"/>
      <c r="AW303" s="289"/>
      <c r="AX303" s="289"/>
      <c r="AY303" s="289"/>
    </row>
    <row r="304" spans="1:51" ht="13.5" customHeight="1">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c r="AA304" s="289"/>
      <c r="AB304" s="289"/>
      <c r="AC304" s="289"/>
      <c r="AD304" s="289"/>
      <c r="AE304" s="289"/>
      <c r="AF304" s="289"/>
      <c r="AG304" s="289"/>
      <c r="AH304" s="289"/>
      <c r="AI304" s="289"/>
      <c r="AJ304" s="289"/>
      <c r="AK304" s="289"/>
      <c r="AL304" s="289"/>
      <c r="AM304" s="289"/>
      <c r="AN304" s="289"/>
      <c r="AO304" s="289"/>
      <c r="AP304" s="289"/>
      <c r="AQ304" s="289"/>
      <c r="AR304" s="289"/>
      <c r="AS304" s="289"/>
      <c r="AT304" s="289"/>
      <c r="AU304" s="289"/>
      <c r="AV304" s="289"/>
      <c r="AW304" s="289"/>
      <c r="AX304" s="289"/>
      <c r="AY304" s="289"/>
    </row>
    <row r="305" spans="1:51" ht="13.5" customHeight="1">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c r="AA305" s="289"/>
      <c r="AB305" s="289"/>
      <c r="AC305" s="289"/>
      <c r="AD305" s="289"/>
      <c r="AE305" s="289"/>
      <c r="AF305" s="289"/>
      <c r="AG305" s="289"/>
      <c r="AH305" s="289"/>
      <c r="AI305" s="289"/>
      <c r="AJ305" s="289"/>
      <c r="AK305" s="289"/>
      <c r="AL305" s="289"/>
      <c r="AM305" s="289"/>
      <c r="AN305" s="289"/>
      <c r="AO305" s="289"/>
      <c r="AP305" s="289"/>
      <c r="AQ305" s="289"/>
      <c r="AR305" s="289"/>
      <c r="AS305" s="289"/>
      <c r="AT305" s="289"/>
      <c r="AU305" s="289"/>
      <c r="AV305" s="289"/>
      <c r="AW305" s="289"/>
      <c r="AX305" s="289"/>
      <c r="AY305" s="289"/>
    </row>
    <row r="306" spans="1:51" ht="13.5" customHeight="1">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c r="AA306" s="289"/>
      <c r="AB306" s="289"/>
      <c r="AC306" s="289"/>
      <c r="AD306" s="289"/>
      <c r="AE306" s="289"/>
      <c r="AF306" s="289"/>
      <c r="AG306" s="289"/>
      <c r="AH306" s="289"/>
      <c r="AI306" s="289"/>
      <c r="AJ306" s="289"/>
      <c r="AK306" s="289"/>
      <c r="AL306" s="289"/>
      <c r="AM306" s="289"/>
      <c r="AN306" s="289"/>
      <c r="AO306" s="289"/>
      <c r="AP306" s="289"/>
      <c r="AQ306" s="289"/>
      <c r="AR306" s="289"/>
      <c r="AS306" s="289"/>
      <c r="AT306" s="289"/>
      <c r="AU306" s="289"/>
      <c r="AV306" s="289"/>
      <c r="AW306" s="289"/>
      <c r="AX306" s="289"/>
      <c r="AY306" s="289"/>
    </row>
    <row r="307" spans="1:51" ht="13.5" customHeight="1">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c r="AA307" s="289"/>
      <c r="AB307" s="289"/>
      <c r="AC307" s="289"/>
      <c r="AD307" s="289"/>
      <c r="AE307" s="289"/>
      <c r="AF307" s="289"/>
      <c r="AG307" s="289"/>
      <c r="AH307" s="289"/>
      <c r="AI307" s="289"/>
      <c r="AJ307" s="289"/>
      <c r="AK307" s="289"/>
      <c r="AL307" s="289"/>
      <c r="AM307" s="289"/>
      <c r="AN307" s="289"/>
      <c r="AO307" s="289"/>
      <c r="AP307" s="289"/>
      <c r="AQ307" s="289"/>
      <c r="AR307" s="289"/>
      <c r="AS307" s="289"/>
      <c r="AT307" s="289"/>
      <c r="AU307" s="289"/>
      <c r="AV307" s="289"/>
      <c r="AW307" s="289"/>
      <c r="AX307" s="289"/>
      <c r="AY307" s="289"/>
    </row>
    <row r="308" spans="1:51" ht="13.5" customHeight="1">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c r="AA308" s="289"/>
      <c r="AB308" s="289"/>
      <c r="AC308" s="289"/>
      <c r="AD308" s="289"/>
      <c r="AE308" s="289"/>
      <c r="AF308" s="289"/>
      <c r="AG308" s="289"/>
      <c r="AH308" s="289"/>
      <c r="AI308" s="289"/>
      <c r="AJ308" s="289"/>
      <c r="AK308" s="289"/>
      <c r="AL308" s="289"/>
      <c r="AM308" s="289"/>
      <c r="AN308" s="289"/>
      <c r="AO308" s="289"/>
      <c r="AP308" s="289"/>
      <c r="AQ308" s="289"/>
      <c r="AR308" s="289"/>
      <c r="AS308" s="289"/>
      <c r="AT308" s="289"/>
      <c r="AU308" s="289"/>
      <c r="AV308" s="289"/>
      <c r="AW308" s="289"/>
      <c r="AX308" s="289"/>
      <c r="AY308" s="289"/>
    </row>
    <row r="309" spans="1:51" ht="13.5" customHeight="1">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c r="AA309" s="289"/>
      <c r="AB309" s="289"/>
      <c r="AC309" s="289"/>
      <c r="AD309" s="289"/>
      <c r="AE309" s="289"/>
      <c r="AF309" s="289"/>
      <c r="AG309" s="289"/>
      <c r="AH309" s="289"/>
      <c r="AI309" s="289"/>
      <c r="AJ309" s="289"/>
      <c r="AK309" s="289"/>
      <c r="AL309" s="289"/>
      <c r="AM309" s="289"/>
      <c r="AN309" s="289"/>
      <c r="AO309" s="289"/>
      <c r="AP309" s="289"/>
      <c r="AQ309" s="289"/>
      <c r="AR309" s="289"/>
      <c r="AS309" s="289"/>
      <c r="AT309" s="289"/>
      <c r="AU309" s="289"/>
      <c r="AV309" s="289"/>
      <c r="AW309" s="289"/>
      <c r="AX309" s="289"/>
      <c r="AY309" s="289"/>
    </row>
    <row r="310" spans="1:51" ht="13.5" customHeight="1">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c r="AA310" s="289"/>
      <c r="AB310" s="289"/>
      <c r="AC310" s="289"/>
      <c r="AD310" s="289"/>
      <c r="AE310" s="289"/>
      <c r="AF310" s="289"/>
      <c r="AG310" s="289"/>
      <c r="AH310" s="289"/>
      <c r="AI310" s="289"/>
      <c r="AJ310" s="289"/>
      <c r="AK310" s="289"/>
      <c r="AL310" s="289"/>
      <c r="AM310" s="289"/>
      <c r="AN310" s="289"/>
      <c r="AO310" s="289"/>
      <c r="AP310" s="289"/>
      <c r="AQ310" s="289"/>
      <c r="AR310" s="289"/>
      <c r="AS310" s="289"/>
      <c r="AT310" s="289"/>
      <c r="AU310" s="289"/>
      <c r="AV310" s="289"/>
      <c r="AW310" s="289"/>
      <c r="AX310" s="289"/>
      <c r="AY310" s="289"/>
    </row>
    <row r="311" spans="1:51" ht="13.5" customHeight="1">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c r="AA311" s="289"/>
      <c r="AB311" s="289"/>
      <c r="AC311" s="289"/>
      <c r="AD311" s="289"/>
      <c r="AE311" s="289"/>
      <c r="AF311" s="289"/>
      <c r="AG311" s="289"/>
      <c r="AH311" s="289"/>
      <c r="AI311" s="289"/>
      <c r="AJ311" s="289"/>
      <c r="AK311" s="289"/>
      <c r="AL311" s="289"/>
      <c r="AM311" s="289"/>
      <c r="AN311" s="289"/>
      <c r="AO311" s="289"/>
      <c r="AP311" s="289"/>
      <c r="AQ311" s="289"/>
      <c r="AR311" s="289"/>
      <c r="AS311" s="289"/>
      <c r="AT311" s="289"/>
      <c r="AU311" s="289"/>
      <c r="AV311" s="289"/>
      <c r="AW311" s="289"/>
      <c r="AX311" s="289"/>
      <c r="AY311" s="289"/>
    </row>
    <row r="312" spans="1:51" ht="13.5" customHeight="1">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c r="AA312" s="289"/>
      <c r="AB312" s="289"/>
      <c r="AC312" s="289"/>
      <c r="AD312" s="289"/>
      <c r="AE312" s="289"/>
      <c r="AF312" s="289"/>
      <c r="AG312" s="289"/>
      <c r="AH312" s="289"/>
      <c r="AI312" s="289"/>
      <c r="AJ312" s="289"/>
      <c r="AK312" s="289"/>
      <c r="AL312" s="289"/>
      <c r="AM312" s="289"/>
      <c r="AN312" s="289"/>
      <c r="AO312" s="289"/>
      <c r="AP312" s="289"/>
      <c r="AQ312" s="289"/>
      <c r="AR312" s="289"/>
      <c r="AS312" s="289"/>
      <c r="AT312" s="289"/>
      <c r="AU312" s="289"/>
      <c r="AV312" s="289"/>
      <c r="AW312" s="289"/>
      <c r="AX312" s="289"/>
      <c r="AY312" s="289"/>
    </row>
    <row r="313" spans="1:51" ht="13.5" customHeight="1">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c r="AA313" s="289"/>
      <c r="AB313" s="289"/>
      <c r="AC313" s="289"/>
      <c r="AD313" s="289"/>
      <c r="AE313" s="289"/>
      <c r="AF313" s="289"/>
      <c r="AG313" s="289"/>
      <c r="AH313" s="289"/>
      <c r="AI313" s="289"/>
      <c r="AJ313" s="289"/>
      <c r="AK313" s="289"/>
      <c r="AL313" s="289"/>
      <c r="AM313" s="289"/>
      <c r="AN313" s="289"/>
      <c r="AO313" s="289"/>
      <c r="AP313" s="289"/>
      <c r="AQ313" s="289"/>
      <c r="AR313" s="289"/>
      <c r="AS313" s="289"/>
      <c r="AT313" s="289"/>
      <c r="AU313" s="289"/>
      <c r="AV313" s="289"/>
      <c r="AW313" s="289"/>
      <c r="AX313" s="289"/>
      <c r="AY313" s="289"/>
    </row>
    <row r="314" spans="1:51" ht="13.5" customHeight="1">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c r="AA314" s="289"/>
      <c r="AB314" s="289"/>
      <c r="AC314" s="289"/>
      <c r="AD314" s="289"/>
      <c r="AE314" s="289"/>
      <c r="AF314" s="289"/>
      <c r="AG314" s="289"/>
      <c r="AH314" s="289"/>
      <c r="AI314" s="289"/>
      <c r="AJ314" s="289"/>
      <c r="AK314" s="289"/>
      <c r="AL314" s="289"/>
      <c r="AM314" s="289"/>
      <c r="AN314" s="289"/>
      <c r="AO314" s="289"/>
      <c r="AP314" s="289"/>
      <c r="AQ314" s="289"/>
      <c r="AR314" s="289"/>
      <c r="AS314" s="289"/>
      <c r="AT314" s="289"/>
      <c r="AU314" s="289"/>
      <c r="AV314" s="289"/>
      <c r="AW314" s="289"/>
      <c r="AX314" s="289"/>
      <c r="AY314" s="289"/>
    </row>
    <row r="315" spans="1:51" ht="13.5" customHeight="1">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c r="AA315" s="289"/>
      <c r="AB315" s="289"/>
      <c r="AC315" s="289"/>
      <c r="AD315" s="289"/>
      <c r="AE315" s="289"/>
      <c r="AF315" s="289"/>
      <c r="AG315" s="289"/>
      <c r="AH315" s="289"/>
      <c r="AI315" s="289"/>
      <c r="AJ315" s="289"/>
      <c r="AK315" s="289"/>
      <c r="AL315" s="289"/>
      <c r="AM315" s="289"/>
      <c r="AN315" s="289"/>
      <c r="AO315" s="289"/>
      <c r="AP315" s="289"/>
      <c r="AQ315" s="289"/>
      <c r="AR315" s="289"/>
      <c r="AS315" s="289"/>
      <c r="AT315" s="289"/>
      <c r="AU315" s="289"/>
      <c r="AV315" s="289"/>
      <c r="AW315" s="289"/>
      <c r="AX315" s="289"/>
      <c r="AY315" s="289"/>
    </row>
    <row r="316" spans="1:51" ht="13.5" customHeight="1">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c r="AA316" s="289"/>
      <c r="AB316" s="289"/>
      <c r="AC316" s="289"/>
      <c r="AD316" s="289"/>
      <c r="AE316" s="289"/>
      <c r="AF316" s="289"/>
      <c r="AG316" s="289"/>
      <c r="AH316" s="289"/>
      <c r="AI316" s="289"/>
      <c r="AJ316" s="289"/>
      <c r="AK316" s="289"/>
      <c r="AL316" s="289"/>
      <c r="AM316" s="289"/>
      <c r="AN316" s="289"/>
      <c r="AO316" s="289"/>
      <c r="AP316" s="289"/>
      <c r="AQ316" s="289"/>
      <c r="AR316" s="289"/>
      <c r="AS316" s="289"/>
      <c r="AT316" s="289"/>
      <c r="AU316" s="289"/>
      <c r="AV316" s="289"/>
      <c r="AW316" s="289"/>
      <c r="AX316" s="289"/>
      <c r="AY316" s="289"/>
    </row>
    <row r="317" spans="1:51" ht="13.5" customHeight="1">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c r="AA317" s="289"/>
      <c r="AB317" s="289"/>
      <c r="AC317" s="289"/>
      <c r="AD317" s="289"/>
      <c r="AE317" s="289"/>
      <c r="AF317" s="289"/>
      <c r="AG317" s="289"/>
      <c r="AH317" s="289"/>
      <c r="AI317" s="289"/>
      <c r="AJ317" s="289"/>
      <c r="AK317" s="289"/>
      <c r="AL317" s="289"/>
      <c r="AM317" s="289"/>
      <c r="AN317" s="289"/>
      <c r="AO317" s="289"/>
      <c r="AP317" s="289"/>
      <c r="AQ317" s="289"/>
      <c r="AR317" s="289"/>
      <c r="AS317" s="289"/>
      <c r="AT317" s="289"/>
      <c r="AU317" s="289"/>
      <c r="AV317" s="289"/>
      <c r="AW317" s="289"/>
      <c r="AX317" s="289"/>
      <c r="AY317" s="289"/>
    </row>
    <row r="318" spans="1:51" ht="13.5" customHeight="1">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c r="AA318" s="289"/>
      <c r="AB318" s="289"/>
      <c r="AC318" s="289"/>
      <c r="AD318" s="289"/>
      <c r="AE318" s="289"/>
      <c r="AF318" s="289"/>
      <c r="AG318" s="289"/>
      <c r="AH318" s="289"/>
      <c r="AI318" s="289"/>
      <c r="AJ318" s="289"/>
      <c r="AK318" s="289"/>
      <c r="AL318" s="289"/>
      <c r="AM318" s="289"/>
      <c r="AN318" s="289"/>
      <c r="AO318" s="289"/>
      <c r="AP318" s="289"/>
      <c r="AQ318" s="289"/>
      <c r="AR318" s="289"/>
      <c r="AS318" s="289"/>
      <c r="AT318" s="289"/>
      <c r="AU318" s="289"/>
      <c r="AV318" s="289"/>
      <c r="AW318" s="289"/>
      <c r="AX318" s="289"/>
      <c r="AY318" s="289"/>
    </row>
    <row r="319" spans="1:51" ht="13.5" customHeight="1">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c r="AA319" s="289"/>
      <c r="AB319" s="289"/>
      <c r="AC319" s="289"/>
      <c r="AD319" s="289"/>
      <c r="AE319" s="289"/>
      <c r="AF319" s="289"/>
      <c r="AG319" s="289"/>
      <c r="AH319" s="289"/>
      <c r="AI319" s="289"/>
      <c r="AJ319" s="289"/>
      <c r="AK319" s="289"/>
      <c r="AL319" s="289"/>
      <c r="AM319" s="289"/>
      <c r="AN319" s="289"/>
      <c r="AO319" s="289"/>
      <c r="AP319" s="289"/>
      <c r="AQ319" s="289"/>
      <c r="AR319" s="289"/>
      <c r="AS319" s="289"/>
      <c r="AT319" s="289"/>
      <c r="AU319" s="289"/>
      <c r="AV319" s="289"/>
      <c r="AW319" s="289"/>
      <c r="AX319" s="289"/>
      <c r="AY319" s="289"/>
    </row>
    <row r="320" spans="1:51" ht="13.5" customHeight="1">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c r="AA320" s="289"/>
      <c r="AB320" s="289"/>
      <c r="AC320" s="289"/>
      <c r="AD320" s="289"/>
      <c r="AE320" s="289"/>
      <c r="AF320" s="289"/>
      <c r="AG320" s="289"/>
      <c r="AH320" s="289"/>
      <c r="AI320" s="289"/>
      <c r="AJ320" s="289"/>
      <c r="AK320" s="289"/>
      <c r="AL320" s="289"/>
      <c r="AM320" s="289"/>
      <c r="AN320" s="289"/>
      <c r="AO320" s="289"/>
      <c r="AP320" s="289"/>
      <c r="AQ320" s="289"/>
      <c r="AR320" s="289"/>
      <c r="AS320" s="289"/>
      <c r="AT320" s="289"/>
      <c r="AU320" s="289"/>
      <c r="AV320" s="289"/>
      <c r="AW320" s="289"/>
      <c r="AX320" s="289"/>
      <c r="AY320" s="289"/>
    </row>
    <row r="321" spans="1:51" ht="13.5" customHeight="1">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c r="AA321" s="289"/>
      <c r="AB321" s="289"/>
      <c r="AC321" s="289"/>
      <c r="AD321" s="289"/>
      <c r="AE321" s="289"/>
      <c r="AF321" s="289"/>
      <c r="AG321" s="289"/>
      <c r="AH321" s="289"/>
      <c r="AI321" s="289"/>
      <c r="AJ321" s="289"/>
      <c r="AK321" s="289"/>
      <c r="AL321" s="289"/>
      <c r="AM321" s="289"/>
      <c r="AN321" s="289"/>
      <c r="AO321" s="289"/>
      <c r="AP321" s="289"/>
      <c r="AQ321" s="289"/>
      <c r="AR321" s="289"/>
      <c r="AS321" s="289"/>
      <c r="AT321" s="289"/>
      <c r="AU321" s="289"/>
      <c r="AV321" s="289"/>
      <c r="AW321" s="289"/>
      <c r="AX321" s="289"/>
      <c r="AY321" s="289"/>
    </row>
    <row r="322" spans="1:51" ht="13.5" customHeight="1">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c r="AB322" s="289"/>
      <c r="AC322" s="289"/>
      <c r="AD322" s="289"/>
      <c r="AE322" s="289"/>
      <c r="AF322" s="289"/>
      <c r="AG322" s="289"/>
      <c r="AH322" s="289"/>
      <c r="AI322" s="289"/>
      <c r="AJ322" s="289"/>
      <c r="AK322" s="289"/>
      <c r="AL322" s="289"/>
      <c r="AM322" s="289"/>
      <c r="AN322" s="289"/>
      <c r="AO322" s="289"/>
      <c r="AP322" s="289"/>
      <c r="AQ322" s="289"/>
      <c r="AR322" s="289"/>
      <c r="AS322" s="289"/>
      <c r="AT322" s="289"/>
      <c r="AU322" s="289"/>
      <c r="AV322" s="289"/>
      <c r="AW322" s="289"/>
      <c r="AX322" s="289"/>
      <c r="AY322" s="289"/>
    </row>
    <row r="323" spans="1:51" ht="13.5" customHeight="1">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c r="AA323" s="289"/>
      <c r="AB323" s="289"/>
      <c r="AC323" s="289"/>
      <c r="AD323" s="289"/>
      <c r="AE323" s="289"/>
      <c r="AF323" s="289"/>
      <c r="AG323" s="289"/>
      <c r="AH323" s="289"/>
      <c r="AI323" s="289"/>
      <c r="AJ323" s="289"/>
      <c r="AK323" s="289"/>
      <c r="AL323" s="289"/>
      <c r="AM323" s="289"/>
      <c r="AN323" s="289"/>
      <c r="AO323" s="289"/>
      <c r="AP323" s="289"/>
      <c r="AQ323" s="289"/>
      <c r="AR323" s="289"/>
      <c r="AS323" s="289"/>
      <c r="AT323" s="289"/>
      <c r="AU323" s="289"/>
      <c r="AV323" s="289"/>
      <c r="AW323" s="289"/>
      <c r="AX323" s="289"/>
      <c r="AY323" s="289"/>
    </row>
    <row r="324" spans="1:51" ht="13.5" customHeight="1">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c r="AA324" s="289"/>
      <c r="AB324" s="289"/>
      <c r="AC324" s="289"/>
      <c r="AD324" s="289"/>
      <c r="AE324" s="289"/>
      <c r="AF324" s="289"/>
      <c r="AG324" s="289"/>
      <c r="AH324" s="289"/>
      <c r="AI324" s="289"/>
      <c r="AJ324" s="289"/>
      <c r="AK324" s="289"/>
      <c r="AL324" s="289"/>
      <c r="AM324" s="289"/>
      <c r="AN324" s="289"/>
      <c r="AO324" s="289"/>
      <c r="AP324" s="289"/>
      <c r="AQ324" s="289"/>
      <c r="AR324" s="289"/>
      <c r="AS324" s="289"/>
      <c r="AT324" s="289"/>
      <c r="AU324" s="289"/>
      <c r="AV324" s="289"/>
      <c r="AW324" s="289"/>
      <c r="AX324" s="289"/>
      <c r="AY324" s="289"/>
    </row>
    <row r="325" spans="1:51" ht="13.5" customHeight="1">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c r="AA325" s="289"/>
      <c r="AB325" s="289"/>
      <c r="AC325" s="289"/>
      <c r="AD325" s="289"/>
      <c r="AE325" s="289"/>
      <c r="AF325" s="289"/>
      <c r="AG325" s="289"/>
      <c r="AH325" s="289"/>
      <c r="AI325" s="289"/>
      <c r="AJ325" s="289"/>
      <c r="AK325" s="289"/>
      <c r="AL325" s="289"/>
      <c r="AM325" s="289"/>
      <c r="AN325" s="289"/>
      <c r="AO325" s="289"/>
      <c r="AP325" s="289"/>
      <c r="AQ325" s="289"/>
      <c r="AR325" s="289"/>
      <c r="AS325" s="289"/>
      <c r="AT325" s="289"/>
      <c r="AU325" s="289"/>
      <c r="AV325" s="289"/>
      <c r="AW325" s="289"/>
      <c r="AX325" s="289"/>
      <c r="AY325" s="289"/>
    </row>
    <row r="326" spans="1:51" ht="13.5" customHeight="1">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c r="AA326" s="289"/>
      <c r="AB326" s="289"/>
      <c r="AC326" s="289"/>
      <c r="AD326" s="289"/>
      <c r="AE326" s="289"/>
      <c r="AF326" s="289"/>
      <c r="AG326" s="289"/>
      <c r="AH326" s="289"/>
      <c r="AI326" s="289"/>
      <c r="AJ326" s="289"/>
      <c r="AK326" s="289"/>
      <c r="AL326" s="289"/>
      <c r="AM326" s="289"/>
      <c r="AN326" s="289"/>
      <c r="AO326" s="289"/>
      <c r="AP326" s="289"/>
      <c r="AQ326" s="289"/>
      <c r="AR326" s="289"/>
      <c r="AS326" s="289"/>
      <c r="AT326" s="289"/>
      <c r="AU326" s="289"/>
      <c r="AV326" s="289"/>
      <c r="AW326" s="289"/>
      <c r="AX326" s="289"/>
      <c r="AY326" s="289"/>
    </row>
    <row r="327" spans="1:51" ht="13.5" customHeight="1">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c r="AA327" s="289"/>
      <c r="AB327" s="289"/>
      <c r="AC327" s="289"/>
      <c r="AD327" s="289"/>
      <c r="AE327" s="289"/>
      <c r="AF327" s="289"/>
      <c r="AG327" s="289"/>
      <c r="AH327" s="289"/>
      <c r="AI327" s="289"/>
      <c r="AJ327" s="289"/>
      <c r="AK327" s="289"/>
      <c r="AL327" s="289"/>
      <c r="AM327" s="289"/>
      <c r="AN327" s="289"/>
      <c r="AO327" s="289"/>
      <c r="AP327" s="289"/>
      <c r="AQ327" s="289"/>
      <c r="AR327" s="289"/>
      <c r="AS327" s="289"/>
      <c r="AT327" s="289"/>
      <c r="AU327" s="289"/>
      <c r="AV327" s="289"/>
      <c r="AW327" s="289"/>
      <c r="AX327" s="289"/>
      <c r="AY327" s="289"/>
    </row>
    <row r="328" spans="1:51" ht="13.5" customHeight="1">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c r="AA328" s="289"/>
      <c r="AB328" s="289"/>
      <c r="AC328" s="289"/>
      <c r="AD328" s="289"/>
      <c r="AE328" s="289"/>
      <c r="AF328" s="289"/>
      <c r="AG328" s="289"/>
      <c r="AH328" s="289"/>
      <c r="AI328" s="289"/>
      <c r="AJ328" s="289"/>
      <c r="AK328" s="289"/>
      <c r="AL328" s="289"/>
      <c r="AM328" s="289"/>
      <c r="AN328" s="289"/>
      <c r="AO328" s="289"/>
      <c r="AP328" s="289"/>
      <c r="AQ328" s="289"/>
      <c r="AR328" s="289"/>
      <c r="AS328" s="289"/>
      <c r="AT328" s="289"/>
      <c r="AU328" s="289"/>
      <c r="AV328" s="289"/>
      <c r="AW328" s="289"/>
      <c r="AX328" s="289"/>
      <c r="AY328" s="289"/>
    </row>
    <row r="329" spans="1:51" ht="13.5" customHeight="1">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c r="AA329" s="289"/>
      <c r="AB329" s="289"/>
      <c r="AC329" s="289"/>
      <c r="AD329" s="289"/>
      <c r="AE329" s="289"/>
      <c r="AF329" s="289"/>
      <c r="AG329" s="289"/>
      <c r="AH329" s="289"/>
      <c r="AI329" s="289"/>
      <c r="AJ329" s="289"/>
      <c r="AK329" s="289"/>
      <c r="AL329" s="289"/>
      <c r="AM329" s="289"/>
      <c r="AN329" s="289"/>
      <c r="AO329" s="289"/>
      <c r="AP329" s="289"/>
      <c r="AQ329" s="289"/>
      <c r="AR329" s="289"/>
      <c r="AS329" s="289"/>
      <c r="AT329" s="289"/>
      <c r="AU329" s="289"/>
      <c r="AV329" s="289"/>
      <c r="AW329" s="289"/>
      <c r="AX329" s="289"/>
      <c r="AY329" s="289"/>
    </row>
    <row r="330" spans="1:51" ht="13.5" customHeight="1">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c r="AA330" s="289"/>
      <c r="AB330" s="289"/>
      <c r="AC330" s="289"/>
      <c r="AD330" s="289"/>
      <c r="AE330" s="289"/>
      <c r="AF330" s="289"/>
      <c r="AG330" s="289"/>
      <c r="AH330" s="289"/>
      <c r="AI330" s="289"/>
      <c r="AJ330" s="289"/>
      <c r="AK330" s="289"/>
      <c r="AL330" s="289"/>
      <c r="AM330" s="289"/>
      <c r="AN330" s="289"/>
      <c r="AO330" s="289"/>
      <c r="AP330" s="289"/>
      <c r="AQ330" s="289"/>
      <c r="AR330" s="289"/>
      <c r="AS330" s="289"/>
      <c r="AT330" s="289"/>
      <c r="AU330" s="289"/>
      <c r="AV330" s="289"/>
      <c r="AW330" s="289"/>
      <c r="AX330" s="289"/>
      <c r="AY330" s="289"/>
    </row>
    <row r="331" spans="1:51" ht="13.5" customHeight="1">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c r="AA331" s="289"/>
      <c r="AB331" s="289"/>
      <c r="AC331" s="289"/>
      <c r="AD331" s="289"/>
      <c r="AE331" s="289"/>
      <c r="AF331" s="289"/>
      <c r="AG331" s="289"/>
      <c r="AH331" s="289"/>
      <c r="AI331" s="289"/>
      <c r="AJ331" s="289"/>
      <c r="AK331" s="289"/>
      <c r="AL331" s="289"/>
      <c r="AM331" s="289"/>
      <c r="AN331" s="289"/>
      <c r="AO331" s="289"/>
      <c r="AP331" s="289"/>
      <c r="AQ331" s="289"/>
      <c r="AR331" s="289"/>
      <c r="AS331" s="289"/>
      <c r="AT331" s="289"/>
      <c r="AU331" s="289"/>
      <c r="AV331" s="289"/>
      <c r="AW331" s="289"/>
      <c r="AX331" s="289"/>
      <c r="AY331" s="289"/>
    </row>
    <row r="332" spans="1:51" ht="13.5" customHeight="1">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c r="AA332" s="289"/>
      <c r="AB332" s="289"/>
      <c r="AC332" s="289"/>
      <c r="AD332" s="289"/>
      <c r="AE332" s="289"/>
      <c r="AF332" s="289"/>
      <c r="AG332" s="289"/>
      <c r="AH332" s="289"/>
      <c r="AI332" s="289"/>
      <c r="AJ332" s="289"/>
      <c r="AK332" s="289"/>
      <c r="AL332" s="289"/>
      <c r="AM332" s="289"/>
      <c r="AN332" s="289"/>
      <c r="AO332" s="289"/>
      <c r="AP332" s="289"/>
      <c r="AQ332" s="289"/>
      <c r="AR332" s="289"/>
      <c r="AS332" s="289"/>
      <c r="AT332" s="289"/>
      <c r="AU332" s="289"/>
      <c r="AV332" s="289"/>
      <c r="AW332" s="289"/>
      <c r="AX332" s="289"/>
      <c r="AY332" s="289"/>
    </row>
    <row r="333" spans="1:51" ht="13.5" customHeight="1">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c r="AA333" s="289"/>
      <c r="AB333" s="289"/>
      <c r="AC333" s="289"/>
      <c r="AD333" s="289"/>
      <c r="AE333" s="289"/>
      <c r="AF333" s="289"/>
      <c r="AG333" s="289"/>
      <c r="AH333" s="289"/>
      <c r="AI333" s="289"/>
      <c r="AJ333" s="289"/>
      <c r="AK333" s="289"/>
      <c r="AL333" s="289"/>
      <c r="AM333" s="289"/>
      <c r="AN333" s="289"/>
      <c r="AO333" s="289"/>
      <c r="AP333" s="289"/>
      <c r="AQ333" s="289"/>
      <c r="AR333" s="289"/>
      <c r="AS333" s="289"/>
      <c r="AT333" s="289"/>
      <c r="AU333" s="289"/>
      <c r="AV333" s="289"/>
      <c r="AW333" s="289"/>
      <c r="AX333" s="289"/>
      <c r="AY333" s="289"/>
    </row>
    <row r="334" spans="1:51" ht="13.5" customHeight="1">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c r="AA334" s="289"/>
      <c r="AB334" s="289"/>
      <c r="AC334" s="289"/>
      <c r="AD334" s="289"/>
      <c r="AE334" s="289"/>
      <c r="AF334" s="289"/>
      <c r="AG334" s="289"/>
      <c r="AH334" s="289"/>
      <c r="AI334" s="289"/>
      <c r="AJ334" s="289"/>
      <c r="AK334" s="289"/>
      <c r="AL334" s="289"/>
      <c r="AM334" s="289"/>
      <c r="AN334" s="289"/>
      <c r="AO334" s="289"/>
      <c r="AP334" s="289"/>
      <c r="AQ334" s="289"/>
      <c r="AR334" s="289"/>
      <c r="AS334" s="289"/>
      <c r="AT334" s="289"/>
      <c r="AU334" s="289"/>
      <c r="AV334" s="289"/>
      <c r="AW334" s="289"/>
      <c r="AX334" s="289"/>
      <c r="AY334" s="289"/>
    </row>
    <row r="335" spans="1:51" ht="13.5" customHeight="1">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c r="AA335" s="289"/>
      <c r="AB335" s="289"/>
      <c r="AC335" s="289"/>
      <c r="AD335" s="289"/>
      <c r="AE335" s="289"/>
      <c r="AF335" s="289"/>
      <c r="AG335" s="289"/>
      <c r="AH335" s="289"/>
      <c r="AI335" s="289"/>
      <c r="AJ335" s="289"/>
      <c r="AK335" s="289"/>
      <c r="AL335" s="289"/>
      <c r="AM335" s="289"/>
      <c r="AN335" s="289"/>
      <c r="AO335" s="289"/>
      <c r="AP335" s="289"/>
      <c r="AQ335" s="289"/>
      <c r="AR335" s="289"/>
      <c r="AS335" s="289"/>
      <c r="AT335" s="289"/>
      <c r="AU335" s="289"/>
      <c r="AV335" s="289"/>
      <c r="AW335" s="289"/>
      <c r="AX335" s="289"/>
      <c r="AY335" s="289"/>
    </row>
    <row r="336" spans="1:51" ht="13.5" customHeight="1">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c r="AA336" s="289"/>
      <c r="AB336" s="289"/>
      <c r="AC336" s="289"/>
      <c r="AD336" s="289"/>
      <c r="AE336" s="289"/>
      <c r="AF336" s="289"/>
      <c r="AG336" s="289"/>
      <c r="AH336" s="289"/>
      <c r="AI336" s="289"/>
      <c r="AJ336" s="289"/>
      <c r="AK336" s="289"/>
      <c r="AL336" s="289"/>
      <c r="AM336" s="289"/>
      <c r="AN336" s="289"/>
      <c r="AO336" s="289"/>
      <c r="AP336" s="289"/>
      <c r="AQ336" s="289"/>
      <c r="AR336" s="289"/>
      <c r="AS336" s="289"/>
      <c r="AT336" s="289"/>
      <c r="AU336" s="289"/>
      <c r="AV336" s="289"/>
      <c r="AW336" s="289"/>
      <c r="AX336" s="289"/>
      <c r="AY336" s="289"/>
    </row>
    <row r="337" spans="1:51" ht="13.5" customHeight="1">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c r="AA337" s="289"/>
      <c r="AB337" s="289"/>
      <c r="AC337" s="289"/>
      <c r="AD337" s="289"/>
      <c r="AE337" s="289"/>
      <c r="AF337" s="289"/>
      <c r="AG337" s="289"/>
      <c r="AH337" s="289"/>
      <c r="AI337" s="289"/>
      <c r="AJ337" s="289"/>
      <c r="AK337" s="289"/>
      <c r="AL337" s="289"/>
      <c r="AM337" s="289"/>
      <c r="AN337" s="289"/>
      <c r="AO337" s="289"/>
      <c r="AP337" s="289"/>
      <c r="AQ337" s="289"/>
      <c r="AR337" s="289"/>
      <c r="AS337" s="289"/>
      <c r="AT337" s="289"/>
      <c r="AU337" s="289"/>
      <c r="AV337" s="289"/>
      <c r="AW337" s="289"/>
      <c r="AX337" s="289"/>
      <c r="AY337" s="289"/>
    </row>
    <row r="338" spans="1:51" ht="13.5" customHeight="1">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c r="AA338" s="289"/>
      <c r="AB338" s="289"/>
      <c r="AC338" s="289"/>
      <c r="AD338" s="289"/>
      <c r="AE338" s="289"/>
      <c r="AF338" s="289"/>
      <c r="AG338" s="289"/>
      <c r="AH338" s="289"/>
      <c r="AI338" s="289"/>
      <c r="AJ338" s="289"/>
      <c r="AK338" s="289"/>
      <c r="AL338" s="289"/>
      <c r="AM338" s="289"/>
      <c r="AN338" s="289"/>
      <c r="AO338" s="289"/>
      <c r="AP338" s="289"/>
      <c r="AQ338" s="289"/>
      <c r="AR338" s="289"/>
      <c r="AS338" s="289"/>
      <c r="AT338" s="289"/>
      <c r="AU338" s="289"/>
      <c r="AV338" s="289"/>
      <c r="AW338" s="289"/>
      <c r="AX338" s="289"/>
      <c r="AY338" s="289"/>
    </row>
    <row r="339" spans="1:51" ht="13.5" customHeight="1">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c r="AA339" s="289"/>
      <c r="AB339" s="289"/>
      <c r="AC339" s="289"/>
      <c r="AD339" s="289"/>
      <c r="AE339" s="289"/>
      <c r="AF339" s="289"/>
      <c r="AG339" s="289"/>
      <c r="AH339" s="289"/>
      <c r="AI339" s="289"/>
      <c r="AJ339" s="289"/>
      <c r="AK339" s="289"/>
      <c r="AL339" s="289"/>
      <c r="AM339" s="289"/>
      <c r="AN339" s="289"/>
      <c r="AO339" s="289"/>
      <c r="AP339" s="289"/>
      <c r="AQ339" s="289"/>
      <c r="AR339" s="289"/>
      <c r="AS339" s="289"/>
      <c r="AT339" s="289"/>
      <c r="AU339" s="289"/>
      <c r="AV339" s="289"/>
      <c r="AW339" s="289"/>
      <c r="AX339" s="289"/>
      <c r="AY339" s="289"/>
    </row>
    <row r="340" spans="1:51" ht="13.5" customHeight="1">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c r="AA340" s="289"/>
      <c r="AB340" s="289"/>
      <c r="AC340" s="289"/>
      <c r="AD340" s="289"/>
      <c r="AE340" s="289"/>
      <c r="AF340" s="289"/>
      <c r="AG340" s="289"/>
      <c r="AH340" s="289"/>
      <c r="AI340" s="289"/>
      <c r="AJ340" s="289"/>
      <c r="AK340" s="289"/>
      <c r="AL340" s="289"/>
      <c r="AM340" s="289"/>
      <c r="AN340" s="289"/>
      <c r="AO340" s="289"/>
      <c r="AP340" s="289"/>
      <c r="AQ340" s="289"/>
      <c r="AR340" s="289"/>
      <c r="AS340" s="289"/>
      <c r="AT340" s="289"/>
      <c r="AU340" s="289"/>
      <c r="AV340" s="289"/>
      <c r="AW340" s="289"/>
      <c r="AX340" s="289"/>
      <c r="AY340" s="289"/>
    </row>
    <row r="341" spans="1:51" ht="13.5" customHeight="1">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c r="AA341" s="289"/>
      <c r="AB341" s="289"/>
      <c r="AC341" s="289"/>
      <c r="AD341" s="289"/>
      <c r="AE341" s="289"/>
      <c r="AF341" s="289"/>
      <c r="AG341" s="289"/>
      <c r="AH341" s="289"/>
      <c r="AI341" s="289"/>
      <c r="AJ341" s="289"/>
      <c r="AK341" s="289"/>
      <c r="AL341" s="289"/>
      <c r="AM341" s="289"/>
      <c r="AN341" s="289"/>
      <c r="AO341" s="289"/>
      <c r="AP341" s="289"/>
      <c r="AQ341" s="289"/>
      <c r="AR341" s="289"/>
      <c r="AS341" s="289"/>
      <c r="AT341" s="289"/>
      <c r="AU341" s="289"/>
      <c r="AV341" s="289"/>
      <c r="AW341" s="289"/>
      <c r="AX341" s="289"/>
      <c r="AY341" s="289"/>
    </row>
    <row r="342" spans="1:51" ht="13.5" customHeight="1">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c r="AA342" s="289"/>
      <c r="AB342" s="289"/>
      <c r="AC342" s="289"/>
      <c r="AD342" s="289"/>
      <c r="AE342" s="289"/>
      <c r="AF342" s="289"/>
      <c r="AG342" s="289"/>
      <c r="AH342" s="289"/>
      <c r="AI342" s="289"/>
      <c r="AJ342" s="289"/>
      <c r="AK342" s="289"/>
      <c r="AL342" s="289"/>
      <c r="AM342" s="289"/>
      <c r="AN342" s="289"/>
      <c r="AO342" s="289"/>
      <c r="AP342" s="289"/>
      <c r="AQ342" s="289"/>
      <c r="AR342" s="289"/>
      <c r="AS342" s="289"/>
      <c r="AT342" s="289"/>
      <c r="AU342" s="289"/>
      <c r="AV342" s="289"/>
      <c r="AW342" s="289"/>
      <c r="AX342" s="289"/>
      <c r="AY342" s="289"/>
    </row>
    <row r="343" spans="1:51" ht="13.5" customHeight="1">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c r="AA343" s="289"/>
      <c r="AB343" s="289"/>
      <c r="AC343" s="289"/>
      <c r="AD343" s="289"/>
      <c r="AE343" s="289"/>
      <c r="AF343" s="289"/>
      <c r="AG343" s="289"/>
      <c r="AH343" s="289"/>
      <c r="AI343" s="289"/>
      <c r="AJ343" s="289"/>
      <c r="AK343" s="289"/>
      <c r="AL343" s="289"/>
      <c r="AM343" s="289"/>
      <c r="AN343" s="289"/>
      <c r="AO343" s="289"/>
      <c r="AP343" s="289"/>
      <c r="AQ343" s="289"/>
      <c r="AR343" s="289"/>
      <c r="AS343" s="289"/>
      <c r="AT343" s="289"/>
      <c r="AU343" s="289"/>
      <c r="AV343" s="289"/>
      <c r="AW343" s="289"/>
      <c r="AX343" s="289"/>
      <c r="AY343" s="289"/>
    </row>
    <row r="344" spans="1:51" ht="13.5" customHeight="1">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c r="AA344" s="289"/>
      <c r="AB344" s="289"/>
      <c r="AC344" s="289"/>
      <c r="AD344" s="289"/>
      <c r="AE344" s="289"/>
      <c r="AF344" s="289"/>
      <c r="AG344" s="289"/>
      <c r="AH344" s="289"/>
      <c r="AI344" s="289"/>
      <c r="AJ344" s="289"/>
      <c r="AK344" s="289"/>
      <c r="AL344" s="289"/>
      <c r="AM344" s="289"/>
      <c r="AN344" s="289"/>
      <c r="AO344" s="289"/>
      <c r="AP344" s="289"/>
      <c r="AQ344" s="289"/>
      <c r="AR344" s="289"/>
      <c r="AS344" s="289"/>
      <c r="AT344" s="289"/>
      <c r="AU344" s="289"/>
      <c r="AV344" s="289"/>
      <c r="AW344" s="289"/>
      <c r="AX344" s="289"/>
      <c r="AY344" s="289"/>
    </row>
    <row r="345" spans="1:51" ht="13.5" customHeight="1">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c r="AA345" s="289"/>
      <c r="AB345" s="289"/>
      <c r="AC345" s="289"/>
      <c r="AD345" s="289"/>
      <c r="AE345" s="289"/>
      <c r="AF345" s="289"/>
      <c r="AG345" s="289"/>
      <c r="AH345" s="289"/>
      <c r="AI345" s="289"/>
      <c r="AJ345" s="289"/>
      <c r="AK345" s="289"/>
      <c r="AL345" s="289"/>
      <c r="AM345" s="289"/>
      <c r="AN345" s="289"/>
      <c r="AO345" s="289"/>
      <c r="AP345" s="289"/>
      <c r="AQ345" s="289"/>
      <c r="AR345" s="289"/>
      <c r="AS345" s="289"/>
      <c r="AT345" s="289"/>
      <c r="AU345" s="289"/>
      <c r="AV345" s="289"/>
      <c r="AW345" s="289"/>
      <c r="AX345" s="289"/>
      <c r="AY345" s="289"/>
    </row>
    <row r="346" spans="1:51" ht="13.5" customHeight="1">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c r="AA346" s="289"/>
      <c r="AB346" s="289"/>
      <c r="AC346" s="289"/>
      <c r="AD346" s="289"/>
      <c r="AE346" s="289"/>
      <c r="AF346" s="289"/>
      <c r="AG346" s="289"/>
      <c r="AH346" s="289"/>
      <c r="AI346" s="289"/>
      <c r="AJ346" s="289"/>
      <c r="AK346" s="289"/>
      <c r="AL346" s="289"/>
      <c r="AM346" s="289"/>
      <c r="AN346" s="289"/>
      <c r="AO346" s="289"/>
      <c r="AP346" s="289"/>
      <c r="AQ346" s="289"/>
      <c r="AR346" s="289"/>
      <c r="AS346" s="289"/>
      <c r="AT346" s="289"/>
      <c r="AU346" s="289"/>
      <c r="AV346" s="289"/>
      <c r="AW346" s="289"/>
      <c r="AX346" s="289"/>
      <c r="AY346" s="289"/>
    </row>
    <row r="347" spans="1:51" ht="13.5" customHeight="1">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c r="AA347" s="289"/>
      <c r="AB347" s="289"/>
      <c r="AC347" s="289"/>
      <c r="AD347" s="289"/>
      <c r="AE347" s="289"/>
      <c r="AF347" s="289"/>
      <c r="AG347" s="289"/>
      <c r="AH347" s="289"/>
      <c r="AI347" s="289"/>
      <c r="AJ347" s="289"/>
      <c r="AK347" s="289"/>
      <c r="AL347" s="289"/>
      <c r="AM347" s="289"/>
      <c r="AN347" s="289"/>
      <c r="AO347" s="289"/>
      <c r="AP347" s="289"/>
      <c r="AQ347" s="289"/>
      <c r="AR347" s="289"/>
      <c r="AS347" s="289"/>
      <c r="AT347" s="289"/>
      <c r="AU347" s="289"/>
      <c r="AV347" s="289"/>
      <c r="AW347" s="289"/>
      <c r="AX347" s="289"/>
      <c r="AY347" s="289"/>
    </row>
    <row r="348" spans="1:51" ht="13.5" customHeight="1">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c r="AA348" s="289"/>
      <c r="AB348" s="289"/>
      <c r="AC348" s="289"/>
      <c r="AD348" s="289"/>
      <c r="AE348" s="289"/>
      <c r="AF348" s="289"/>
      <c r="AG348" s="289"/>
      <c r="AH348" s="289"/>
      <c r="AI348" s="289"/>
      <c r="AJ348" s="289"/>
      <c r="AK348" s="289"/>
      <c r="AL348" s="289"/>
      <c r="AM348" s="289"/>
      <c r="AN348" s="289"/>
      <c r="AO348" s="289"/>
      <c r="AP348" s="289"/>
      <c r="AQ348" s="289"/>
      <c r="AR348" s="289"/>
      <c r="AS348" s="289"/>
      <c r="AT348" s="289"/>
      <c r="AU348" s="289"/>
      <c r="AV348" s="289"/>
      <c r="AW348" s="289"/>
      <c r="AX348" s="289"/>
      <c r="AY348" s="289"/>
    </row>
    <row r="349" spans="1:51" ht="13.5" customHeight="1">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c r="AA349" s="289"/>
      <c r="AB349" s="289"/>
      <c r="AC349" s="289"/>
      <c r="AD349" s="289"/>
      <c r="AE349" s="289"/>
      <c r="AF349" s="289"/>
      <c r="AG349" s="289"/>
      <c r="AH349" s="289"/>
      <c r="AI349" s="289"/>
      <c r="AJ349" s="289"/>
      <c r="AK349" s="289"/>
      <c r="AL349" s="289"/>
      <c r="AM349" s="289"/>
      <c r="AN349" s="289"/>
      <c r="AO349" s="289"/>
      <c r="AP349" s="289"/>
      <c r="AQ349" s="289"/>
      <c r="AR349" s="289"/>
      <c r="AS349" s="289"/>
      <c r="AT349" s="289"/>
      <c r="AU349" s="289"/>
      <c r="AV349" s="289"/>
      <c r="AW349" s="289"/>
      <c r="AX349" s="289"/>
      <c r="AY349" s="289"/>
    </row>
    <row r="350" spans="1:51" ht="13.5" customHeight="1">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c r="AA350" s="289"/>
      <c r="AB350" s="289"/>
      <c r="AC350" s="289"/>
      <c r="AD350" s="289"/>
      <c r="AE350" s="289"/>
      <c r="AF350" s="289"/>
      <c r="AG350" s="289"/>
      <c r="AH350" s="289"/>
      <c r="AI350" s="289"/>
      <c r="AJ350" s="289"/>
      <c r="AK350" s="289"/>
      <c r="AL350" s="289"/>
      <c r="AM350" s="289"/>
      <c r="AN350" s="289"/>
      <c r="AO350" s="289"/>
      <c r="AP350" s="289"/>
      <c r="AQ350" s="289"/>
      <c r="AR350" s="289"/>
      <c r="AS350" s="289"/>
      <c r="AT350" s="289"/>
      <c r="AU350" s="289"/>
      <c r="AV350" s="289"/>
      <c r="AW350" s="289"/>
      <c r="AX350" s="289"/>
      <c r="AY350" s="289"/>
    </row>
    <row r="351" spans="1:51" ht="13.5" customHeight="1">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c r="AA351" s="289"/>
      <c r="AB351" s="289"/>
      <c r="AC351" s="289"/>
      <c r="AD351" s="289"/>
      <c r="AE351" s="289"/>
      <c r="AF351" s="289"/>
      <c r="AG351" s="289"/>
      <c r="AH351" s="289"/>
      <c r="AI351" s="289"/>
      <c r="AJ351" s="289"/>
      <c r="AK351" s="289"/>
      <c r="AL351" s="289"/>
      <c r="AM351" s="289"/>
      <c r="AN351" s="289"/>
      <c r="AO351" s="289"/>
      <c r="AP351" s="289"/>
      <c r="AQ351" s="289"/>
      <c r="AR351" s="289"/>
      <c r="AS351" s="289"/>
      <c r="AT351" s="289"/>
      <c r="AU351" s="289"/>
      <c r="AV351" s="289"/>
      <c r="AW351" s="289"/>
      <c r="AX351" s="289"/>
      <c r="AY351" s="289"/>
    </row>
    <row r="352" spans="1:51" ht="13.5" customHeight="1">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c r="AA352" s="289"/>
      <c r="AB352" s="289"/>
      <c r="AC352" s="289"/>
      <c r="AD352" s="289"/>
      <c r="AE352" s="289"/>
      <c r="AF352" s="289"/>
      <c r="AG352" s="289"/>
      <c r="AH352" s="289"/>
      <c r="AI352" s="289"/>
      <c r="AJ352" s="289"/>
      <c r="AK352" s="289"/>
      <c r="AL352" s="289"/>
      <c r="AM352" s="289"/>
      <c r="AN352" s="289"/>
      <c r="AO352" s="289"/>
      <c r="AP352" s="289"/>
      <c r="AQ352" s="289"/>
      <c r="AR352" s="289"/>
      <c r="AS352" s="289"/>
      <c r="AT352" s="289"/>
      <c r="AU352" s="289"/>
      <c r="AV352" s="289"/>
      <c r="AW352" s="289"/>
      <c r="AX352" s="289"/>
      <c r="AY352" s="289"/>
    </row>
    <row r="353" spans="1:51" ht="13.5" customHeight="1">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c r="AA353" s="289"/>
      <c r="AB353" s="289"/>
      <c r="AC353" s="289"/>
      <c r="AD353" s="289"/>
      <c r="AE353" s="289"/>
      <c r="AF353" s="289"/>
      <c r="AG353" s="289"/>
      <c r="AH353" s="289"/>
      <c r="AI353" s="289"/>
      <c r="AJ353" s="289"/>
      <c r="AK353" s="289"/>
      <c r="AL353" s="289"/>
      <c r="AM353" s="289"/>
      <c r="AN353" s="289"/>
      <c r="AO353" s="289"/>
      <c r="AP353" s="289"/>
      <c r="AQ353" s="289"/>
      <c r="AR353" s="289"/>
      <c r="AS353" s="289"/>
      <c r="AT353" s="289"/>
      <c r="AU353" s="289"/>
      <c r="AV353" s="289"/>
      <c r="AW353" s="289"/>
      <c r="AX353" s="289"/>
      <c r="AY353" s="289"/>
    </row>
    <row r="354" spans="1:51" ht="13.5" customHeight="1">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c r="AB354" s="289"/>
      <c r="AC354" s="289"/>
      <c r="AD354" s="289"/>
      <c r="AE354" s="289"/>
      <c r="AF354" s="289"/>
      <c r="AG354" s="289"/>
      <c r="AH354" s="289"/>
      <c r="AI354" s="289"/>
      <c r="AJ354" s="289"/>
      <c r="AK354" s="289"/>
      <c r="AL354" s="289"/>
      <c r="AM354" s="289"/>
      <c r="AN354" s="289"/>
      <c r="AO354" s="289"/>
      <c r="AP354" s="289"/>
      <c r="AQ354" s="289"/>
      <c r="AR354" s="289"/>
      <c r="AS354" s="289"/>
      <c r="AT354" s="289"/>
      <c r="AU354" s="289"/>
      <c r="AV354" s="289"/>
      <c r="AW354" s="289"/>
      <c r="AX354" s="289"/>
      <c r="AY354" s="289"/>
    </row>
    <row r="355" spans="1:51" ht="13.5" customHeight="1">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c r="AA355" s="289"/>
      <c r="AB355" s="289"/>
      <c r="AC355" s="289"/>
      <c r="AD355" s="289"/>
      <c r="AE355" s="289"/>
      <c r="AF355" s="289"/>
      <c r="AG355" s="289"/>
      <c r="AH355" s="289"/>
      <c r="AI355" s="289"/>
      <c r="AJ355" s="289"/>
      <c r="AK355" s="289"/>
      <c r="AL355" s="289"/>
      <c r="AM355" s="289"/>
      <c r="AN355" s="289"/>
      <c r="AO355" s="289"/>
      <c r="AP355" s="289"/>
      <c r="AQ355" s="289"/>
      <c r="AR355" s="289"/>
      <c r="AS355" s="289"/>
      <c r="AT355" s="289"/>
      <c r="AU355" s="289"/>
      <c r="AV355" s="289"/>
      <c r="AW355" s="289"/>
      <c r="AX355" s="289"/>
      <c r="AY355" s="289"/>
    </row>
    <row r="356" spans="1:51" ht="13.5" customHeight="1">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c r="AA356" s="289"/>
      <c r="AB356" s="289"/>
      <c r="AC356" s="289"/>
      <c r="AD356" s="289"/>
      <c r="AE356" s="289"/>
      <c r="AF356" s="289"/>
      <c r="AG356" s="289"/>
      <c r="AH356" s="289"/>
      <c r="AI356" s="289"/>
      <c r="AJ356" s="289"/>
      <c r="AK356" s="289"/>
      <c r="AL356" s="289"/>
      <c r="AM356" s="289"/>
      <c r="AN356" s="289"/>
      <c r="AO356" s="289"/>
      <c r="AP356" s="289"/>
      <c r="AQ356" s="289"/>
      <c r="AR356" s="289"/>
      <c r="AS356" s="289"/>
      <c r="AT356" s="289"/>
      <c r="AU356" s="289"/>
      <c r="AV356" s="289"/>
      <c r="AW356" s="289"/>
      <c r="AX356" s="289"/>
      <c r="AY356" s="289"/>
    </row>
    <row r="357" spans="1:51" ht="13.5" customHeight="1">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c r="AA357" s="289"/>
      <c r="AB357" s="289"/>
      <c r="AC357" s="289"/>
      <c r="AD357" s="289"/>
      <c r="AE357" s="289"/>
      <c r="AF357" s="289"/>
      <c r="AG357" s="289"/>
      <c r="AH357" s="289"/>
      <c r="AI357" s="289"/>
      <c r="AJ357" s="289"/>
      <c r="AK357" s="289"/>
      <c r="AL357" s="289"/>
      <c r="AM357" s="289"/>
      <c r="AN357" s="289"/>
      <c r="AO357" s="289"/>
      <c r="AP357" s="289"/>
      <c r="AQ357" s="289"/>
      <c r="AR357" s="289"/>
      <c r="AS357" s="289"/>
      <c r="AT357" s="289"/>
      <c r="AU357" s="289"/>
      <c r="AV357" s="289"/>
      <c r="AW357" s="289"/>
      <c r="AX357" s="289"/>
      <c r="AY357" s="289"/>
    </row>
    <row r="358" spans="1:51" ht="13.5" customHeight="1">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c r="AA358" s="289"/>
      <c r="AB358" s="289"/>
      <c r="AC358" s="289"/>
      <c r="AD358" s="289"/>
      <c r="AE358" s="289"/>
      <c r="AF358" s="289"/>
      <c r="AG358" s="289"/>
      <c r="AH358" s="289"/>
      <c r="AI358" s="289"/>
      <c r="AJ358" s="289"/>
      <c r="AK358" s="289"/>
      <c r="AL358" s="289"/>
      <c r="AM358" s="289"/>
      <c r="AN358" s="289"/>
      <c r="AO358" s="289"/>
      <c r="AP358" s="289"/>
      <c r="AQ358" s="289"/>
      <c r="AR358" s="289"/>
      <c r="AS358" s="289"/>
      <c r="AT358" s="289"/>
      <c r="AU358" s="289"/>
      <c r="AV358" s="289"/>
      <c r="AW358" s="289"/>
      <c r="AX358" s="289"/>
      <c r="AY358" s="289"/>
    </row>
    <row r="359" spans="1:51" ht="13.5" customHeight="1">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c r="AA359" s="289"/>
      <c r="AB359" s="289"/>
      <c r="AC359" s="289"/>
      <c r="AD359" s="289"/>
      <c r="AE359" s="289"/>
      <c r="AF359" s="289"/>
      <c r="AG359" s="289"/>
      <c r="AH359" s="289"/>
      <c r="AI359" s="289"/>
      <c r="AJ359" s="289"/>
      <c r="AK359" s="289"/>
      <c r="AL359" s="289"/>
      <c r="AM359" s="289"/>
      <c r="AN359" s="289"/>
      <c r="AO359" s="289"/>
      <c r="AP359" s="289"/>
      <c r="AQ359" s="289"/>
      <c r="AR359" s="289"/>
      <c r="AS359" s="289"/>
      <c r="AT359" s="289"/>
      <c r="AU359" s="289"/>
      <c r="AV359" s="289"/>
      <c r="AW359" s="289"/>
      <c r="AX359" s="289"/>
      <c r="AY359" s="289"/>
    </row>
    <row r="360" spans="1:51" ht="13.5" customHeight="1">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c r="AA360" s="289"/>
      <c r="AB360" s="289"/>
      <c r="AC360" s="289"/>
      <c r="AD360" s="289"/>
      <c r="AE360" s="289"/>
      <c r="AF360" s="289"/>
      <c r="AG360" s="289"/>
      <c r="AH360" s="289"/>
      <c r="AI360" s="289"/>
      <c r="AJ360" s="289"/>
      <c r="AK360" s="289"/>
      <c r="AL360" s="289"/>
      <c r="AM360" s="289"/>
      <c r="AN360" s="289"/>
      <c r="AO360" s="289"/>
      <c r="AP360" s="289"/>
      <c r="AQ360" s="289"/>
      <c r="AR360" s="289"/>
      <c r="AS360" s="289"/>
      <c r="AT360" s="289"/>
      <c r="AU360" s="289"/>
      <c r="AV360" s="289"/>
      <c r="AW360" s="289"/>
      <c r="AX360" s="289"/>
      <c r="AY360" s="289"/>
    </row>
    <row r="361" spans="1:51" ht="13.5" customHeight="1">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c r="AA361" s="289"/>
      <c r="AB361" s="289"/>
      <c r="AC361" s="289"/>
      <c r="AD361" s="289"/>
      <c r="AE361" s="289"/>
      <c r="AF361" s="289"/>
      <c r="AG361" s="289"/>
      <c r="AH361" s="289"/>
      <c r="AI361" s="289"/>
      <c r="AJ361" s="289"/>
      <c r="AK361" s="289"/>
      <c r="AL361" s="289"/>
      <c r="AM361" s="289"/>
      <c r="AN361" s="289"/>
      <c r="AO361" s="289"/>
      <c r="AP361" s="289"/>
      <c r="AQ361" s="289"/>
      <c r="AR361" s="289"/>
      <c r="AS361" s="289"/>
      <c r="AT361" s="289"/>
      <c r="AU361" s="289"/>
      <c r="AV361" s="289"/>
      <c r="AW361" s="289"/>
      <c r="AX361" s="289"/>
      <c r="AY361" s="289"/>
    </row>
    <row r="362" spans="1:51" ht="13.5" customHeight="1">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c r="AA362" s="289"/>
      <c r="AB362" s="289"/>
      <c r="AC362" s="289"/>
      <c r="AD362" s="289"/>
      <c r="AE362" s="289"/>
      <c r="AF362" s="289"/>
      <c r="AG362" s="289"/>
      <c r="AH362" s="289"/>
      <c r="AI362" s="289"/>
      <c r="AJ362" s="289"/>
      <c r="AK362" s="289"/>
      <c r="AL362" s="289"/>
      <c r="AM362" s="289"/>
      <c r="AN362" s="289"/>
      <c r="AO362" s="289"/>
      <c r="AP362" s="289"/>
      <c r="AQ362" s="289"/>
      <c r="AR362" s="289"/>
      <c r="AS362" s="289"/>
      <c r="AT362" s="289"/>
      <c r="AU362" s="289"/>
      <c r="AV362" s="289"/>
      <c r="AW362" s="289"/>
      <c r="AX362" s="289"/>
      <c r="AY362" s="289"/>
    </row>
    <row r="363" spans="1:51" ht="13.5" customHeight="1">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c r="AA363" s="289"/>
      <c r="AB363" s="289"/>
      <c r="AC363" s="289"/>
      <c r="AD363" s="289"/>
      <c r="AE363" s="289"/>
      <c r="AF363" s="289"/>
      <c r="AG363" s="289"/>
      <c r="AH363" s="289"/>
      <c r="AI363" s="289"/>
      <c r="AJ363" s="289"/>
      <c r="AK363" s="289"/>
      <c r="AL363" s="289"/>
      <c r="AM363" s="289"/>
      <c r="AN363" s="289"/>
      <c r="AO363" s="289"/>
      <c r="AP363" s="289"/>
      <c r="AQ363" s="289"/>
      <c r="AR363" s="289"/>
      <c r="AS363" s="289"/>
      <c r="AT363" s="289"/>
      <c r="AU363" s="289"/>
      <c r="AV363" s="289"/>
      <c r="AW363" s="289"/>
      <c r="AX363" s="289"/>
      <c r="AY363" s="289"/>
    </row>
    <row r="364" spans="1:51" ht="13.5" customHeight="1">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c r="AA364" s="289"/>
      <c r="AB364" s="289"/>
      <c r="AC364" s="289"/>
      <c r="AD364" s="289"/>
      <c r="AE364" s="289"/>
      <c r="AF364" s="289"/>
      <c r="AG364" s="289"/>
      <c r="AH364" s="289"/>
      <c r="AI364" s="289"/>
      <c r="AJ364" s="289"/>
      <c r="AK364" s="289"/>
      <c r="AL364" s="289"/>
      <c r="AM364" s="289"/>
      <c r="AN364" s="289"/>
      <c r="AO364" s="289"/>
      <c r="AP364" s="289"/>
      <c r="AQ364" s="289"/>
      <c r="AR364" s="289"/>
      <c r="AS364" s="289"/>
      <c r="AT364" s="289"/>
      <c r="AU364" s="289"/>
      <c r="AV364" s="289"/>
      <c r="AW364" s="289"/>
      <c r="AX364" s="289"/>
      <c r="AY364" s="289"/>
    </row>
    <row r="365" spans="1:51" ht="13.5" customHeight="1">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c r="AA365" s="289"/>
      <c r="AB365" s="289"/>
      <c r="AC365" s="289"/>
      <c r="AD365" s="289"/>
      <c r="AE365" s="289"/>
      <c r="AF365" s="289"/>
      <c r="AG365" s="289"/>
      <c r="AH365" s="289"/>
      <c r="AI365" s="289"/>
      <c r="AJ365" s="289"/>
      <c r="AK365" s="289"/>
      <c r="AL365" s="289"/>
      <c r="AM365" s="289"/>
      <c r="AN365" s="289"/>
      <c r="AO365" s="289"/>
      <c r="AP365" s="289"/>
      <c r="AQ365" s="289"/>
      <c r="AR365" s="289"/>
      <c r="AS365" s="289"/>
      <c r="AT365" s="289"/>
      <c r="AU365" s="289"/>
      <c r="AV365" s="289"/>
      <c r="AW365" s="289"/>
      <c r="AX365" s="289"/>
      <c r="AY365" s="289"/>
    </row>
    <row r="366" spans="1:51" ht="13.5" customHeight="1">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c r="AA366" s="289"/>
      <c r="AB366" s="289"/>
      <c r="AC366" s="289"/>
      <c r="AD366" s="289"/>
      <c r="AE366" s="289"/>
      <c r="AF366" s="289"/>
      <c r="AG366" s="289"/>
      <c r="AH366" s="289"/>
      <c r="AI366" s="289"/>
      <c r="AJ366" s="289"/>
      <c r="AK366" s="289"/>
      <c r="AL366" s="289"/>
      <c r="AM366" s="289"/>
      <c r="AN366" s="289"/>
      <c r="AO366" s="289"/>
      <c r="AP366" s="289"/>
      <c r="AQ366" s="289"/>
      <c r="AR366" s="289"/>
      <c r="AS366" s="289"/>
      <c r="AT366" s="289"/>
      <c r="AU366" s="289"/>
      <c r="AV366" s="289"/>
      <c r="AW366" s="289"/>
      <c r="AX366" s="289"/>
      <c r="AY366" s="289"/>
    </row>
    <row r="367" spans="1:51" ht="13.5" customHeight="1">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c r="AA367" s="289"/>
      <c r="AB367" s="289"/>
      <c r="AC367" s="289"/>
      <c r="AD367" s="289"/>
      <c r="AE367" s="289"/>
      <c r="AF367" s="289"/>
      <c r="AG367" s="289"/>
      <c r="AH367" s="289"/>
      <c r="AI367" s="289"/>
      <c r="AJ367" s="289"/>
      <c r="AK367" s="289"/>
      <c r="AL367" s="289"/>
      <c r="AM367" s="289"/>
      <c r="AN367" s="289"/>
      <c r="AO367" s="289"/>
      <c r="AP367" s="289"/>
      <c r="AQ367" s="289"/>
      <c r="AR367" s="289"/>
      <c r="AS367" s="289"/>
      <c r="AT367" s="289"/>
      <c r="AU367" s="289"/>
      <c r="AV367" s="289"/>
      <c r="AW367" s="289"/>
      <c r="AX367" s="289"/>
      <c r="AY367" s="289"/>
    </row>
    <row r="368" spans="1:51" ht="13.5" customHeight="1">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c r="AA368" s="289"/>
      <c r="AB368" s="289"/>
      <c r="AC368" s="289"/>
      <c r="AD368" s="289"/>
      <c r="AE368" s="289"/>
      <c r="AF368" s="289"/>
      <c r="AG368" s="289"/>
      <c r="AH368" s="289"/>
      <c r="AI368" s="289"/>
      <c r="AJ368" s="289"/>
      <c r="AK368" s="289"/>
      <c r="AL368" s="289"/>
      <c r="AM368" s="289"/>
      <c r="AN368" s="289"/>
      <c r="AO368" s="289"/>
      <c r="AP368" s="289"/>
      <c r="AQ368" s="289"/>
      <c r="AR368" s="289"/>
      <c r="AS368" s="289"/>
      <c r="AT368" s="289"/>
      <c r="AU368" s="289"/>
      <c r="AV368" s="289"/>
      <c r="AW368" s="289"/>
      <c r="AX368" s="289"/>
      <c r="AY368" s="289"/>
    </row>
    <row r="369" spans="1:51" ht="13.5" customHeight="1">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c r="AA369" s="289"/>
      <c r="AB369" s="289"/>
      <c r="AC369" s="289"/>
      <c r="AD369" s="289"/>
      <c r="AE369" s="289"/>
      <c r="AF369" s="289"/>
      <c r="AG369" s="289"/>
      <c r="AH369" s="289"/>
      <c r="AI369" s="289"/>
      <c r="AJ369" s="289"/>
      <c r="AK369" s="289"/>
      <c r="AL369" s="289"/>
      <c r="AM369" s="289"/>
      <c r="AN369" s="289"/>
      <c r="AO369" s="289"/>
      <c r="AP369" s="289"/>
      <c r="AQ369" s="289"/>
      <c r="AR369" s="289"/>
      <c r="AS369" s="289"/>
      <c r="AT369" s="289"/>
      <c r="AU369" s="289"/>
      <c r="AV369" s="289"/>
      <c r="AW369" s="289"/>
      <c r="AX369" s="289"/>
      <c r="AY369" s="289"/>
    </row>
    <row r="370" spans="1:51" ht="13.5" customHeight="1">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c r="AA370" s="289"/>
      <c r="AB370" s="289"/>
      <c r="AC370" s="289"/>
      <c r="AD370" s="289"/>
      <c r="AE370" s="289"/>
      <c r="AF370" s="289"/>
      <c r="AG370" s="289"/>
      <c r="AH370" s="289"/>
      <c r="AI370" s="289"/>
      <c r="AJ370" s="289"/>
      <c r="AK370" s="289"/>
      <c r="AL370" s="289"/>
      <c r="AM370" s="289"/>
      <c r="AN370" s="289"/>
      <c r="AO370" s="289"/>
      <c r="AP370" s="289"/>
      <c r="AQ370" s="289"/>
      <c r="AR370" s="289"/>
      <c r="AS370" s="289"/>
      <c r="AT370" s="289"/>
      <c r="AU370" s="289"/>
      <c r="AV370" s="289"/>
      <c r="AW370" s="289"/>
      <c r="AX370" s="289"/>
      <c r="AY370" s="289"/>
    </row>
    <row r="371" spans="1:51" ht="13.5" customHeight="1">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c r="AA371" s="289"/>
      <c r="AB371" s="289"/>
      <c r="AC371" s="289"/>
      <c r="AD371" s="289"/>
      <c r="AE371" s="289"/>
      <c r="AF371" s="289"/>
      <c r="AG371" s="289"/>
      <c r="AH371" s="289"/>
      <c r="AI371" s="289"/>
      <c r="AJ371" s="289"/>
      <c r="AK371" s="289"/>
      <c r="AL371" s="289"/>
      <c r="AM371" s="289"/>
      <c r="AN371" s="289"/>
      <c r="AO371" s="289"/>
      <c r="AP371" s="289"/>
      <c r="AQ371" s="289"/>
      <c r="AR371" s="289"/>
      <c r="AS371" s="289"/>
      <c r="AT371" s="289"/>
      <c r="AU371" s="289"/>
      <c r="AV371" s="289"/>
      <c r="AW371" s="289"/>
      <c r="AX371" s="289"/>
      <c r="AY371" s="289"/>
    </row>
    <row r="372" spans="1:51" ht="13.5" customHeight="1">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c r="AA372" s="289"/>
      <c r="AB372" s="289"/>
      <c r="AC372" s="289"/>
      <c r="AD372" s="289"/>
      <c r="AE372" s="289"/>
      <c r="AF372" s="289"/>
      <c r="AG372" s="289"/>
      <c r="AH372" s="289"/>
      <c r="AI372" s="289"/>
      <c r="AJ372" s="289"/>
      <c r="AK372" s="289"/>
      <c r="AL372" s="289"/>
      <c r="AM372" s="289"/>
      <c r="AN372" s="289"/>
      <c r="AO372" s="289"/>
      <c r="AP372" s="289"/>
      <c r="AQ372" s="289"/>
      <c r="AR372" s="289"/>
      <c r="AS372" s="289"/>
      <c r="AT372" s="289"/>
      <c r="AU372" s="289"/>
      <c r="AV372" s="289"/>
      <c r="AW372" s="289"/>
      <c r="AX372" s="289"/>
      <c r="AY372" s="289"/>
    </row>
    <row r="373" spans="1:51" ht="13.5" customHeight="1">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c r="AA373" s="289"/>
      <c r="AB373" s="289"/>
      <c r="AC373" s="289"/>
      <c r="AD373" s="289"/>
      <c r="AE373" s="289"/>
      <c r="AF373" s="289"/>
      <c r="AG373" s="289"/>
      <c r="AH373" s="289"/>
      <c r="AI373" s="289"/>
      <c r="AJ373" s="289"/>
      <c r="AK373" s="289"/>
      <c r="AL373" s="289"/>
      <c r="AM373" s="289"/>
      <c r="AN373" s="289"/>
      <c r="AO373" s="289"/>
      <c r="AP373" s="289"/>
      <c r="AQ373" s="289"/>
      <c r="AR373" s="289"/>
      <c r="AS373" s="289"/>
      <c r="AT373" s="289"/>
      <c r="AU373" s="289"/>
      <c r="AV373" s="289"/>
      <c r="AW373" s="289"/>
      <c r="AX373" s="289"/>
      <c r="AY373" s="289"/>
    </row>
    <row r="374" spans="1:51" ht="13.5" customHeight="1">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c r="AA374" s="289"/>
      <c r="AB374" s="289"/>
      <c r="AC374" s="289"/>
      <c r="AD374" s="289"/>
      <c r="AE374" s="289"/>
      <c r="AF374" s="289"/>
      <c r="AG374" s="289"/>
      <c r="AH374" s="289"/>
      <c r="AI374" s="289"/>
      <c r="AJ374" s="289"/>
      <c r="AK374" s="289"/>
      <c r="AL374" s="289"/>
      <c r="AM374" s="289"/>
      <c r="AN374" s="289"/>
      <c r="AO374" s="289"/>
      <c r="AP374" s="289"/>
      <c r="AQ374" s="289"/>
      <c r="AR374" s="289"/>
      <c r="AS374" s="289"/>
      <c r="AT374" s="289"/>
      <c r="AU374" s="289"/>
      <c r="AV374" s="289"/>
      <c r="AW374" s="289"/>
      <c r="AX374" s="289"/>
      <c r="AY374" s="289"/>
    </row>
    <row r="375" spans="1:51" ht="13.5" customHeight="1">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c r="AA375" s="289"/>
      <c r="AB375" s="289"/>
      <c r="AC375" s="289"/>
      <c r="AD375" s="289"/>
      <c r="AE375" s="289"/>
      <c r="AF375" s="289"/>
      <c r="AG375" s="289"/>
      <c r="AH375" s="289"/>
      <c r="AI375" s="289"/>
      <c r="AJ375" s="289"/>
      <c r="AK375" s="289"/>
      <c r="AL375" s="289"/>
      <c r="AM375" s="289"/>
      <c r="AN375" s="289"/>
      <c r="AO375" s="289"/>
      <c r="AP375" s="289"/>
      <c r="AQ375" s="289"/>
      <c r="AR375" s="289"/>
      <c r="AS375" s="289"/>
      <c r="AT375" s="289"/>
      <c r="AU375" s="289"/>
      <c r="AV375" s="289"/>
      <c r="AW375" s="289"/>
      <c r="AX375" s="289"/>
      <c r="AY375" s="289"/>
    </row>
    <row r="376" spans="1:51" ht="13.5" customHeight="1">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c r="AA376" s="289"/>
      <c r="AB376" s="289"/>
      <c r="AC376" s="289"/>
      <c r="AD376" s="289"/>
      <c r="AE376" s="289"/>
      <c r="AF376" s="289"/>
      <c r="AG376" s="289"/>
      <c r="AH376" s="289"/>
      <c r="AI376" s="289"/>
      <c r="AJ376" s="289"/>
      <c r="AK376" s="289"/>
      <c r="AL376" s="289"/>
      <c r="AM376" s="289"/>
      <c r="AN376" s="289"/>
      <c r="AO376" s="289"/>
      <c r="AP376" s="289"/>
      <c r="AQ376" s="289"/>
      <c r="AR376" s="289"/>
      <c r="AS376" s="289"/>
      <c r="AT376" s="289"/>
      <c r="AU376" s="289"/>
      <c r="AV376" s="289"/>
      <c r="AW376" s="289"/>
      <c r="AX376" s="289"/>
      <c r="AY376" s="289"/>
    </row>
    <row r="377" spans="1:51" ht="13.5" customHeight="1">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c r="AA377" s="289"/>
      <c r="AB377" s="289"/>
      <c r="AC377" s="289"/>
      <c r="AD377" s="289"/>
      <c r="AE377" s="289"/>
      <c r="AF377" s="289"/>
      <c r="AG377" s="289"/>
      <c r="AH377" s="289"/>
      <c r="AI377" s="289"/>
      <c r="AJ377" s="289"/>
      <c r="AK377" s="289"/>
      <c r="AL377" s="289"/>
      <c r="AM377" s="289"/>
      <c r="AN377" s="289"/>
      <c r="AO377" s="289"/>
      <c r="AP377" s="289"/>
      <c r="AQ377" s="289"/>
      <c r="AR377" s="289"/>
      <c r="AS377" s="289"/>
      <c r="AT377" s="289"/>
      <c r="AU377" s="289"/>
      <c r="AV377" s="289"/>
      <c r="AW377" s="289"/>
      <c r="AX377" s="289"/>
      <c r="AY377" s="289"/>
    </row>
    <row r="378" spans="1:51" ht="13.5" customHeight="1">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c r="AA378" s="289"/>
      <c r="AB378" s="289"/>
      <c r="AC378" s="289"/>
      <c r="AD378" s="289"/>
      <c r="AE378" s="289"/>
      <c r="AF378" s="289"/>
      <c r="AG378" s="289"/>
      <c r="AH378" s="289"/>
      <c r="AI378" s="289"/>
      <c r="AJ378" s="289"/>
      <c r="AK378" s="289"/>
      <c r="AL378" s="289"/>
      <c r="AM378" s="289"/>
      <c r="AN378" s="289"/>
      <c r="AO378" s="289"/>
      <c r="AP378" s="289"/>
      <c r="AQ378" s="289"/>
      <c r="AR378" s="289"/>
      <c r="AS378" s="289"/>
      <c r="AT378" s="289"/>
      <c r="AU378" s="289"/>
      <c r="AV378" s="289"/>
      <c r="AW378" s="289"/>
      <c r="AX378" s="289"/>
      <c r="AY378" s="289"/>
    </row>
    <row r="379" spans="1:51" ht="13.5" customHeight="1">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c r="AA379" s="289"/>
      <c r="AB379" s="289"/>
      <c r="AC379" s="289"/>
      <c r="AD379" s="289"/>
      <c r="AE379" s="289"/>
      <c r="AF379" s="289"/>
      <c r="AG379" s="289"/>
      <c r="AH379" s="289"/>
      <c r="AI379" s="289"/>
      <c r="AJ379" s="289"/>
      <c r="AK379" s="289"/>
      <c r="AL379" s="289"/>
      <c r="AM379" s="289"/>
      <c r="AN379" s="289"/>
      <c r="AO379" s="289"/>
      <c r="AP379" s="289"/>
      <c r="AQ379" s="289"/>
      <c r="AR379" s="289"/>
      <c r="AS379" s="289"/>
      <c r="AT379" s="289"/>
      <c r="AU379" s="289"/>
      <c r="AV379" s="289"/>
      <c r="AW379" s="289"/>
      <c r="AX379" s="289"/>
      <c r="AY379" s="289"/>
    </row>
    <row r="380" spans="1:51" ht="13.5" customHeight="1">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c r="AA380" s="289"/>
      <c r="AB380" s="289"/>
      <c r="AC380" s="289"/>
      <c r="AD380" s="289"/>
      <c r="AE380" s="289"/>
      <c r="AF380" s="289"/>
      <c r="AG380" s="289"/>
      <c r="AH380" s="289"/>
      <c r="AI380" s="289"/>
      <c r="AJ380" s="289"/>
      <c r="AK380" s="289"/>
      <c r="AL380" s="289"/>
      <c r="AM380" s="289"/>
      <c r="AN380" s="289"/>
      <c r="AO380" s="289"/>
      <c r="AP380" s="289"/>
      <c r="AQ380" s="289"/>
      <c r="AR380" s="289"/>
      <c r="AS380" s="289"/>
      <c r="AT380" s="289"/>
      <c r="AU380" s="289"/>
      <c r="AV380" s="289"/>
      <c r="AW380" s="289"/>
      <c r="AX380" s="289"/>
      <c r="AY380" s="289"/>
    </row>
    <row r="381" spans="1:51" ht="13.5" customHeight="1">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c r="AA381" s="289"/>
      <c r="AB381" s="289"/>
      <c r="AC381" s="289"/>
      <c r="AD381" s="289"/>
      <c r="AE381" s="289"/>
      <c r="AF381" s="289"/>
      <c r="AG381" s="289"/>
      <c r="AH381" s="289"/>
      <c r="AI381" s="289"/>
      <c r="AJ381" s="289"/>
      <c r="AK381" s="289"/>
      <c r="AL381" s="289"/>
      <c r="AM381" s="289"/>
      <c r="AN381" s="289"/>
      <c r="AO381" s="289"/>
      <c r="AP381" s="289"/>
      <c r="AQ381" s="289"/>
      <c r="AR381" s="289"/>
      <c r="AS381" s="289"/>
      <c r="AT381" s="289"/>
      <c r="AU381" s="289"/>
      <c r="AV381" s="289"/>
      <c r="AW381" s="289"/>
      <c r="AX381" s="289"/>
      <c r="AY381" s="289"/>
    </row>
    <row r="382" spans="1:51" ht="13.5" customHeight="1">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c r="AA382" s="289"/>
      <c r="AB382" s="289"/>
      <c r="AC382" s="289"/>
      <c r="AD382" s="289"/>
      <c r="AE382" s="289"/>
      <c r="AF382" s="289"/>
      <c r="AG382" s="289"/>
      <c r="AH382" s="289"/>
      <c r="AI382" s="289"/>
      <c r="AJ382" s="289"/>
      <c r="AK382" s="289"/>
      <c r="AL382" s="289"/>
      <c r="AM382" s="289"/>
      <c r="AN382" s="289"/>
      <c r="AO382" s="289"/>
      <c r="AP382" s="289"/>
      <c r="AQ382" s="289"/>
      <c r="AR382" s="289"/>
      <c r="AS382" s="289"/>
      <c r="AT382" s="289"/>
      <c r="AU382" s="289"/>
      <c r="AV382" s="289"/>
      <c r="AW382" s="289"/>
      <c r="AX382" s="289"/>
      <c r="AY382" s="289"/>
    </row>
    <row r="383" spans="1:51" ht="13.5" customHeight="1">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c r="AB383" s="289"/>
      <c r="AC383" s="289"/>
      <c r="AD383" s="289"/>
      <c r="AE383" s="289"/>
      <c r="AF383" s="289"/>
      <c r="AG383" s="289"/>
      <c r="AH383" s="289"/>
      <c r="AI383" s="289"/>
      <c r="AJ383" s="289"/>
      <c r="AK383" s="289"/>
      <c r="AL383" s="289"/>
      <c r="AM383" s="289"/>
      <c r="AN383" s="289"/>
      <c r="AO383" s="289"/>
      <c r="AP383" s="289"/>
      <c r="AQ383" s="289"/>
      <c r="AR383" s="289"/>
      <c r="AS383" s="289"/>
      <c r="AT383" s="289"/>
      <c r="AU383" s="289"/>
      <c r="AV383" s="289"/>
      <c r="AW383" s="289"/>
      <c r="AX383" s="289"/>
      <c r="AY383" s="289"/>
    </row>
    <row r="384" spans="1:51" ht="13.5" customHeight="1">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c r="AA384" s="289"/>
      <c r="AB384" s="289"/>
      <c r="AC384" s="289"/>
      <c r="AD384" s="289"/>
      <c r="AE384" s="289"/>
      <c r="AF384" s="289"/>
      <c r="AG384" s="289"/>
      <c r="AH384" s="289"/>
      <c r="AI384" s="289"/>
      <c r="AJ384" s="289"/>
      <c r="AK384" s="289"/>
      <c r="AL384" s="289"/>
      <c r="AM384" s="289"/>
      <c r="AN384" s="289"/>
      <c r="AO384" s="289"/>
      <c r="AP384" s="289"/>
      <c r="AQ384" s="289"/>
      <c r="AR384" s="289"/>
      <c r="AS384" s="289"/>
      <c r="AT384" s="289"/>
      <c r="AU384" s="289"/>
      <c r="AV384" s="289"/>
      <c r="AW384" s="289"/>
      <c r="AX384" s="289"/>
      <c r="AY384" s="289"/>
    </row>
    <row r="385" spans="1:51" ht="13.5" customHeight="1">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c r="AA385" s="289"/>
      <c r="AB385" s="289"/>
      <c r="AC385" s="289"/>
      <c r="AD385" s="289"/>
      <c r="AE385" s="289"/>
      <c r="AF385" s="289"/>
      <c r="AG385" s="289"/>
      <c r="AH385" s="289"/>
      <c r="AI385" s="289"/>
      <c r="AJ385" s="289"/>
      <c r="AK385" s="289"/>
      <c r="AL385" s="289"/>
      <c r="AM385" s="289"/>
      <c r="AN385" s="289"/>
      <c r="AO385" s="289"/>
      <c r="AP385" s="289"/>
      <c r="AQ385" s="289"/>
      <c r="AR385" s="289"/>
      <c r="AS385" s="289"/>
      <c r="AT385" s="289"/>
      <c r="AU385" s="289"/>
      <c r="AV385" s="289"/>
      <c r="AW385" s="289"/>
      <c r="AX385" s="289"/>
      <c r="AY385" s="289"/>
    </row>
    <row r="386" spans="1:51" ht="13.5" customHeight="1">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c r="AA386" s="289"/>
      <c r="AB386" s="289"/>
      <c r="AC386" s="289"/>
      <c r="AD386" s="289"/>
      <c r="AE386" s="289"/>
      <c r="AF386" s="289"/>
      <c r="AG386" s="289"/>
      <c r="AH386" s="289"/>
      <c r="AI386" s="289"/>
      <c r="AJ386" s="289"/>
      <c r="AK386" s="289"/>
      <c r="AL386" s="289"/>
      <c r="AM386" s="289"/>
      <c r="AN386" s="289"/>
      <c r="AO386" s="289"/>
      <c r="AP386" s="289"/>
      <c r="AQ386" s="289"/>
      <c r="AR386" s="289"/>
      <c r="AS386" s="289"/>
      <c r="AT386" s="289"/>
      <c r="AU386" s="289"/>
      <c r="AV386" s="289"/>
      <c r="AW386" s="289"/>
      <c r="AX386" s="289"/>
      <c r="AY386" s="289"/>
    </row>
    <row r="387" spans="1:51" ht="13.5" customHeight="1">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c r="AA387" s="289"/>
      <c r="AB387" s="289"/>
      <c r="AC387" s="289"/>
      <c r="AD387" s="289"/>
      <c r="AE387" s="289"/>
      <c r="AF387" s="289"/>
      <c r="AG387" s="289"/>
      <c r="AH387" s="289"/>
      <c r="AI387" s="289"/>
      <c r="AJ387" s="289"/>
      <c r="AK387" s="289"/>
      <c r="AL387" s="289"/>
      <c r="AM387" s="289"/>
      <c r="AN387" s="289"/>
      <c r="AO387" s="289"/>
      <c r="AP387" s="289"/>
      <c r="AQ387" s="289"/>
      <c r="AR387" s="289"/>
      <c r="AS387" s="289"/>
      <c r="AT387" s="289"/>
      <c r="AU387" s="289"/>
      <c r="AV387" s="289"/>
      <c r="AW387" s="289"/>
      <c r="AX387" s="289"/>
      <c r="AY387" s="289"/>
    </row>
    <row r="388" spans="1:51" ht="13.5" customHeight="1">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c r="AA388" s="289"/>
      <c r="AB388" s="289"/>
      <c r="AC388" s="289"/>
      <c r="AD388" s="289"/>
      <c r="AE388" s="289"/>
      <c r="AF388" s="289"/>
      <c r="AG388" s="289"/>
      <c r="AH388" s="289"/>
      <c r="AI388" s="289"/>
      <c r="AJ388" s="289"/>
      <c r="AK388" s="289"/>
      <c r="AL388" s="289"/>
      <c r="AM388" s="289"/>
      <c r="AN388" s="289"/>
      <c r="AO388" s="289"/>
      <c r="AP388" s="289"/>
      <c r="AQ388" s="289"/>
      <c r="AR388" s="289"/>
      <c r="AS388" s="289"/>
      <c r="AT388" s="289"/>
      <c r="AU388" s="289"/>
      <c r="AV388" s="289"/>
      <c r="AW388" s="289"/>
      <c r="AX388" s="289"/>
      <c r="AY388" s="289"/>
    </row>
    <row r="389" spans="1:51" ht="13.5" customHeight="1">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c r="AA389" s="289"/>
      <c r="AB389" s="289"/>
      <c r="AC389" s="289"/>
      <c r="AD389" s="289"/>
      <c r="AE389" s="289"/>
      <c r="AF389" s="289"/>
      <c r="AG389" s="289"/>
      <c r="AH389" s="289"/>
      <c r="AI389" s="289"/>
      <c r="AJ389" s="289"/>
      <c r="AK389" s="289"/>
      <c r="AL389" s="289"/>
      <c r="AM389" s="289"/>
      <c r="AN389" s="289"/>
      <c r="AO389" s="289"/>
      <c r="AP389" s="289"/>
      <c r="AQ389" s="289"/>
      <c r="AR389" s="289"/>
      <c r="AS389" s="289"/>
      <c r="AT389" s="289"/>
      <c r="AU389" s="289"/>
      <c r="AV389" s="289"/>
      <c r="AW389" s="289"/>
      <c r="AX389" s="289"/>
      <c r="AY389" s="289"/>
    </row>
    <row r="390" spans="1:51" ht="13.5" customHeight="1">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c r="AA390" s="289"/>
      <c r="AB390" s="289"/>
      <c r="AC390" s="289"/>
      <c r="AD390" s="289"/>
      <c r="AE390" s="289"/>
      <c r="AF390" s="289"/>
      <c r="AG390" s="289"/>
      <c r="AH390" s="289"/>
      <c r="AI390" s="289"/>
      <c r="AJ390" s="289"/>
      <c r="AK390" s="289"/>
      <c r="AL390" s="289"/>
      <c r="AM390" s="289"/>
      <c r="AN390" s="289"/>
      <c r="AO390" s="289"/>
      <c r="AP390" s="289"/>
      <c r="AQ390" s="289"/>
      <c r="AR390" s="289"/>
      <c r="AS390" s="289"/>
      <c r="AT390" s="289"/>
      <c r="AU390" s="289"/>
      <c r="AV390" s="289"/>
      <c r="AW390" s="289"/>
      <c r="AX390" s="289"/>
      <c r="AY390" s="289"/>
    </row>
    <row r="391" spans="1:51" ht="13.5" customHeight="1">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c r="AA391" s="289"/>
      <c r="AB391" s="289"/>
      <c r="AC391" s="289"/>
      <c r="AD391" s="289"/>
      <c r="AE391" s="289"/>
      <c r="AF391" s="289"/>
      <c r="AG391" s="289"/>
      <c r="AH391" s="289"/>
      <c r="AI391" s="289"/>
      <c r="AJ391" s="289"/>
      <c r="AK391" s="289"/>
      <c r="AL391" s="289"/>
      <c r="AM391" s="289"/>
      <c r="AN391" s="289"/>
      <c r="AO391" s="289"/>
      <c r="AP391" s="289"/>
      <c r="AQ391" s="289"/>
      <c r="AR391" s="289"/>
      <c r="AS391" s="289"/>
      <c r="AT391" s="289"/>
      <c r="AU391" s="289"/>
      <c r="AV391" s="289"/>
      <c r="AW391" s="289"/>
      <c r="AX391" s="289"/>
      <c r="AY391" s="289"/>
    </row>
    <row r="392" spans="1:51" ht="13.5" customHeight="1">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c r="AA392" s="289"/>
      <c r="AB392" s="289"/>
      <c r="AC392" s="289"/>
      <c r="AD392" s="289"/>
      <c r="AE392" s="289"/>
      <c r="AF392" s="289"/>
      <c r="AG392" s="289"/>
      <c r="AH392" s="289"/>
      <c r="AI392" s="289"/>
      <c r="AJ392" s="289"/>
      <c r="AK392" s="289"/>
      <c r="AL392" s="289"/>
      <c r="AM392" s="289"/>
      <c r="AN392" s="289"/>
      <c r="AO392" s="289"/>
      <c r="AP392" s="289"/>
      <c r="AQ392" s="289"/>
      <c r="AR392" s="289"/>
      <c r="AS392" s="289"/>
      <c r="AT392" s="289"/>
      <c r="AU392" s="289"/>
      <c r="AV392" s="289"/>
      <c r="AW392" s="289"/>
      <c r="AX392" s="289"/>
      <c r="AY392" s="289"/>
    </row>
    <row r="393" spans="1:51" ht="13.5" customHeight="1">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c r="AA393" s="289"/>
      <c r="AB393" s="289"/>
      <c r="AC393" s="289"/>
      <c r="AD393" s="289"/>
      <c r="AE393" s="289"/>
      <c r="AF393" s="289"/>
      <c r="AG393" s="289"/>
      <c r="AH393" s="289"/>
      <c r="AI393" s="289"/>
      <c r="AJ393" s="289"/>
      <c r="AK393" s="289"/>
      <c r="AL393" s="289"/>
      <c r="AM393" s="289"/>
      <c r="AN393" s="289"/>
      <c r="AO393" s="289"/>
      <c r="AP393" s="289"/>
      <c r="AQ393" s="289"/>
      <c r="AR393" s="289"/>
      <c r="AS393" s="289"/>
      <c r="AT393" s="289"/>
      <c r="AU393" s="289"/>
      <c r="AV393" s="289"/>
      <c r="AW393" s="289"/>
      <c r="AX393" s="289"/>
      <c r="AY393" s="289"/>
    </row>
    <row r="394" spans="1:51" ht="13.5" customHeight="1">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c r="AA394" s="289"/>
      <c r="AB394" s="289"/>
      <c r="AC394" s="289"/>
      <c r="AD394" s="289"/>
      <c r="AE394" s="289"/>
      <c r="AF394" s="289"/>
      <c r="AG394" s="289"/>
      <c r="AH394" s="289"/>
      <c r="AI394" s="289"/>
      <c r="AJ394" s="289"/>
      <c r="AK394" s="289"/>
      <c r="AL394" s="289"/>
      <c r="AM394" s="289"/>
      <c r="AN394" s="289"/>
      <c r="AO394" s="289"/>
      <c r="AP394" s="289"/>
      <c r="AQ394" s="289"/>
      <c r="AR394" s="289"/>
      <c r="AS394" s="289"/>
      <c r="AT394" s="289"/>
      <c r="AU394" s="289"/>
      <c r="AV394" s="289"/>
      <c r="AW394" s="289"/>
      <c r="AX394" s="289"/>
      <c r="AY394" s="289"/>
    </row>
    <row r="395" spans="1:51" ht="13.5" customHeight="1">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c r="AA395" s="289"/>
      <c r="AB395" s="289"/>
      <c r="AC395" s="289"/>
      <c r="AD395" s="289"/>
      <c r="AE395" s="289"/>
      <c r="AF395" s="289"/>
      <c r="AG395" s="289"/>
      <c r="AH395" s="289"/>
      <c r="AI395" s="289"/>
      <c r="AJ395" s="289"/>
      <c r="AK395" s="289"/>
      <c r="AL395" s="289"/>
      <c r="AM395" s="289"/>
      <c r="AN395" s="289"/>
      <c r="AO395" s="289"/>
      <c r="AP395" s="289"/>
      <c r="AQ395" s="289"/>
      <c r="AR395" s="289"/>
      <c r="AS395" s="289"/>
      <c r="AT395" s="289"/>
      <c r="AU395" s="289"/>
      <c r="AV395" s="289"/>
      <c r="AW395" s="289"/>
      <c r="AX395" s="289"/>
      <c r="AY395" s="289"/>
    </row>
    <row r="396" spans="1:51" ht="13.5" customHeight="1">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c r="AA396" s="289"/>
      <c r="AB396" s="289"/>
      <c r="AC396" s="289"/>
      <c r="AD396" s="289"/>
      <c r="AE396" s="289"/>
      <c r="AF396" s="289"/>
      <c r="AG396" s="289"/>
      <c r="AH396" s="289"/>
      <c r="AI396" s="289"/>
      <c r="AJ396" s="289"/>
      <c r="AK396" s="289"/>
      <c r="AL396" s="289"/>
      <c r="AM396" s="289"/>
      <c r="AN396" s="289"/>
      <c r="AO396" s="289"/>
      <c r="AP396" s="289"/>
      <c r="AQ396" s="289"/>
      <c r="AR396" s="289"/>
      <c r="AS396" s="289"/>
      <c r="AT396" s="289"/>
      <c r="AU396" s="289"/>
      <c r="AV396" s="289"/>
      <c r="AW396" s="289"/>
      <c r="AX396" s="289"/>
      <c r="AY396" s="289"/>
    </row>
    <row r="397" spans="1:51" ht="13.5" customHeight="1">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c r="AA397" s="289"/>
      <c r="AB397" s="289"/>
      <c r="AC397" s="289"/>
      <c r="AD397" s="289"/>
      <c r="AE397" s="289"/>
      <c r="AF397" s="289"/>
      <c r="AG397" s="289"/>
      <c r="AH397" s="289"/>
      <c r="AI397" s="289"/>
      <c r="AJ397" s="289"/>
      <c r="AK397" s="289"/>
      <c r="AL397" s="289"/>
      <c r="AM397" s="289"/>
      <c r="AN397" s="289"/>
      <c r="AO397" s="289"/>
      <c r="AP397" s="289"/>
      <c r="AQ397" s="289"/>
      <c r="AR397" s="289"/>
      <c r="AS397" s="289"/>
      <c r="AT397" s="289"/>
      <c r="AU397" s="289"/>
      <c r="AV397" s="289"/>
      <c r="AW397" s="289"/>
      <c r="AX397" s="289"/>
      <c r="AY397" s="289"/>
    </row>
    <row r="398" spans="1:51" ht="13.5" customHeight="1">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c r="AA398" s="289"/>
      <c r="AB398" s="289"/>
      <c r="AC398" s="289"/>
      <c r="AD398" s="289"/>
      <c r="AE398" s="289"/>
      <c r="AF398" s="289"/>
      <c r="AG398" s="289"/>
      <c r="AH398" s="289"/>
      <c r="AI398" s="289"/>
      <c r="AJ398" s="289"/>
      <c r="AK398" s="289"/>
      <c r="AL398" s="289"/>
      <c r="AM398" s="289"/>
      <c r="AN398" s="289"/>
      <c r="AO398" s="289"/>
      <c r="AP398" s="289"/>
      <c r="AQ398" s="289"/>
      <c r="AR398" s="289"/>
      <c r="AS398" s="289"/>
      <c r="AT398" s="289"/>
      <c r="AU398" s="289"/>
      <c r="AV398" s="289"/>
      <c r="AW398" s="289"/>
      <c r="AX398" s="289"/>
      <c r="AY398" s="289"/>
    </row>
    <row r="399" spans="1:51" ht="13.5" customHeight="1">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c r="AA399" s="289"/>
      <c r="AB399" s="289"/>
      <c r="AC399" s="289"/>
      <c r="AD399" s="289"/>
      <c r="AE399" s="289"/>
      <c r="AF399" s="289"/>
      <c r="AG399" s="289"/>
      <c r="AH399" s="289"/>
      <c r="AI399" s="289"/>
      <c r="AJ399" s="289"/>
      <c r="AK399" s="289"/>
      <c r="AL399" s="289"/>
      <c r="AM399" s="289"/>
      <c r="AN399" s="289"/>
      <c r="AO399" s="289"/>
      <c r="AP399" s="289"/>
      <c r="AQ399" s="289"/>
      <c r="AR399" s="289"/>
      <c r="AS399" s="289"/>
      <c r="AT399" s="289"/>
      <c r="AU399" s="289"/>
      <c r="AV399" s="289"/>
      <c r="AW399" s="289"/>
      <c r="AX399" s="289"/>
      <c r="AY399" s="289"/>
    </row>
    <row r="400" spans="1:51" ht="13.5" customHeight="1">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c r="AA400" s="289"/>
      <c r="AB400" s="289"/>
      <c r="AC400" s="289"/>
      <c r="AD400" s="289"/>
      <c r="AE400" s="289"/>
      <c r="AF400" s="289"/>
      <c r="AG400" s="289"/>
      <c r="AH400" s="289"/>
      <c r="AI400" s="289"/>
      <c r="AJ400" s="289"/>
      <c r="AK400" s="289"/>
      <c r="AL400" s="289"/>
      <c r="AM400" s="289"/>
      <c r="AN400" s="289"/>
      <c r="AO400" s="289"/>
      <c r="AP400" s="289"/>
      <c r="AQ400" s="289"/>
      <c r="AR400" s="289"/>
      <c r="AS400" s="289"/>
      <c r="AT400" s="289"/>
      <c r="AU400" s="289"/>
      <c r="AV400" s="289"/>
      <c r="AW400" s="289"/>
      <c r="AX400" s="289"/>
      <c r="AY400" s="289"/>
    </row>
    <row r="401" spans="1:51" ht="13.5" customHeight="1">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c r="AA401" s="289"/>
      <c r="AB401" s="289"/>
      <c r="AC401" s="289"/>
      <c r="AD401" s="289"/>
      <c r="AE401" s="289"/>
      <c r="AF401" s="289"/>
      <c r="AG401" s="289"/>
      <c r="AH401" s="289"/>
      <c r="AI401" s="289"/>
      <c r="AJ401" s="289"/>
      <c r="AK401" s="289"/>
      <c r="AL401" s="289"/>
      <c r="AM401" s="289"/>
      <c r="AN401" s="289"/>
      <c r="AO401" s="289"/>
      <c r="AP401" s="289"/>
      <c r="AQ401" s="289"/>
      <c r="AR401" s="289"/>
      <c r="AS401" s="289"/>
      <c r="AT401" s="289"/>
      <c r="AU401" s="289"/>
      <c r="AV401" s="289"/>
      <c r="AW401" s="289"/>
      <c r="AX401" s="289"/>
      <c r="AY401" s="289"/>
    </row>
    <row r="402" spans="1:51" ht="13.5" customHeight="1">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c r="AA402" s="289"/>
      <c r="AB402" s="289"/>
      <c r="AC402" s="289"/>
      <c r="AD402" s="289"/>
      <c r="AE402" s="289"/>
      <c r="AF402" s="289"/>
      <c r="AG402" s="289"/>
      <c r="AH402" s="289"/>
      <c r="AI402" s="289"/>
      <c r="AJ402" s="289"/>
      <c r="AK402" s="289"/>
      <c r="AL402" s="289"/>
      <c r="AM402" s="289"/>
      <c r="AN402" s="289"/>
      <c r="AO402" s="289"/>
      <c r="AP402" s="289"/>
      <c r="AQ402" s="289"/>
      <c r="AR402" s="289"/>
      <c r="AS402" s="289"/>
      <c r="AT402" s="289"/>
      <c r="AU402" s="289"/>
      <c r="AV402" s="289"/>
      <c r="AW402" s="289"/>
      <c r="AX402" s="289"/>
      <c r="AY402" s="289"/>
    </row>
    <row r="403" spans="1:51" ht="13.5" customHeight="1">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c r="AA403" s="289"/>
      <c r="AB403" s="289"/>
      <c r="AC403" s="289"/>
      <c r="AD403" s="289"/>
      <c r="AE403" s="289"/>
      <c r="AF403" s="289"/>
      <c r="AG403" s="289"/>
      <c r="AH403" s="289"/>
      <c r="AI403" s="289"/>
      <c r="AJ403" s="289"/>
      <c r="AK403" s="289"/>
      <c r="AL403" s="289"/>
      <c r="AM403" s="289"/>
      <c r="AN403" s="289"/>
      <c r="AO403" s="289"/>
      <c r="AP403" s="289"/>
      <c r="AQ403" s="289"/>
      <c r="AR403" s="289"/>
      <c r="AS403" s="289"/>
      <c r="AT403" s="289"/>
      <c r="AU403" s="289"/>
      <c r="AV403" s="289"/>
      <c r="AW403" s="289"/>
      <c r="AX403" s="289"/>
      <c r="AY403" s="289"/>
    </row>
    <row r="404" spans="1:51" ht="13.5" customHeight="1">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c r="AA404" s="289"/>
      <c r="AB404" s="289"/>
      <c r="AC404" s="289"/>
      <c r="AD404" s="289"/>
      <c r="AE404" s="289"/>
      <c r="AF404" s="289"/>
      <c r="AG404" s="289"/>
      <c r="AH404" s="289"/>
      <c r="AI404" s="289"/>
      <c r="AJ404" s="289"/>
      <c r="AK404" s="289"/>
      <c r="AL404" s="289"/>
      <c r="AM404" s="289"/>
      <c r="AN404" s="289"/>
      <c r="AO404" s="289"/>
      <c r="AP404" s="289"/>
      <c r="AQ404" s="289"/>
      <c r="AR404" s="289"/>
      <c r="AS404" s="289"/>
      <c r="AT404" s="289"/>
      <c r="AU404" s="289"/>
      <c r="AV404" s="289"/>
      <c r="AW404" s="289"/>
      <c r="AX404" s="289"/>
      <c r="AY404" s="289"/>
    </row>
    <row r="405" spans="1:51" ht="13.5" customHeight="1">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c r="AA405" s="289"/>
      <c r="AB405" s="289"/>
      <c r="AC405" s="289"/>
      <c r="AD405" s="289"/>
      <c r="AE405" s="289"/>
      <c r="AF405" s="289"/>
      <c r="AG405" s="289"/>
      <c r="AH405" s="289"/>
      <c r="AI405" s="289"/>
      <c r="AJ405" s="289"/>
      <c r="AK405" s="289"/>
      <c r="AL405" s="289"/>
      <c r="AM405" s="289"/>
      <c r="AN405" s="289"/>
      <c r="AO405" s="289"/>
      <c r="AP405" s="289"/>
      <c r="AQ405" s="289"/>
      <c r="AR405" s="289"/>
      <c r="AS405" s="289"/>
      <c r="AT405" s="289"/>
      <c r="AU405" s="289"/>
      <c r="AV405" s="289"/>
      <c r="AW405" s="289"/>
      <c r="AX405" s="289"/>
      <c r="AY405" s="289"/>
    </row>
    <row r="406" spans="1:51" ht="13.5" customHeight="1">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c r="AA406" s="289"/>
      <c r="AB406" s="289"/>
      <c r="AC406" s="289"/>
      <c r="AD406" s="289"/>
      <c r="AE406" s="289"/>
      <c r="AF406" s="289"/>
      <c r="AG406" s="289"/>
      <c r="AH406" s="289"/>
      <c r="AI406" s="289"/>
      <c r="AJ406" s="289"/>
      <c r="AK406" s="289"/>
      <c r="AL406" s="289"/>
      <c r="AM406" s="289"/>
      <c r="AN406" s="289"/>
      <c r="AO406" s="289"/>
      <c r="AP406" s="289"/>
      <c r="AQ406" s="289"/>
      <c r="AR406" s="289"/>
      <c r="AS406" s="289"/>
      <c r="AT406" s="289"/>
      <c r="AU406" s="289"/>
      <c r="AV406" s="289"/>
      <c r="AW406" s="289"/>
      <c r="AX406" s="289"/>
      <c r="AY406" s="289"/>
    </row>
    <row r="407" spans="1:51" ht="13.5" customHeight="1">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c r="AA407" s="289"/>
      <c r="AB407" s="289"/>
      <c r="AC407" s="289"/>
      <c r="AD407" s="289"/>
      <c r="AE407" s="289"/>
      <c r="AF407" s="289"/>
      <c r="AG407" s="289"/>
      <c r="AH407" s="289"/>
      <c r="AI407" s="289"/>
      <c r="AJ407" s="289"/>
      <c r="AK407" s="289"/>
      <c r="AL407" s="289"/>
      <c r="AM407" s="289"/>
      <c r="AN407" s="289"/>
      <c r="AO407" s="289"/>
      <c r="AP407" s="289"/>
      <c r="AQ407" s="289"/>
      <c r="AR407" s="289"/>
      <c r="AS407" s="289"/>
      <c r="AT407" s="289"/>
      <c r="AU407" s="289"/>
      <c r="AV407" s="289"/>
      <c r="AW407" s="289"/>
      <c r="AX407" s="289"/>
      <c r="AY407" s="289"/>
    </row>
    <row r="408" spans="1:51" ht="13.5" customHeight="1">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c r="AA408" s="289"/>
      <c r="AB408" s="289"/>
      <c r="AC408" s="289"/>
      <c r="AD408" s="289"/>
      <c r="AE408" s="289"/>
      <c r="AF408" s="289"/>
      <c r="AG408" s="289"/>
      <c r="AH408" s="289"/>
      <c r="AI408" s="289"/>
      <c r="AJ408" s="289"/>
      <c r="AK408" s="289"/>
      <c r="AL408" s="289"/>
      <c r="AM408" s="289"/>
      <c r="AN408" s="289"/>
      <c r="AO408" s="289"/>
      <c r="AP408" s="289"/>
      <c r="AQ408" s="289"/>
      <c r="AR408" s="289"/>
      <c r="AS408" s="289"/>
      <c r="AT408" s="289"/>
      <c r="AU408" s="289"/>
      <c r="AV408" s="289"/>
      <c r="AW408" s="289"/>
      <c r="AX408" s="289"/>
      <c r="AY408" s="289"/>
    </row>
    <row r="409" spans="1:51" ht="13.5" customHeight="1">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c r="AA409" s="289"/>
      <c r="AB409" s="289"/>
      <c r="AC409" s="289"/>
      <c r="AD409" s="289"/>
      <c r="AE409" s="289"/>
      <c r="AF409" s="289"/>
      <c r="AG409" s="289"/>
      <c r="AH409" s="289"/>
      <c r="AI409" s="289"/>
      <c r="AJ409" s="289"/>
      <c r="AK409" s="289"/>
      <c r="AL409" s="289"/>
      <c r="AM409" s="289"/>
      <c r="AN409" s="289"/>
      <c r="AO409" s="289"/>
      <c r="AP409" s="289"/>
      <c r="AQ409" s="289"/>
      <c r="AR409" s="289"/>
      <c r="AS409" s="289"/>
      <c r="AT409" s="289"/>
      <c r="AU409" s="289"/>
      <c r="AV409" s="289"/>
      <c r="AW409" s="289"/>
      <c r="AX409" s="289"/>
      <c r="AY409" s="289"/>
    </row>
    <row r="410" spans="1:51" ht="13.5" customHeight="1">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c r="AA410" s="289"/>
      <c r="AB410" s="289"/>
      <c r="AC410" s="289"/>
      <c r="AD410" s="289"/>
      <c r="AE410" s="289"/>
      <c r="AF410" s="289"/>
      <c r="AG410" s="289"/>
      <c r="AH410" s="289"/>
      <c r="AI410" s="289"/>
      <c r="AJ410" s="289"/>
      <c r="AK410" s="289"/>
      <c r="AL410" s="289"/>
      <c r="AM410" s="289"/>
      <c r="AN410" s="289"/>
      <c r="AO410" s="289"/>
      <c r="AP410" s="289"/>
      <c r="AQ410" s="289"/>
      <c r="AR410" s="289"/>
      <c r="AS410" s="289"/>
      <c r="AT410" s="289"/>
      <c r="AU410" s="289"/>
      <c r="AV410" s="289"/>
      <c r="AW410" s="289"/>
      <c r="AX410" s="289"/>
      <c r="AY410" s="289"/>
    </row>
    <row r="411" spans="1:51" ht="13.5" customHeight="1">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c r="AA411" s="289"/>
      <c r="AB411" s="289"/>
      <c r="AC411" s="289"/>
      <c r="AD411" s="289"/>
      <c r="AE411" s="289"/>
      <c r="AF411" s="289"/>
      <c r="AG411" s="289"/>
      <c r="AH411" s="289"/>
      <c r="AI411" s="289"/>
      <c r="AJ411" s="289"/>
      <c r="AK411" s="289"/>
      <c r="AL411" s="289"/>
      <c r="AM411" s="289"/>
      <c r="AN411" s="289"/>
      <c r="AO411" s="289"/>
      <c r="AP411" s="289"/>
      <c r="AQ411" s="289"/>
      <c r="AR411" s="289"/>
      <c r="AS411" s="289"/>
      <c r="AT411" s="289"/>
      <c r="AU411" s="289"/>
      <c r="AV411" s="289"/>
      <c r="AW411" s="289"/>
      <c r="AX411" s="289"/>
      <c r="AY411" s="289"/>
    </row>
    <row r="412" spans="1:51" ht="13.5" customHeight="1">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c r="AA412" s="289"/>
      <c r="AB412" s="289"/>
      <c r="AC412" s="289"/>
      <c r="AD412" s="289"/>
      <c r="AE412" s="289"/>
      <c r="AF412" s="289"/>
      <c r="AG412" s="289"/>
      <c r="AH412" s="289"/>
      <c r="AI412" s="289"/>
      <c r="AJ412" s="289"/>
      <c r="AK412" s="289"/>
      <c r="AL412" s="289"/>
      <c r="AM412" s="289"/>
      <c r="AN412" s="289"/>
      <c r="AO412" s="289"/>
      <c r="AP412" s="289"/>
      <c r="AQ412" s="289"/>
      <c r="AR412" s="289"/>
      <c r="AS412" s="289"/>
      <c r="AT412" s="289"/>
      <c r="AU412" s="289"/>
      <c r="AV412" s="289"/>
      <c r="AW412" s="289"/>
      <c r="AX412" s="289"/>
      <c r="AY412" s="289"/>
    </row>
    <row r="413" spans="1:51" ht="13.5" customHeight="1">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c r="AA413" s="289"/>
      <c r="AB413" s="289"/>
      <c r="AC413" s="289"/>
      <c r="AD413" s="289"/>
      <c r="AE413" s="289"/>
      <c r="AF413" s="289"/>
      <c r="AG413" s="289"/>
      <c r="AH413" s="289"/>
      <c r="AI413" s="289"/>
      <c r="AJ413" s="289"/>
      <c r="AK413" s="289"/>
      <c r="AL413" s="289"/>
      <c r="AM413" s="289"/>
      <c r="AN413" s="289"/>
      <c r="AO413" s="289"/>
      <c r="AP413" s="289"/>
      <c r="AQ413" s="289"/>
      <c r="AR413" s="289"/>
      <c r="AS413" s="289"/>
      <c r="AT413" s="289"/>
      <c r="AU413" s="289"/>
      <c r="AV413" s="289"/>
      <c r="AW413" s="289"/>
      <c r="AX413" s="289"/>
      <c r="AY413" s="289"/>
    </row>
    <row r="414" spans="1:51" ht="13.5" customHeight="1">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c r="AA414" s="289"/>
      <c r="AB414" s="289"/>
      <c r="AC414" s="289"/>
      <c r="AD414" s="289"/>
      <c r="AE414" s="289"/>
      <c r="AF414" s="289"/>
      <c r="AG414" s="289"/>
      <c r="AH414" s="289"/>
      <c r="AI414" s="289"/>
      <c r="AJ414" s="289"/>
      <c r="AK414" s="289"/>
      <c r="AL414" s="289"/>
      <c r="AM414" s="289"/>
      <c r="AN414" s="289"/>
      <c r="AO414" s="289"/>
      <c r="AP414" s="289"/>
      <c r="AQ414" s="289"/>
      <c r="AR414" s="289"/>
      <c r="AS414" s="289"/>
      <c r="AT414" s="289"/>
      <c r="AU414" s="289"/>
      <c r="AV414" s="289"/>
      <c r="AW414" s="289"/>
      <c r="AX414" s="289"/>
      <c r="AY414" s="289"/>
    </row>
    <row r="415" spans="1:51" ht="13.5" customHeight="1">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c r="AA415" s="289"/>
      <c r="AB415" s="289"/>
      <c r="AC415" s="289"/>
      <c r="AD415" s="289"/>
      <c r="AE415" s="289"/>
      <c r="AF415" s="289"/>
      <c r="AG415" s="289"/>
      <c r="AH415" s="289"/>
      <c r="AI415" s="289"/>
      <c r="AJ415" s="289"/>
      <c r="AK415" s="289"/>
      <c r="AL415" s="289"/>
      <c r="AM415" s="289"/>
      <c r="AN415" s="289"/>
      <c r="AO415" s="289"/>
      <c r="AP415" s="289"/>
      <c r="AQ415" s="289"/>
      <c r="AR415" s="289"/>
      <c r="AS415" s="289"/>
      <c r="AT415" s="289"/>
      <c r="AU415" s="289"/>
      <c r="AV415" s="289"/>
      <c r="AW415" s="289"/>
      <c r="AX415" s="289"/>
      <c r="AY415" s="289"/>
    </row>
    <row r="416" spans="1:51" ht="13.5" customHeight="1">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c r="AA416" s="289"/>
      <c r="AB416" s="289"/>
      <c r="AC416" s="289"/>
      <c r="AD416" s="289"/>
      <c r="AE416" s="289"/>
      <c r="AF416" s="289"/>
      <c r="AG416" s="289"/>
      <c r="AH416" s="289"/>
      <c r="AI416" s="289"/>
      <c r="AJ416" s="289"/>
      <c r="AK416" s="289"/>
      <c r="AL416" s="289"/>
      <c r="AM416" s="289"/>
      <c r="AN416" s="289"/>
      <c r="AO416" s="289"/>
      <c r="AP416" s="289"/>
      <c r="AQ416" s="289"/>
      <c r="AR416" s="289"/>
      <c r="AS416" s="289"/>
      <c r="AT416" s="289"/>
      <c r="AU416" s="289"/>
      <c r="AV416" s="289"/>
      <c r="AW416" s="289"/>
      <c r="AX416" s="289"/>
      <c r="AY416" s="289"/>
    </row>
    <row r="417" spans="1:51" ht="13.5" customHeight="1">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c r="AA417" s="289"/>
      <c r="AB417" s="289"/>
      <c r="AC417" s="289"/>
      <c r="AD417" s="289"/>
      <c r="AE417" s="289"/>
      <c r="AF417" s="289"/>
      <c r="AG417" s="289"/>
      <c r="AH417" s="289"/>
      <c r="AI417" s="289"/>
      <c r="AJ417" s="289"/>
      <c r="AK417" s="289"/>
      <c r="AL417" s="289"/>
      <c r="AM417" s="289"/>
      <c r="AN417" s="289"/>
      <c r="AO417" s="289"/>
      <c r="AP417" s="289"/>
      <c r="AQ417" s="289"/>
      <c r="AR417" s="289"/>
      <c r="AS417" s="289"/>
      <c r="AT417" s="289"/>
      <c r="AU417" s="289"/>
      <c r="AV417" s="289"/>
      <c r="AW417" s="289"/>
      <c r="AX417" s="289"/>
      <c r="AY417" s="289"/>
    </row>
    <row r="418" spans="1:51" ht="13.5" customHeight="1">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c r="AA418" s="289"/>
      <c r="AB418" s="289"/>
      <c r="AC418" s="289"/>
      <c r="AD418" s="289"/>
      <c r="AE418" s="289"/>
      <c r="AF418" s="289"/>
      <c r="AG418" s="289"/>
      <c r="AH418" s="289"/>
      <c r="AI418" s="289"/>
      <c r="AJ418" s="289"/>
      <c r="AK418" s="289"/>
      <c r="AL418" s="289"/>
      <c r="AM418" s="289"/>
      <c r="AN418" s="289"/>
      <c r="AO418" s="289"/>
      <c r="AP418" s="289"/>
      <c r="AQ418" s="289"/>
      <c r="AR418" s="289"/>
      <c r="AS418" s="289"/>
      <c r="AT418" s="289"/>
      <c r="AU418" s="289"/>
      <c r="AV418" s="289"/>
      <c r="AW418" s="289"/>
      <c r="AX418" s="289"/>
      <c r="AY418" s="289"/>
    </row>
    <row r="419" spans="1:51" ht="13.5" customHeight="1">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c r="AA419" s="289"/>
      <c r="AB419" s="289"/>
      <c r="AC419" s="289"/>
      <c r="AD419" s="289"/>
      <c r="AE419" s="289"/>
      <c r="AF419" s="289"/>
      <c r="AG419" s="289"/>
      <c r="AH419" s="289"/>
      <c r="AI419" s="289"/>
      <c r="AJ419" s="289"/>
      <c r="AK419" s="289"/>
      <c r="AL419" s="289"/>
      <c r="AM419" s="289"/>
      <c r="AN419" s="289"/>
      <c r="AO419" s="289"/>
      <c r="AP419" s="289"/>
      <c r="AQ419" s="289"/>
      <c r="AR419" s="289"/>
      <c r="AS419" s="289"/>
      <c r="AT419" s="289"/>
      <c r="AU419" s="289"/>
      <c r="AV419" s="289"/>
      <c r="AW419" s="289"/>
      <c r="AX419" s="289"/>
      <c r="AY419" s="289"/>
    </row>
    <row r="420" spans="1:51" ht="13.5" customHeight="1">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c r="AA420" s="289"/>
      <c r="AB420" s="289"/>
      <c r="AC420" s="289"/>
      <c r="AD420" s="289"/>
      <c r="AE420" s="289"/>
      <c r="AF420" s="289"/>
      <c r="AG420" s="289"/>
      <c r="AH420" s="289"/>
      <c r="AI420" s="289"/>
      <c r="AJ420" s="289"/>
      <c r="AK420" s="289"/>
      <c r="AL420" s="289"/>
      <c r="AM420" s="289"/>
      <c r="AN420" s="289"/>
      <c r="AO420" s="289"/>
      <c r="AP420" s="289"/>
      <c r="AQ420" s="289"/>
      <c r="AR420" s="289"/>
      <c r="AS420" s="289"/>
      <c r="AT420" s="289"/>
      <c r="AU420" s="289"/>
      <c r="AV420" s="289"/>
      <c r="AW420" s="289"/>
      <c r="AX420" s="289"/>
      <c r="AY420" s="289"/>
    </row>
    <row r="421" spans="1:51" ht="13.5" customHeight="1">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c r="AA421" s="289"/>
      <c r="AB421" s="289"/>
      <c r="AC421" s="289"/>
      <c r="AD421" s="289"/>
      <c r="AE421" s="289"/>
      <c r="AF421" s="289"/>
      <c r="AG421" s="289"/>
      <c r="AH421" s="289"/>
      <c r="AI421" s="289"/>
      <c r="AJ421" s="289"/>
      <c r="AK421" s="289"/>
      <c r="AL421" s="289"/>
      <c r="AM421" s="289"/>
      <c r="AN421" s="289"/>
      <c r="AO421" s="289"/>
      <c r="AP421" s="289"/>
      <c r="AQ421" s="289"/>
      <c r="AR421" s="289"/>
      <c r="AS421" s="289"/>
      <c r="AT421" s="289"/>
      <c r="AU421" s="289"/>
      <c r="AV421" s="289"/>
      <c r="AW421" s="289"/>
      <c r="AX421" s="289"/>
      <c r="AY421" s="289"/>
    </row>
    <row r="422" spans="1:51" ht="13.5" customHeight="1">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c r="AA422" s="289"/>
      <c r="AB422" s="289"/>
      <c r="AC422" s="289"/>
      <c r="AD422" s="289"/>
      <c r="AE422" s="289"/>
      <c r="AF422" s="289"/>
      <c r="AG422" s="289"/>
      <c r="AH422" s="289"/>
      <c r="AI422" s="289"/>
      <c r="AJ422" s="289"/>
      <c r="AK422" s="289"/>
      <c r="AL422" s="289"/>
      <c r="AM422" s="289"/>
      <c r="AN422" s="289"/>
      <c r="AO422" s="289"/>
      <c r="AP422" s="289"/>
      <c r="AQ422" s="289"/>
      <c r="AR422" s="289"/>
      <c r="AS422" s="289"/>
      <c r="AT422" s="289"/>
      <c r="AU422" s="289"/>
      <c r="AV422" s="289"/>
      <c r="AW422" s="289"/>
      <c r="AX422" s="289"/>
      <c r="AY422" s="289"/>
    </row>
    <row r="423" spans="1:51" ht="13.5" customHeight="1">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c r="AA423" s="289"/>
      <c r="AB423" s="289"/>
      <c r="AC423" s="289"/>
      <c r="AD423" s="289"/>
      <c r="AE423" s="289"/>
      <c r="AF423" s="289"/>
      <c r="AG423" s="289"/>
      <c r="AH423" s="289"/>
      <c r="AI423" s="289"/>
      <c r="AJ423" s="289"/>
      <c r="AK423" s="289"/>
      <c r="AL423" s="289"/>
      <c r="AM423" s="289"/>
      <c r="AN423" s="289"/>
      <c r="AO423" s="289"/>
      <c r="AP423" s="289"/>
      <c r="AQ423" s="289"/>
      <c r="AR423" s="289"/>
      <c r="AS423" s="289"/>
      <c r="AT423" s="289"/>
      <c r="AU423" s="289"/>
      <c r="AV423" s="289"/>
      <c r="AW423" s="289"/>
      <c r="AX423" s="289"/>
      <c r="AY423" s="289"/>
    </row>
    <row r="424" spans="1:51" ht="13.5" customHeight="1">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c r="AA424" s="289"/>
      <c r="AB424" s="289"/>
      <c r="AC424" s="289"/>
      <c r="AD424" s="289"/>
      <c r="AE424" s="289"/>
      <c r="AF424" s="289"/>
      <c r="AG424" s="289"/>
      <c r="AH424" s="289"/>
      <c r="AI424" s="289"/>
      <c r="AJ424" s="289"/>
      <c r="AK424" s="289"/>
      <c r="AL424" s="289"/>
      <c r="AM424" s="289"/>
      <c r="AN424" s="289"/>
      <c r="AO424" s="289"/>
      <c r="AP424" s="289"/>
      <c r="AQ424" s="289"/>
      <c r="AR424" s="289"/>
      <c r="AS424" s="289"/>
      <c r="AT424" s="289"/>
      <c r="AU424" s="289"/>
      <c r="AV424" s="289"/>
      <c r="AW424" s="289"/>
      <c r="AX424" s="289"/>
      <c r="AY424" s="289"/>
    </row>
    <row r="425" spans="1:51" ht="13.5" customHeight="1">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c r="AA425" s="289"/>
      <c r="AB425" s="289"/>
      <c r="AC425" s="289"/>
      <c r="AD425" s="289"/>
      <c r="AE425" s="289"/>
      <c r="AF425" s="289"/>
      <c r="AG425" s="289"/>
      <c r="AH425" s="289"/>
      <c r="AI425" s="289"/>
      <c r="AJ425" s="289"/>
      <c r="AK425" s="289"/>
      <c r="AL425" s="289"/>
      <c r="AM425" s="289"/>
      <c r="AN425" s="289"/>
      <c r="AO425" s="289"/>
      <c r="AP425" s="289"/>
      <c r="AQ425" s="289"/>
      <c r="AR425" s="289"/>
      <c r="AS425" s="289"/>
      <c r="AT425" s="289"/>
      <c r="AU425" s="289"/>
      <c r="AV425" s="289"/>
      <c r="AW425" s="289"/>
      <c r="AX425" s="289"/>
      <c r="AY425" s="289"/>
    </row>
    <row r="426" spans="1:51" ht="13.5" customHeight="1">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c r="AA426" s="289"/>
      <c r="AB426" s="289"/>
      <c r="AC426" s="289"/>
      <c r="AD426" s="289"/>
      <c r="AE426" s="289"/>
      <c r="AF426" s="289"/>
      <c r="AG426" s="289"/>
      <c r="AH426" s="289"/>
      <c r="AI426" s="289"/>
      <c r="AJ426" s="289"/>
      <c r="AK426" s="289"/>
      <c r="AL426" s="289"/>
      <c r="AM426" s="289"/>
      <c r="AN426" s="289"/>
      <c r="AO426" s="289"/>
      <c r="AP426" s="289"/>
      <c r="AQ426" s="289"/>
      <c r="AR426" s="289"/>
      <c r="AS426" s="289"/>
      <c r="AT426" s="289"/>
      <c r="AU426" s="289"/>
      <c r="AV426" s="289"/>
      <c r="AW426" s="289"/>
      <c r="AX426" s="289"/>
      <c r="AY426" s="289"/>
    </row>
    <row r="427" spans="1:51" ht="13.5" customHeight="1">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c r="AA427" s="289"/>
      <c r="AB427" s="289"/>
      <c r="AC427" s="289"/>
      <c r="AD427" s="289"/>
      <c r="AE427" s="289"/>
      <c r="AF427" s="289"/>
      <c r="AG427" s="289"/>
      <c r="AH427" s="289"/>
      <c r="AI427" s="289"/>
      <c r="AJ427" s="289"/>
      <c r="AK427" s="289"/>
      <c r="AL427" s="289"/>
      <c r="AM427" s="289"/>
      <c r="AN427" s="289"/>
      <c r="AO427" s="289"/>
      <c r="AP427" s="289"/>
      <c r="AQ427" s="289"/>
      <c r="AR427" s="289"/>
      <c r="AS427" s="289"/>
      <c r="AT427" s="289"/>
      <c r="AU427" s="289"/>
      <c r="AV427" s="289"/>
      <c r="AW427" s="289"/>
      <c r="AX427" s="289"/>
      <c r="AY427" s="289"/>
    </row>
    <row r="428" spans="1:51" ht="13.5" customHeight="1">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c r="AA428" s="289"/>
      <c r="AB428" s="289"/>
      <c r="AC428" s="289"/>
      <c r="AD428" s="289"/>
      <c r="AE428" s="289"/>
      <c r="AF428" s="289"/>
      <c r="AG428" s="289"/>
      <c r="AH428" s="289"/>
      <c r="AI428" s="289"/>
      <c r="AJ428" s="289"/>
      <c r="AK428" s="289"/>
      <c r="AL428" s="289"/>
      <c r="AM428" s="289"/>
      <c r="AN428" s="289"/>
      <c r="AO428" s="289"/>
      <c r="AP428" s="289"/>
      <c r="AQ428" s="289"/>
      <c r="AR428" s="289"/>
      <c r="AS428" s="289"/>
      <c r="AT428" s="289"/>
      <c r="AU428" s="289"/>
      <c r="AV428" s="289"/>
      <c r="AW428" s="289"/>
      <c r="AX428" s="289"/>
      <c r="AY428" s="289"/>
    </row>
    <row r="429" spans="1:51" ht="13.5" customHeight="1">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c r="AA429" s="289"/>
      <c r="AB429" s="289"/>
      <c r="AC429" s="289"/>
      <c r="AD429" s="289"/>
      <c r="AE429" s="289"/>
      <c r="AF429" s="289"/>
      <c r="AG429" s="289"/>
      <c r="AH429" s="289"/>
      <c r="AI429" s="289"/>
      <c r="AJ429" s="289"/>
      <c r="AK429" s="289"/>
      <c r="AL429" s="289"/>
      <c r="AM429" s="289"/>
      <c r="AN429" s="289"/>
      <c r="AO429" s="289"/>
      <c r="AP429" s="289"/>
      <c r="AQ429" s="289"/>
      <c r="AR429" s="289"/>
      <c r="AS429" s="289"/>
      <c r="AT429" s="289"/>
      <c r="AU429" s="289"/>
      <c r="AV429" s="289"/>
      <c r="AW429" s="289"/>
      <c r="AX429" s="289"/>
      <c r="AY429" s="289"/>
    </row>
    <row r="430" spans="1:51" ht="13.5" customHeight="1">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c r="AA430" s="289"/>
      <c r="AB430" s="289"/>
      <c r="AC430" s="289"/>
      <c r="AD430" s="289"/>
      <c r="AE430" s="289"/>
      <c r="AF430" s="289"/>
      <c r="AG430" s="289"/>
      <c r="AH430" s="289"/>
      <c r="AI430" s="289"/>
      <c r="AJ430" s="289"/>
      <c r="AK430" s="289"/>
      <c r="AL430" s="289"/>
      <c r="AM430" s="289"/>
      <c r="AN430" s="289"/>
      <c r="AO430" s="289"/>
      <c r="AP430" s="289"/>
      <c r="AQ430" s="289"/>
      <c r="AR430" s="289"/>
      <c r="AS430" s="289"/>
      <c r="AT430" s="289"/>
      <c r="AU430" s="289"/>
      <c r="AV430" s="289"/>
      <c r="AW430" s="289"/>
      <c r="AX430" s="289"/>
      <c r="AY430" s="289"/>
    </row>
    <row r="431" spans="1:51" ht="13.5" customHeight="1">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c r="AA431" s="289"/>
      <c r="AB431" s="289"/>
      <c r="AC431" s="289"/>
      <c r="AD431" s="289"/>
      <c r="AE431" s="289"/>
      <c r="AF431" s="289"/>
      <c r="AG431" s="289"/>
      <c r="AH431" s="289"/>
      <c r="AI431" s="289"/>
      <c r="AJ431" s="289"/>
      <c r="AK431" s="289"/>
      <c r="AL431" s="289"/>
      <c r="AM431" s="289"/>
      <c r="AN431" s="289"/>
      <c r="AO431" s="289"/>
      <c r="AP431" s="289"/>
      <c r="AQ431" s="289"/>
      <c r="AR431" s="289"/>
      <c r="AS431" s="289"/>
      <c r="AT431" s="289"/>
      <c r="AU431" s="289"/>
      <c r="AV431" s="289"/>
      <c r="AW431" s="289"/>
      <c r="AX431" s="289"/>
      <c r="AY431" s="289"/>
    </row>
    <row r="432" spans="1:51" ht="13.5" customHeight="1">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c r="AA432" s="289"/>
      <c r="AB432" s="289"/>
      <c r="AC432" s="289"/>
      <c r="AD432" s="289"/>
      <c r="AE432" s="289"/>
      <c r="AF432" s="289"/>
      <c r="AG432" s="289"/>
      <c r="AH432" s="289"/>
      <c r="AI432" s="289"/>
      <c r="AJ432" s="289"/>
      <c r="AK432" s="289"/>
      <c r="AL432" s="289"/>
      <c r="AM432" s="289"/>
      <c r="AN432" s="289"/>
      <c r="AO432" s="289"/>
      <c r="AP432" s="289"/>
      <c r="AQ432" s="289"/>
      <c r="AR432" s="289"/>
      <c r="AS432" s="289"/>
      <c r="AT432" s="289"/>
      <c r="AU432" s="289"/>
      <c r="AV432" s="289"/>
      <c r="AW432" s="289"/>
      <c r="AX432" s="289"/>
      <c r="AY432" s="289"/>
    </row>
    <row r="433" spans="1:51" ht="13.5" customHeight="1">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c r="AA433" s="289"/>
      <c r="AB433" s="289"/>
      <c r="AC433" s="289"/>
      <c r="AD433" s="289"/>
      <c r="AE433" s="289"/>
      <c r="AF433" s="289"/>
      <c r="AG433" s="289"/>
      <c r="AH433" s="289"/>
      <c r="AI433" s="289"/>
      <c r="AJ433" s="289"/>
      <c r="AK433" s="289"/>
      <c r="AL433" s="289"/>
      <c r="AM433" s="289"/>
      <c r="AN433" s="289"/>
      <c r="AO433" s="289"/>
      <c r="AP433" s="289"/>
      <c r="AQ433" s="289"/>
      <c r="AR433" s="289"/>
      <c r="AS433" s="289"/>
      <c r="AT433" s="289"/>
      <c r="AU433" s="289"/>
      <c r="AV433" s="289"/>
      <c r="AW433" s="289"/>
      <c r="AX433" s="289"/>
      <c r="AY433" s="289"/>
    </row>
    <row r="434" spans="1:51" ht="13.5" customHeight="1">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c r="AA434" s="289"/>
      <c r="AB434" s="289"/>
      <c r="AC434" s="289"/>
      <c r="AD434" s="289"/>
      <c r="AE434" s="289"/>
      <c r="AF434" s="289"/>
      <c r="AG434" s="289"/>
      <c r="AH434" s="289"/>
      <c r="AI434" s="289"/>
      <c r="AJ434" s="289"/>
      <c r="AK434" s="289"/>
      <c r="AL434" s="289"/>
      <c r="AM434" s="289"/>
      <c r="AN434" s="289"/>
      <c r="AO434" s="289"/>
      <c r="AP434" s="289"/>
      <c r="AQ434" s="289"/>
      <c r="AR434" s="289"/>
      <c r="AS434" s="289"/>
      <c r="AT434" s="289"/>
      <c r="AU434" s="289"/>
      <c r="AV434" s="289"/>
      <c r="AW434" s="289"/>
      <c r="AX434" s="289"/>
      <c r="AY434" s="289"/>
    </row>
    <row r="435" spans="1:51" ht="13.5" customHeight="1">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c r="AA435" s="289"/>
      <c r="AB435" s="289"/>
      <c r="AC435" s="289"/>
      <c r="AD435" s="289"/>
      <c r="AE435" s="289"/>
      <c r="AF435" s="289"/>
      <c r="AG435" s="289"/>
      <c r="AH435" s="289"/>
      <c r="AI435" s="289"/>
      <c r="AJ435" s="289"/>
      <c r="AK435" s="289"/>
      <c r="AL435" s="289"/>
      <c r="AM435" s="289"/>
      <c r="AN435" s="289"/>
      <c r="AO435" s="289"/>
      <c r="AP435" s="289"/>
      <c r="AQ435" s="289"/>
      <c r="AR435" s="289"/>
      <c r="AS435" s="289"/>
      <c r="AT435" s="289"/>
      <c r="AU435" s="289"/>
      <c r="AV435" s="289"/>
      <c r="AW435" s="289"/>
      <c r="AX435" s="289"/>
      <c r="AY435" s="289"/>
    </row>
    <row r="436" spans="1:51" ht="13.5" customHeight="1">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c r="AA436" s="289"/>
      <c r="AB436" s="289"/>
      <c r="AC436" s="289"/>
      <c r="AD436" s="289"/>
      <c r="AE436" s="289"/>
      <c r="AF436" s="289"/>
      <c r="AG436" s="289"/>
      <c r="AH436" s="289"/>
      <c r="AI436" s="289"/>
      <c r="AJ436" s="289"/>
      <c r="AK436" s="289"/>
      <c r="AL436" s="289"/>
      <c r="AM436" s="289"/>
      <c r="AN436" s="289"/>
      <c r="AO436" s="289"/>
      <c r="AP436" s="289"/>
      <c r="AQ436" s="289"/>
      <c r="AR436" s="289"/>
      <c r="AS436" s="289"/>
      <c r="AT436" s="289"/>
      <c r="AU436" s="289"/>
      <c r="AV436" s="289"/>
      <c r="AW436" s="289"/>
      <c r="AX436" s="289"/>
      <c r="AY436" s="289"/>
    </row>
    <row r="437" spans="1:51" ht="13.5" customHeight="1">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c r="AA437" s="289"/>
      <c r="AB437" s="289"/>
      <c r="AC437" s="289"/>
      <c r="AD437" s="289"/>
      <c r="AE437" s="289"/>
      <c r="AF437" s="289"/>
      <c r="AG437" s="289"/>
      <c r="AH437" s="289"/>
      <c r="AI437" s="289"/>
      <c r="AJ437" s="289"/>
      <c r="AK437" s="289"/>
      <c r="AL437" s="289"/>
      <c r="AM437" s="289"/>
      <c r="AN437" s="289"/>
      <c r="AO437" s="289"/>
      <c r="AP437" s="289"/>
      <c r="AQ437" s="289"/>
      <c r="AR437" s="289"/>
      <c r="AS437" s="289"/>
      <c r="AT437" s="289"/>
      <c r="AU437" s="289"/>
      <c r="AV437" s="289"/>
      <c r="AW437" s="289"/>
      <c r="AX437" s="289"/>
      <c r="AY437" s="289"/>
    </row>
    <row r="438" spans="1:51" ht="13.5" customHeight="1">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c r="AA438" s="289"/>
      <c r="AB438" s="289"/>
      <c r="AC438" s="289"/>
      <c r="AD438" s="289"/>
      <c r="AE438" s="289"/>
      <c r="AF438" s="289"/>
      <c r="AG438" s="289"/>
      <c r="AH438" s="289"/>
      <c r="AI438" s="289"/>
      <c r="AJ438" s="289"/>
      <c r="AK438" s="289"/>
      <c r="AL438" s="289"/>
      <c r="AM438" s="289"/>
      <c r="AN438" s="289"/>
      <c r="AO438" s="289"/>
      <c r="AP438" s="289"/>
      <c r="AQ438" s="289"/>
      <c r="AR438" s="289"/>
      <c r="AS438" s="289"/>
      <c r="AT438" s="289"/>
      <c r="AU438" s="289"/>
      <c r="AV438" s="289"/>
      <c r="AW438" s="289"/>
      <c r="AX438" s="289"/>
      <c r="AY438" s="289"/>
    </row>
    <row r="439" spans="1:51" ht="13.5" customHeight="1">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c r="AA439" s="289"/>
      <c r="AB439" s="289"/>
      <c r="AC439" s="289"/>
      <c r="AD439" s="289"/>
      <c r="AE439" s="289"/>
      <c r="AF439" s="289"/>
      <c r="AG439" s="289"/>
      <c r="AH439" s="289"/>
      <c r="AI439" s="289"/>
      <c r="AJ439" s="289"/>
      <c r="AK439" s="289"/>
      <c r="AL439" s="289"/>
      <c r="AM439" s="289"/>
      <c r="AN439" s="289"/>
      <c r="AO439" s="289"/>
      <c r="AP439" s="289"/>
      <c r="AQ439" s="289"/>
      <c r="AR439" s="289"/>
      <c r="AS439" s="289"/>
      <c r="AT439" s="289"/>
      <c r="AU439" s="289"/>
      <c r="AV439" s="289"/>
      <c r="AW439" s="289"/>
      <c r="AX439" s="289"/>
      <c r="AY439" s="289"/>
    </row>
    <row r="440" spans="1:51" ht="13.5" customHeight="1">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c r="AA440" s="289"/>
      <c r="AB440" s="289"/>
      <c r="AC440" s="289"/>
      <c r="AD440" s="289"/>
      <c r="AE440" s="289"/>
      <c r="AF440" s="289"/>
      <c r="AG440" s="289"/>
      <c r="AH440" s="289"/>
      <c r="AI440" s="289"/>
      <c r="AJ440" s="289"/>
      <c r="AK440" s="289"/>
      <c r="AL440" s="289"/>
      <c r="AM440" s="289"/>
      <c r="AN440" s="289"/>
      <c r="AO440" s="289"/>
      <c r="AP440" s="289"/>
      <c r="AQ440" s="289"/>
      <c r="AR440" s="289"/>
      <c r="AS440" s="289"/>
      <c r="AT440" s="289"/>
      <c r="AU440" s="289"/>
      <c r="AV440" s="289"/>
      <c r="AW440" s="289"/>
      <c r="AX440" s="289"/>
      <c r="AY440" s="289"/>
    </row>
    <row r="441" spans="1:51" ht="13.5" customHeight="1">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c r="AA441" s="289"/>
      <c r="AB441" s="289"/>
      <c r="AC441" s="289"/>
      <c r="AD441" s="289"/>
      <c r="AE441" s="289"/>
      <c r="AF441" s="289"/>
      <c r="AG441" s="289"/>
      <c r="AH441" s="289"/>
      <c r="AI441" s="289"/>
      <c r="AJ441" s="289"/>
      <c r="AK441" s="289"/>
      <c r="AL441" s="289"/>
      <c r="AM441" s="289"/>
      <c r="AN441" s="289"/>
      <c r="AO441" s="289"/>
      <c r="AP441" s="289"/>
      <c r="AQ441" s="289"/>
      <c r="AR441" s="289"/>
      <c r="AS441" s="289"/>
      <c r="AT441" s="289"/>
      <c r="AU441" s="289"/>
      <c r="AV441" s="289"/>
      <c r="AW441" s="289"/>
      <c r="AX441" s="289"/>
      <c r="AY441" s="289"/>
    </row>
    <row r="442" spans="1:51" ht="13.5" customHeight="1">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c r="AA442" s="289"/>
      <c r="AB442" s="289"/>
      <c r="AC442" s="289"/>
      <c r="AD442" s="289"/>
      <c r="AE442" s="289"/>
      <c r="AF442" s="289"/>
      <c r="AG442" s="289"/>
      <c r="AH442" s="289"/>
      <c r="AI442" s="289"/>
      <c r="AJ442" s="289"/>
      <c r="AK442" s="289"/>
      <c r="AL442" s="289"/>
      <c r="AM442" s="289"/>
      <c r="AN442" s="289"/>
      <c r="AO442" s="289"/>
      <c r="AP442" s="289"/>
      <c r="AQ442" s="289"/>
      <c r="AR442" s="289"/>
      <c r="AS442" s="289"/>
      <c r="AT442" s="289"/>
      <c r="AU442" s="289"/>
      <c r="AV442" s="289"/>
      <c r="AW442" s="289"/>
      <c r="AX442" s="289"/>
      <c r="AY442" s="289"/>
    </row>
    <row r="443" spans="1:51" ht="13.5" customHeight="1">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c r="AA443" s="289"/>
      <c r="AB443" s="289"/>
      <c r="AC443" s="289"/>
      <c r="AD443" s="289"/>
      <c r="AE443" s="289"/>
      <c r="AF443" s="289"/>
      <c r="AG443" s="289"/>
      <c r="AH443" s="289"/>
      <c r="AI443" s="289"/>
      <c r="AJ443" s="289"/>
      <c r="AK443" s="289"/>
      <c r="AL443" s="289"/>
      <c r="AM443" s="289"/>
      <c r="AN443" s="289"/>
      <c r="AO443" s="289"/>
      <c r="AP443" s="289"/>
      <c r="AQ443" s="289"/>
      <c r="AR443" s="289"/>
      <c r="AS443" s="289"/>
      <c r="AT443" s="289"/>
      <c r="AU443" s="289"/>
      <c r="AV443" s="289"/>
      <c r="AW443" s="289"/>
      <c r="AX443" s="289"/>
      <c r="AY443" s="289"/>
    </row>
    <row r="444" spans="1:51" ht="13.5" customHeight="1">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c r="AA444" s="289"/>
      <c r="AB444" s="289"/>
      <c r="AC444" s="289"/>
      <c r="AD444" s="289"/>
      <c r="AE444" s="289"/>
      <c r="AF444" s="289"/>
      <c r="AG444" s="289"/>
      <c r="AH444" s="289"/>
      <c r="AI444" s="289"/>
      <c r="AJ444" s="289"/>
      <c r="AK444" s="289"/>
      <c r="AL444" s="289"/>
      <c r="AM444" s="289"/>
      <c r="AN444" s="289"/>
      <c r="AO444" s="289"/>
      <c r="AP444" s="289"/>
      <c r="AQ444" s="289"/>
      <c r="AR444" s="289"/>
      <c r="AS444" s="289"/>
      <c r="AT444" s="289"/>
      <c r="AU444" s="289"/>
      <c r="AV444" s="289"/>
      <c r="AW444" s="289"/>
      <c r="AX444" s="289"/>
      <c r="AY444" s="289"/>
    </row>
    <row r="445" spans="1:51" ht="13.5" customHeight="1">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c r="AA445" s="289"/>
      <c r="AB445" s="289"/>
      <c r="AC445" s="289"/>
      <c r="AD445" s="289"/>
      <c r="AE445" s="289"/>
      <c r="AF445" s="289"/>
      <c r="AG445" s="289"/>
      <c r="AH445" s="289"/>
      <c r="AI445" s="289"/>
      <c r="AJ445" s="289"/>
      <c r="AK445" s="289"/>
      <c r="AL445" s="289"/>
      <c r="AM445" s="289"/>
      <c r="AN445" s="289"/>
      <c r="AO445" s="289"/>
      <c r="AP445" s="289"/>
      <c r="AQ445" s="289"/>
      <c r="AR445" s="289"/>
      <c r="AS445" s="289"/>
      <c r="AT445" s="289"/>
      <c r="AU445" s="289"/>
      <c r="AV445" s="289"/>
      <c r="AW445" s="289"/>
      <c r="AX445" s="289"/>
      <c r="AY445" s="289"/>
    </row>
    <row r="446" spans="1:51" ht="13.5" customHeight="1">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c r="AA446" s="289"/>
      <c r="AB446" s="289"/>
      <c r="AC446" s="289"/>
      <c r="AD446" s="289"/>
      <c r="AE446" s="289"/>
      <c r="AF446" s="289"/>
      <c r="AG446" s="289"/>
      <c r="AH446" s="289"/>
      <c r="AI446" s="289"/>
      <c r="AJ446" s="289"/>
      <c r="AK446" s="289"/>
      <c r="AL446" s="289"/>
      <c r="AM446" s="289"/>
      <c r="AN446" s="289"/>
      <c r="AO446" s="289"/>
      <c r="AP446" s="289"/>
      <c r="AQ446" s="289"/>
      <c r="AR446" s="289"/>
      <c r="AS446" s="289"/>
      <c r="AT446" s="289"/>
      <c r="AU446" s="289"/>
      <c r="AV446" s="289"/>
      <c r="AW446" s="289"/>
      <c r="AX446" s="289"/>
      <c r="AY446" s="289"/>
    </row>
    <row r="447" spans="1:51" ht="13.5" customHeight="1">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c r="AA447" s="289"/>
      <c r="AB447" s="289"/>
      <c r="AC447" s="289"/>
      <c r="AD447" s="289"/>
      <c r="AE447" s="289"/>
      <c r="AF447" s="289"/>
      <c r="AG447" s="289"/>
      <c r="AH447" s="289"/>
      <c r="AI447" s="289"/>
      <c r="AJ447" s="289"/>
      <c r="AK447" s="289"/>
      <c r="AL447" s="289"/>
      <c r="AM447" s="289"/>
      <c r="AN447" s="289"/>
      <c r="AO447" s="289"/>
      <c r="AP447" s="289"/>
      <c r="AQ447" s="289"/>
      <c r="AR447" s="289"/>
      <c r="AS447" s="289"/>
      <c r="AT447" s="289"/>
      <c r="AU447" s="289"/>
      <c r="AV447" s="289"/>
      <c r="AW447" s="289"/>
      <c r="AX447" s="289"/>
      <c r="AY447" s="289"/>
    </row>
    <row r="448" spans="1:51" ht="13.5" customHeight="1">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c r="AA448" s="289"/>
      <c r="AB448" s="289"/>
      <c r="AC448" s="289"/>
      <c r="AD448" s="289"/>
      <c r="AE448" s="289"/>
      <c r="AF448" s="289"/>
      <c r="AG448" s="289"/>
      <c r="AH448" s="289"/>
      <c r="AI448" s="289"/>
      <c r="AJ448" s="289"/>
      <c r="AK448" s="289"/>
      <c r="AL448" s="289"/>
      <c r="AM448" s="289"/>
      <c r="AN448" s="289"/>
      <c r="AO448" s="289"/>
      <c r="AP448" s="289"/>
      <c r="AQ448" s="289"/>
      <c r="AR448" s="289"/>
      <c r="AS448" s="289"/>
      <c r="AT448" s="289"/>
      <c r="AU448" s="289"/>
      <c r="AV448" s="289"/>
      <c r="AW448" s="289"/>
      <c r="AX448" s="289"/>
      <c r="AY448" s="289"/>
    </row>
    <row r="449" spans="1:51" ht="13.5" customHeight="1">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c r="AA449" s="289"/>
      <c r="AB449" s="289"/>
      <c r="AC449" s="289"/>
      <c r="AD449" s="289"/>
      <c r="AE449" s="289"/>
      <c r="AF449" s="289"/>
      <c r="AG449" s="289"/>
      <c r="AH449" s="289"/>
      <c r="AI449" s="289"/>
      <c r="AJ449" s="289"/>
      <c r="AK449" s="289"/>
      <c r="AL449" s="289"/>
      <c r="AM449" s="289"/>
      <c r="AN449" s="289"/>
      <c r="AO449" s="289"/>
      <c r="AP449" s="289"/>
      <c r="AQ449" s="289"/>
      <c r="AR449" s="289"/>
      <c r="AS449" s="289"/>
      <c r="AT449" s="289"/>
      <c r="AU449" s="289"/>
      <c r="AV449" s="289"/>
      <c r="AW449" s="289"/>
      <c r="AX449" s="289"/>
      <c r="AY449" s="289"/>
    </row>
    <row r="450" spans="1:51" ht="13.5" customHeight="1">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c r="AA450" s="289"/>
      <c r="AB450" s="289"/>
      <c r="AC450" s="289"/>
      <c r="AD450" s="289"/>
      <c r="AE450" s="289"/>
      <c r="AF450" s="289"/>
      <c r="AG450" s="289"/>
      <c r="AH450" s="289"/>
      <c r="AI450" s="289"/>
      <c r="AJ450" s="289"/>
      <c r="AK450" s="289"/>
      <c r="AL450" s="289"/>
      <c r="AM450" s="289"/>
      <c r="AN450" s="289"/>
      <c r="AO450" s="289"/>
      <c r="AP450" s="289"/>
      <c r="AQ450" s="289"/>
      <c r="AR450" s="289"/>
      <c r="AS450" s="289"/>
      <c r="AT450" s="289"/>
      <c r="AU450" s="289"/>
      <c r="AV450" s="289"/>
      <c r="AW450" s="289"/>
      <c r="AX450" s="289"/>
      <c r="AY450" s="289"/>
    </row>
    <row r="451" spans="1:51" ht="13.5" customHeight="1">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c r="AA451" s="289"/>
      <c r="AB451" s="289"/>
      <c r="AC451" s="289"/>
      <c r="AD451" s="289"/>
      <c r="AE451" s="289"/>
      <c r="AF451" s="289"/>
      <c r="AG451" s="289"/>
      <c r="AH451" s="289"/>
      <c r="AI451" s="289"/>
      <c r="AJ451" s="289"/>
      <c r="AK451" s="289"/>
      <c r="AL451" s="289"/>
      <c r="AM451" s="289"/>
      <c r="AN451" s="289"/>
      <c r="AO451" s="289"/>
      <c r="AP451" s="289"/>
      <c r="AQ451" s="289"/>
      <c r="AR451" s="289"/>
      <c r="AS451" s="289"/>
      <c r="AT451" s="289"/>
      <c r="AU451" s="289"/>
      <c r="AV451" s="289"/>
      <c r="AW451" s="289"/>
      <c r="AX451" s="289"/>
      <c r="AY451" s="289"/>
    </row>
    <row r="452" spans="1:51" ht="13.5" customHeight="1">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c r="AA452" s="289"/>
      <c r="AB452" s="289"/>
      <c r="AC452" s="289"/>
      <c r="AD452" s="289"/>
      <c r="AE452" s="289"/>
      <c r="AF452" s="289"/>
      <c r="AG452" s="289"/>
      <c r="AH452" s="289"/>
      <c r="AI452" s="289"/>
      <c r="AJ452" s="289"/>
      <c r="AK452" s="289"/>
      <c r="AL452" s="289"/>
      <c r="AM452" s="289"/>
      <c r="AN452" s="289"/>
      <c r="AO452" s="289"/>
      <c r="AP452" s="289"/>
      <c r="AQ452" s="289"/>
      <c r="AR452" s="289"/>
      <c r="AS452" s="289"/>
      <c r="AT452" s="289"/>
      <c r="AU452" s="289"/>
      <c r="AV452" s="289"/>
      <c r="AW452" s="289"/>
      <c r="AX452" s="289"/>
      <c r="AY452" s="289"/>
    </row>
    <row r="453" spans="1:51" ht="13.5" customHeight="1">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c r="AA453" s="289"/>
      <c r="AB453" s="289"/>
      <c r="AC453" s="289"/>
      <c r="AD453" s="289"/>
      <c r="AE453" s="289"/>
      <c r="AF453" s="289"/>
      <c r="AG453" s="289"/>
      <c r="AH453" s="289"/>
      <c r="AI453" s="289"/>
      <c r="AJ453" s="289"/>
      <c r="AK453" s="289"/>
      <c r="AL453" s="289"/>
      <c r="AM453" s="289"/>
      <c r="AN453" s="289"/>
      <c r="AO453" s="289"/>
      <c r="AP453" s="289"/>
      <c r="AQ453" s="289"/>
      <c r="AR453" s="289"/>
      <c r="AS453" s="289"/>
      <c r="AT453" s="289"/>
      <c r="AU453" s="289"/>
      <c r="AV453" s="289"/>
      <c r="AW453" s="289"/>
      <c r="AX453" s="289"/>
      <c r="AY453" s="289"/>
    </row>
    <row r="454" spans="1:51" ht="13.5" customHeight="1">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c r="AA454" s="289"/>
      <c r="AB454" s="289"/>
      <c r="AC454" s="289"/>
      <c r="AD454" s="289"/>
      <c r="AE454" s="289"/>
      <c r="AF454" s="289"/>
      <c r="AG454" s="289"/>
      <c r="AH454" s="289"/>
      <c r="AI454" s="289"/>
      <c r="AJ454" s="289"/>
      <c r="AK454" s="289"/>
      <c r="AL454" s="289"/>
      <c r="AM454" s="289"/>
      <c r="AN454" s="289"/>
      <c r="AO454" s="289"/>
      <c r="AP454" s="289"/>
      <c r="AQ454" s="289"/>
      <c r="AR454" s="289"/>
      <c r="AS454" s="289"/>
      <c r="AT454" s="289"/>
      <c r="AU454" s="289"/>
      <c r="AV454" s="289"/>
      <c r="AW454" s="289"/>
      <c r="AX454" s="289"/>
      <c r="AY454" s="289"/>
    </row>
    <row r="455" spans="1:51" ht="13.5" customHeight="1">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c r="AA455" s="289"/>
      <c r="AB455" s="289"/>
      <c r="AC455" s="289"/>
      <c r="AD455" s="289"/>
      <c r="AE455" s="289"/>
      <c r="AF455" s="289"/>
      <c r="AG455" s="289"/>
      <c r="AH455" s="289"/>
      <c r="AI455" s="289"/>
      <c r="AJ455" s="289"/>
      <c r="AK455" s="289"/>
      <c r="AL455" s="289"/>
      <c r="AM455" s="289"/>
      <c r="AN455" s="289"/>
      <c r="AO455" s="289"/>
      <c r="AP455" s="289"/>
      <c r="AQ455" s="289"/>
      <c r="AR455" s="289"/>
      <c r="AS455" s="289"/>
      <c r="AT455" s="289"/>
      <c r="AU455" s="289"/>
      <c r="AV455" s="289"/>
      <c r="AW455" s="289"/>
      <c r="AX455" s="289"/>
      <c r="AY455" s="289"/>
    </row>
    <row r="456" spans="1:51" ht="13.5" customHeight="1">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c r="AA456" s="289"/>
      <c r="AB456" s="289"/>
      <c r="AC456" s="289"/>
      <c r="AD456" s="289"/>
      <c r="AE456" s="289"/>
      <c r="AF456" s="289"/>
      <c r="AG456" s="289"/>
      <c r="AH456" s="289"/>
      <c r="AI456" s="289"/>
      <c r="AJ456" s="289"/>
      <c r="AK456" s="289"/>
      <c r="AL456" s="289"/>
      <c r="AM456" s="289"/>
      <c r="AN456" s="289"/>
      <c r="AO456" s="289"/>
      <c r="AP456" s="289"/>
      <c r="AQ456" s="289"/>
      <c r="AR456" s="289"/>
      <c r="AS456" s="289"/>
      <c r="AT456" s="289"/>
      <c r="AU456" s="289"/>
      <c r="AV456" s="289"/>
      <c r="AW456" s="289"/>
      <c r="AX456" s="289"/>
      <c r="AY456" s="289"/>
    </row>
    <row r="457" spans="1:51" ht="13.5" customHeight="1">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c r="AA457" s="289"/>
      <c r="AB457" s="289"/>
      <c r="AC457" s="289"/>
      <c r="AD457" s="289"/>
      <c r="AE457" s="289"/>
      <c r="AF457" s="289"/>
      <c r="AG457" s="289"/>
      <c r="AH457" s="289"/>
      <c r="AI457" s="289"/>
      <c r="AJ457" s="289"/>
      <c r="AK457" s="289"/>
      <c r="AL457" s="289"/>
      <c r="AM457" s="289"/>
      <c r="AN457" s="289"/>
      <c r="AO457" s="289"/>
      <c r="AP457" s="289"/>
      <c r="AQ457" s="289"/>
      <c r="AR457" s="289"/>
      <c r="AS457" s="289"/>
      <c r="AT457" s="289"/>
      <c r="AU457" s="289"/>
      <c r="AV457" s="289"/>
      <c r="AW457" s="289"/>
      <c r="AX457" s="289"/>
      <c r="AY457" s="289"/>
    </row>
    <row r="458" spans="1:51" ht="13.5" customHeight="1">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c r="AA458" s="289"/>
      <c r="AB458" s="289"/>
      <c r="AC458" s="289"/>
      <c r="AD458" s="289"/>
      <c r="AE458" s="289"/>
      <c r="AF458" s="289"/>
      <c r="AG458" s="289"/>
      <c r="AH458" s="289"/>
      <c r="AI458" s="289"/>
      <c r="AJ458" s="289"/>
      <c r="AK458" s="289"/>
      <c r="AL458" s="289"/>
      <c r="AM458" s="289"/>
      <c r="AN458" s="289"/>
      <c r="AO458" s="289"/>
      <c r="AP458" s="289"/>
      <c r="AQ458" s="289"/>
      <c r="AR458" s="289"/>
      <c r="AS458" s="289"/>
      <c r="AT458" s="289"/>
      <c r="AU458" s="289"/>
      <c r="AV458" s="289"/>
      <c r="AW458" s="289"/>
      <c r="AX458" s="289"/>
      <c r="AY458" s="289"/>
    </row>
    <row r="459" spans="1:51" ht="13.5" customHeight="1">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c r="AA459" s="289"/>
      <c r="AB459" s="289"/>
      <c r="AC459" s="289"/>
      <c r="AD459" s="289"/>
      <c r="AE459" s="289"/>
      <c r="AF459" s="289"/>
      <c r="AG459" s="289"/>
      <c r="AH459" s="289"/>
      <c r="AI459" s="289"/>
      <c r="AJ459" s="289"/>
      <c r="AK459" s="289"/>
      <c r="AL459" s="289"/>
      <c r="AM459" s="289"/>
      <c r="AN459" s="289"/>
      <c r="AO459" s="289"/>
      <c r="AP459" s="289"/>
      <c r="AQ459" s="289"/>
      <c r="AR459" s="289"/>
      <c r="AS459" s="289"/>
      <c r="AT459" s="289"/>
      <c r="AU459" s="289"/>
      <c r="AV459" s="289"/>
      <c r="AW459" s="289"/>
      <c r="AX459" s="289"/>
      <c r="AY459" s="289"/>
    </row>
    <row r="460" spans="1:51" ht="13.5" customHeight="1">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c r="AA460" s="289"/>
      <c r="AB460" s="289"/>
      <c r="AC460" s="289"/>
      <c r="AD460" s="289"/>
      <c r="AE460" s="289"/>
      <c r="AF460" s="289"/>
      <c r="AG460" s="289"/>
      <c r="AH460" s="289"/>
      <c r="AI460" s="289"/>
      <c r="AJ460" s="289"/>
      <c r="AK460" s="289"/>
      <c r="AL460" s="289"/>
      <c r="AM460" s="289"/>
      <c r="AN460" s="289"/>
      <c r="AO460" s="289"/>
      <c r="AP460" s="289"/>
      <c r="AQ460" s="289"/>
      <c r="AR460" s="289"/>
      <c r="AS460" s="289"/>
      <c r="AT460" s="289"/>
      <c r="AU460" s="289"/>
      <c r="AV460" s="289"/>
      <c r="AW460" s="289"/>
      <c r="AX460" s="289"/>
      <c r="AY460" s="289"/>
    </row>
    <row r="461" spans="1:51" ht="13.5" customHeight="1">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c r="AA461" s="289"/>
      <c r="AB461" s="289"/>
      <c r="AC461" s="289"/>
      <c r="AD461" s="289"/>
      <c r="AE461" s="289"/>
      <c r="AF461" s="289"/>
      <c r="AG461" s="289"/>
      <c r="AH461" s="289"/>
      <c r="AI461" s="289"/>
      <c r="AJ461" s="289"/>
      <c r="AK461" s="289"/>
      <c r="AL461" s="289"/>
      <c r="AM461" s="289"/>
      <c r="AN461" s="289"/>
      <c r="AO461" s="289"/>
      <c r="AP461" s="289"/>
      <c r="AQ461" s="289"/>
      <c r="AR461" s="289"/>
      <c r="AS461" s="289"/>
      <c r="AT461" s="289"/>
      <c r="AU461" s="289"/>
      <c r="AV461" s="289"/>
      <c r="AW461" s="289"/>
      <c r="AX461" s="289"/>
      <c r="AY461" s="289"/>
    </row>
    <row r="462" spans="1:51" ht="13.5" customHeight="1">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c r="AA462" s="289"/>
      <c r="AB462" s="289"/>
      <c r="AC462" s="289"/>
      <c r="AD462" s="289"/>
      <c r="AE462" s="289"/>
      <c r="AF462" s="289"/>
      <c r="AG462" s="289"/>
      <c r="AH462" s="289"/>
      <c r="AI462" s="289"/>
      <c r="AJ462" s="289"/>
      <c r="AK462" s="289"/>
      <c r="AL462" s="289"/>
      <c r="AM462" s="289"/>
      <c r="AN462" s="289"/>
      <c r="AO462" s="289"/>
      <c r="AP462" s="289"/>
      <c r="AQ462" s="289"/>
      <c r="AR462" s="289"/>
      <c r="AS462" s="289"/>
      <c r="AT462" s="289"/>
      <c r="AU462" s="289"/>
      <c r="AV462" s="289"/>
      <c r="AW462" s="289"/>
      <c r="AX462" s="289"/>
      <c r="AY462" s="289"/>
    </row>
    <row r="463" spans="1:51" ht="13.5" customHeight="1">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c r="AA463" s="289"/>
      <c r="AB463" s="289"/>
      <c r="AC463" s="289"/>
      <c r="AD463" s="289"/>
      <c r="AE463" s="289"/>
      <c r="AF463" s="289"/>
      <c r="AG463" s="289"/>
      <c r="AH463" s="289"/>
      <c r="AI463" s="289"/>
      <c r="AJ463" s="289"/>
      <c r="AK463" s="289"/>
      <c r="AL463" s="289"/>
      <c r="AM463" s="289"/>
      <c r="AN463" s="289"/>
      <c r="AO463" s="289"/>
      <c r="AP463" s="289"/>
      <c r="AQ463" s="289"/>
      <c r="AR463" s="289"/>
      <c r="AS463" s="289"/>
      <c r="AT463" s="289"/>
      <c r="AU463" s="289"/>
      <c r="AV463" s="289"/>
      <c r="AW463" s="289"/>
      <c r="AX463" s="289"/>
      <c r="AY463" s="289"/>
    </row>
    <row r="464" spans="1:51" ht="13.5" customHeight="1">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c r="AA464" s="289"/>
      <c r="AB464" s="289"/>
      <c r="AC464" s="289"/>
      <c r="AD464" s="289"/>
      <c r="AE464" s="289"/>
      <c r="AF464" s="289"/>
      <c r="AG464" s="289"/>
      <c r="AH464" s="289"/>
      <c r="AI464" s="289"/>
      <c r="AJ464" s="289"/>
      <c r="AK464" s="289"/>
      <c r="AL464" s="289"/>
      <c r="AM464" s="289"/>
      <c r="AN464" s="289"/>
      <c r="AO464" s="289"/>
      <c r="AP464" s="289"/>
      <c r="AQ464" s="289"/>
      <c r="AR464" s="289"/>
      <c r="AS464" s="289"/>
      <c r="AT464" s="289"/>
      <c r="AU464" s="289"/>
      <c r="AV464" s="289"/>
      <c r="AW464" s="289"/>
      <c r="AX464" s="289"/>
      <c r="AY464" s="289"/>
    </row>
    <row r="465" spans="1:51" ht="13.5" customHeight="1">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c r="AA465" s="289"/>
      <c r="AB465" s="289"/>
      <c r="AC465" s="289"/>
      <c r="AD465" s="289"/>
      <c r="AE465" s="289"/>
      <c r="AF465" s="289"/>
      <c r="AG465" s="289"/>
      <c r="AH465" s="289"/>
      <c r="AI465" s="289"/>
      <c r="AJ465" s="289"/>
      <c r="AK465" s="289"/>
      <c r="AL465" s="289"/>
      <c r="AM465" s="289"/>
      <c r="AN465" s="289"/>
      <c r="AO465" s="289"/>
      <c r="AP465" s="289"/>
      <c r="AQ465" s="289"/>
      <c r="AR465" s="289"/>
      <c r="AS465" s="289"/>
      <c r="AT465" s="289"/>
      <c r="AU465" s="289"/>
      <c r="AV465" s="289"/>
      <c r="AW465" s="289"/>
      <c r="AX465" s="289"/>
      <c r="AY465" s="289"/>
    </row>
    <row r="466" spans="1:51" ht="13.5" customHeight="1">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c r="AA466" s="289"/>
      <c r="AB466" s="289"/>
      <c r="AC466" s="289"/>
      <c r="AD466" s="289"/>
      <c r="AE466" s="289"/>
      <c r="AF466" s="289"/>
      <c r="AG466" s="289"/>
      <c r="AH466" s="289"/>
      <c r="AI466" s="289"/>
      <c r="AJ466" s="289"/>
      <c r="AK466" s="289"/>
      <c r="AL466" s="289"/>
      <c r="AM466" s="289"/>
      <c r="AN466" s="289"/>
      <c r="AO466" s="289"/>
      <c r="AP466" s="289"/>
      <c r="AQ466" s="289"/>
      <c r="AR466" s="289"/>
      <c r="AS466" s="289"/>
      <c r="AT466" s="289"/>
      <c r="AU466" s="289"/>
      <c r="AV466" s="289"/>
      <c r="AW466" s="289"/>
      <c r="AX466" s="289"/>
      <c r="AY466" s="289"/>
    </row>
    <row r="467" spans="1:51" ht="13.5" customHeight="1">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c r="AA467" s="289"/>
      <c r="AB467" s="289"/>
      <c r="AC467" s="289"/>
      <c r="AD467" s="289"/>
      <c r="AE467" s="289"/>
      <c r="AF467" s="289"/>
      <c r="AG467" s="289"/>
      <c r="AH467" s="289"/>
      <c r="AI467" s="289"/>
      <c r="AJ467" s="289"/>
      <c r="AK467" s="289"/>
      <c r="AL467" s="289"/>
      <c r="AM467" s="289"/>
      <c r="AN467" s="289"/>
      <c r="AO467" s="289"/>
      <c r="AP467" s="289"/>
      <c r="AQ467" s="289"/>
      <c r="AR467" s="289"/>
      <c r="AS467" s="289"/>
      <c r="AT467" s="289"/>
      <c r="AU467" s="289"/>
      <c r="AV467" s="289"/>
      <c r="AW467" s="289"/>
      <c r="AX467" s="289"/>
      <c r="AY467" s="289"/>
    </row>
    <row r="468" spans="1:51" ht="13.5" customHeight="1">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c r="AA468" s="289"/>
      <c r="AB468" s="289"/>
      <c r="AC468" s="289"/>
      <c r="AD468" s="289"/>
      <c r="AE468" s="289"/>
      <c r="AF468" s="289"/>
      <c r="AG468" s="289"/>
      <c r="AH468" s="289"/>
      <c r="AI468" s="289"/>
      <c r="AJ468" s="289"/>
      <c r="AK468" s="289"/>
      <c r="AL468" s="289"/>
      <c r="AM468" s="289"/>
      <c r="AN468" s="289"/>
      <c r="AO468" s="289"/>
      <c r="AP468" s="289"/>
      <c r="AQ468" s="289"/>
      <c r="AR468" s="289"/>
      <c r="AS468" s="289"/>
      <c r="AT468" s="289"/>
      <c r="AU468" s="289"/>
      <c r="AV468" s="289"/>
      <c r="AW468" s="289"/>
      <c r="AX468" s="289"/>
      <c r="AY468" s="289"/>
    </row>
    <row r="469" spans="1:51" ht="13.5" customHeight="1">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c r="AA469" s="289"/>
      <c r="AB469" s="289"/>
      <c r="AC469" s="289"/>
      <c r="AD469" s="289"/>
      <c r="AE469" s="289"/>
      <c r="AF469" s="289"/>
      <c r="AG469" s="289"/>
      <c r="AH469" s="289"/>
      <c r="AI469" s="289"/>
      <c r="AJ469" s="289"/>
      <c r="AK469" s="289"/>
      <c r="AL469" s="289"/>
      <c r="AM469" s="289"/>
      <c r="AN469" s="289"/>
      <c r="AO469" s="289"/>
      <c r="AP469" s="289"/>
      <c r="AQ469" s="289"/>
      <c r="AR469" s="289"/>
      <c r="AS469" s="289"/>
      <c r="AT469" s="289"/>
      <c r="AU469" s="289"/>
      <c r="AV469" s="289"/>
      <c r="AW469" s="289"/>
      <c r="AX469" s="289"/>
      <c r="AY469" s="289"/>
    </row>
    <row r="470" spans="1:51" ht="13.5" customHeight="1">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c r="AA470" s="289"/>
      <c r="AB470" s="289"/>
      <c r="AC470" s="289"/>
      <c r="AD470" s="289"/>
      <c r="AE470" s="289"/>
      <c r="AF470" s="289"/>
      <c r="AG470" s="289"/>
      <c r="AH470" s="289"/>
      <c r="AI470" s="289"/>
      <c r="AJ470" s="289"/>
      <c r="AK470" s="289"/>
      <c r="AL470" s="289"/>
      <c r="AM470" s="289"/>
      <c r="AN470" s="289"/>
      <c r="AO470" s="289"/>
      <c r="AP470" s="289"/>
      <c r="AQ470" s="289"/>
      <c r="AR470" s="289"/>
      <c r="AS470" s="289"/>
      <c r="AT470" s="289"/>
      <c r="AU470" s="289"/>
      <c r="AV470" s="289"/>
      <c r="AW470" s="289"/>
      <c r="AX470" s="289"/>
      <c r="AY470" s="289"/>
    </row>
    <row r="471" spans="1:51" ht="13.5" customHeight="1">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c r="AA471" s="289"/>
      <c r="AB471" s="289"/>
      <c r="AC471" s="289"/>
      <c r="AD471" s="289"/>
      <c r="AE471" s="289"/>
      <c r="AF471" s="289"/>
      <c r="AG471" s="289"/>
      <c r="AH471" s="289"/>
      <c r="AI471" s="289"/>
      <c r="AJ471" s="289"/>
      <c r="AK471" s="289"/>
      <c r="AL471" s="289"/>
      <c r="AM471" s="289"/>
      <c r="AN471" s="289"/>
      <c r="AO471" s="289"/>
      <c r="AP471" s="289"/>
      <c r="AQ471" s="289"/>
      <c r="AR471" s="289"/>
      <c r="AS471" s="289"/>
      <c r="AT471" s="289"/>
      <c r="AU471" s="289"/>
      <c r="AV471" s="289"/>
      <c r="AW471" s="289"/>
      <c r="AX471" s="289"/>
      <c r="AY471" s="289"/>
    </row>
    <row r="472" spans="1:51" ht="13.5" customHeight="1">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c r="AA472" s="289"/>
      <c r="AB472" s="289"/>
      <c r="AC472" s="289"/>
      <c r="AD472" s="289"/>
      <c r="AE472" s="289"/>
      <c r="AF472" s="289"/>
      <c r="AG472" s="289"/>
      <c r="AH472" s="289"/>
      <c r="AI472" s="289"/>
      <c r="AJ472" s="289"/>
      <c r="AK472" s="289"/>
      <c r="AL472" s="289"/>
      <c r="AM472" s="289"/>
      <c r="AN472" s="289"/>
      <c r="AO472" s="289"/>
      <c r="AP472" s="289"/>
      <c r="AQ472" s="289"/>
      <c r="AR472" s="289"/>
      <c r="AS472" s="289"/>
      <c r="AT472" s="289"/>
      <c r="AU472" s="289"/>
      <c r="AV472" s="289"/>
      <c r="AW472" s="289"/>
      <c r="AX472" s="289"/>
      <c r="AY472" s="289"/>
    </row>
    <row r="473" spans="1:51" ht="13.5" customHeight="1">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c r="AA473" s="289"/>
      <c r="AB473" s="289"/>
      <c r="AC473" s="289"/>
      <c r="AD473" s="289"/>
      <c r="AE473" s="289"/>
      <c r="AF473" s="289"/>
      <c r="AG473" s="289"/>
      <c r="AH473" s="289"/>
      <c r="AI473" s="289"/>
      <c r="AJ473" s="289"/>
      <c r="AK473" s="289"/>
      <c r="AL473" s="289"/>
      <c r="AM473" s="289"/>
      <c r="AN473" s="289"/>
      <c r="AO473" s="289"/>
      <c r="AP473" s="289"/>
      <c r="AQ473" s="289"/>
      <c r="AR473" s="289"/>
      <c r="AS473" s="289"/>
      <c r="AT473" s="289"/>
      <c r="AU473" s="289"/>
      <c r="AV473" s="289"/>
      <c r="AW473" s="289"/>
      <c r="AX473" s="289"/>
      <c r="AY473" s="289"/>
    </row>
    <row r="474" spans="1:51" ht="13.5" customHeight="1">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c r="AA474" s="289"/>
      <c r="AB474" s="289"/>
      <c r="AC474" s="289"/>
      <c r="AD474" s="289"/>
      <c r="AE474" s="289"/>
      <c r="AF474" s="289"/>
      <c r="AG474" s="289"/>
      <c r="AH474" s="289"/>
      <c r="AI474" s="289"/>
      <c r="AJ474" s="289"/>
      <c r="AK474" s="289"/>
      <c r="AL474" s="289"/>
      <c r="AM474" s="289"/>
      <c r="AN474" s="289"/>
      <c r="AO474" s="289"/>
      <c r="AP474" s="289"/>
      <c r="AQ474" s="289"/>
      <c r="AR474" s="289"/>
      <c r="AS474" s="289"/>
      <c r="AT474" s="289"/>
      <c r="AU474" s="289"/>
      <c r="AV474" s="289"/>
      <c r="AW474" s="289"/>
      <c r="AX474" s="289"/>
      <c r="AY474" s="289"/>
    </row>
    <row r="475" spans="1:51" ht="13.5" customHeight="1">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c r="AA475" s="289"/>
      <c r="AB475" s="289"/>
      <c r="AC475" s="289"/>
      <c r="AD475" s="289"/>
      <c r="AE475" s="289"/>
      <c r="AF475" s="289"/>
      <c r="AG475" s="289"/>
      <c r="AH475" s="289"/>
      <c r="AI475" s="289"/>
      <c r="AJ475" s="289"/>
      <c r="AK475" s="289"/>
      <c r="AL475" s="289"/>
      <c r="AM475" s="289"/>
      <c r="AN475" s="289"/>
      <c r="AO475" s="289"/>
      <c r="AP475" s="289"/>
      <c r="AQ475" s="289"/>
      <c r="AR475" s="289"/>
      <c r="AS475" s="289"/>
      <c r="AT475" s="289"/>
      <c r="AU475" s="289"/>
      <c r="AV475" s="289"/>
      <c r="AW475" s="289"/>
      <c r="AX475" s="289"/>
      <c r="AY475" s="289"/>
    </row>
    <row r="476" spans="1:51" ht="13.5" customHeight="1">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c r="AB476" s="289"/>
      <c r="AC476" s="289"/>
      <c r="AD476" s="289"/>
      <c r="AE476" s="289"/>
      <c r="AF476" s="289"/>
      <c r="AG476" s="289"/>
      <c r="AH476" s="289"/>
      <c r="AI476" s="289"/>
      <c r="AJ476" s="289"/>
      <c r="AK476" s="289"/>
      <c r="AL476" s="289"/>
      <c r="AM476" s="289"/>
      <c r="AN476" s="289"/>
      <c r="AO476" s="289"/>
      <c r="AP476" s="289"/>
      <c r="AQ476" s="289"/>
      <c r="AR476" s="289"/>
      <c r="AS476" s="289"/>
      <c r="AT476" s="289"/>
      <c r="AU476" s="289"/>
      <c r="AV476" s="289"/>
      <c r="AW476" s="289"/>
      <c r="AX476" s="289"/>
      <c r="AY476" s="289"/>
    </row>
    <row r="477" spans="1:51" ht="13.5" customHeight="1">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c r="AA477" s="289"/>
      <c r="AB477" s="289"/>
      <c r="AC477" s="289"/>
      <c r="AD477" s="289"/>
      <c r="AE477" s="289"/>
      <c r="AF477" s="289"/>
      <c r="AG477" s="289"/>
      <c r="AH477" s="289"/>
      <c r="AI477" s="289"/>
      <c r="AJ477" s="289"/>
      <c r="AK477" s="289"/>
      <c r="AL477" s="289"/>
      <c r="AM477" s="289"/>
      <c r="AN477" s="289"/>
      <c r="AO477" s="289"/>
      <c r="AP477" s="289"/>
      <c r="AQ477" s="289"/>
      <c r="AR477" s="289"/>
      <c r="AS477" s="289"/>
      <c r="AT477" s="289"/>
      <c r="AU477" s="289"/>
      <c r="AV477" s="289"/>
      <c r="AW477" s="289"/>
      <c r="AX477" s="289"/>
      <c r="AY477" s="289"/>
    </row>
    <row r="478" spans="1:51" ht="13.5" customHeight="1">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c r="AA478" s="289"/>
      <c r="AB478" s="289"/>
      <c r="AC478" s="289"/>
      <c r="AD478" s="289"/>
      <c r="AE478" s="289"/>
      <c r="AF478" s="289"/>
      <c r="AG478" s="289"/>
      <c r="AH478" s="289"/>
      <c r="AI478" s="289"/>
      <c r="AJ478" s="289"/>
      <c r="AK478" s="289"/>
      <c r="AL478" s="289"/>
      <c r="AM478" s="289"/>
      <c r="AN478" s="289"/>
      <c r="AO478" s="289"/>
      <c r="AP478" s="289"/>
      <c r="AQ478" s="289"/>
      <c r="AR478" s="289"/>
      <c r="AS478" s="289"/>
      <c r="AT478" s="289"/>
      <c r="AU478" s="289"/>
      <c r="AV478" s="289"/>
      <c r="AW478" s="289"/>
      <c r="AX478" s="289"/>
      <c r="AY478" s="289"/>
    </row>
    <row r="479" spans="1:51" ht="13.5" customHeight="1">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c r="AA479" s="289"/>
      <c r="AB479" s="289"/>
      <c r="AC479" s="289"/>
      <c r="AD479" s="289"/>
      <c r="AE479" s="289"/>
      <c r="AF479" s="289"/>
      <c r="AG479" s="289"/>
      <c r="AH479" s="289"/>
      <c r="AI479" s="289"/>
      <c r="AJ479" s="289"/>
      <c r="AK479" s="289"/>
      <c r="AL479" s="289"/>
      <c r="AM479" s="289"/>
      <c r="AN479" s="289"/>
      <c r="AO479" s="289"/>
      <c r="AP479" s="289"/>
      <c r="AQ479" s="289"/>
      <c r="AR479" s="289"/>
      <c r="AS479" s="289"/>
      <c r="AT479" s="289"/>
      <c r="AU479" s="289"/>
      <c r="AV479" s="289"/>
      <c r="AW479" s="289"/>
      <c r="AX479" s="289"/>
      <c r="AY479" s="289"/>
    </row>
    <row r="480" spans="1:51" ht="13.5" customHeight="1">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c r="AA480" s="289"/>
      <c r="AB480" s="289"/>
      <c r="AC480" s="289"/>
      <c r="AD480" s="289"/>
      <c r="AE480" s="289"/>
      <c r="AF480" s="289"/>
      <c r="AG480" s="289"/>
      <c r="AH480" s="289"/>
      <c r="AI480" s="289"/>
      <c r="AJ480" s="289"/>
      <c r="AK480" s="289"/>
      <c r="AL480" s="289"/>
      <c r="AM480" s="289"/>
      <c r="AN480" s="289"/>
      <c r="AO480" s="289"/>
      <c r="AP480" s="289"/>
      <c r="AQ480" s="289"/>
      <c r="AR480" s="289"/>
      <c r="AS480" s="289"/>
      <c r="AT480" s="289"/>
      <c r="AU480" s="289"/>
      <c r="AV480" s="289"/>
      <c r="AW480" s="289"/>
      <c r="AX480" s="289"/>
      <c r="AY480" s="289"/>
    </row>
    <row r="481" spans="1:51" ht="13.5" customHeight="1">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c r="AA481" s="289"/>
      <c r="AB481" s="289"/>
      <c r="AC481" s="289"/>
      <c r="AD481" s="289"/>
      <c r="AE481" s="289"/>
      <c r="AF481" s="289"/>
      <c r="AG481" s="289"/>
      <c r="AH481" s="289"/>
      <c r="AI481" s="289"/>
      <c r="AJ481" s="289"/>
      <c r="AK481" s="289"/>
      <c r="AL481" s="289"/>
      <c r="AM481" s="289"/>
      <c r="AN481" s="289"/>
      <c r="AO481" s="289"/>
      <c r="AP481" s="289"/>
      <c r="AQ481" s="289"/>
      <c r="AR481" s="289"/>
      <c r="AS481" s="289"/>
      <c r="AT481" s="289"/>
      <c r="AU481" s="289"/>
      <c r="AV481" s="289"/>
      <c r="AW481" s="289"/>
      <c r="AX481" s="289"/>
      <c r="AY481" s="289"/>
    </row>
    <row r="482" spans="1:51" ht="13.5" customHeight="1">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c r="AA482" s="289"/>
      <c r="AB482" s="289"/>
      <c r="AC482" s="289"/>
      <c r="AD482" s="289"/>
      <c r="AE482" s="289"/>
      <c r="AF482" s="289"/>
      <c r="AG482" s="289"/>
      <c r="AH482" s="289"/>
      <c r="AI482" s="289"/>
      <c r="AJ482" s="289"/>
      <c r="AK482" s="289"/>
      <c r="AL482" s="289"/>
      <c r="AM482" s="289"/>
      <c r="AN482" s="289"/>
      <c r="AO482" s="289"/>
      <c r="AP482" s="289"/>
      <c r="AQ482" s="289"/>
      <c r="AR482" s="289"/>
      <c r="AS482" s="289"/>
      <c r="AT482" s="289"/>
      <c r="AU482" s="289"/>
      <c r="AV482" s="289"/>
      <c r="AW482" s="289"/>
      <c r="AX482" s="289"/>
      <c r="AY482" s="289"/>
    </row>
    <row r="483" spans="1:51" ht="13.5" customHeight="1">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c r="AA483" s="289"/>
      <c r="AB483" s="289"/>
      <c r="AC483" s="289"/>
      <c r="AD483" s="289"/>
      <c r="AE483" s="289"/>
      <c r="AF483" s="289"/>
      <c r="AG483" s="289"/>
      <c r="AH483" s="289"/>
      <c r="AI483" s="289"/>
      <c r="AJ483" s="289"/>
      <c r="AK483" s="289"/>
      <c r="AL483" s="289"/>
      <c r="AM483" s="289"/>
      <c r="AN483" s="289"/>
      <c r="AO483" s="289"/>
      <c r="AP483" s="289"/>
      <c r="AQ483" s="289"/>
      <c r="AR483" s="289"/>
      <c r="AS483" s="289"/>
      <c r="AT483" s="289"/>
      <c r="AU483" s="289"/>
      <c r="AV483" s="289"/>
      <c r="AW483" s="289"/>
      <c r="AX483" s="289"/>
      <c r="AY483" s="289"/>
    </row>
    <row r="484" spans="1:51" ht="13.5" customHeight="1">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c r="AA484" s="289"/>
      <c r="AB484" s="289"/>
      <c r="AC484" s="289"/>
      <c r="AD484" s="289"/>
      <c r="AE484" s="289"/>
      <c r="AF484" s="289"/>
      <c r="AG484" s="289"/>
      <c r="AH484" s="289"/>
      <c r="AI484" s="289"/>
      <c r="AJ484" s="289"/>
      <c r="AK484" s="289"/>
      <c r="AL484" s="289"/>
      <c r="AM484" s="289"/>
      <c r="AN484" s="289"/>
      <c r="AO484" s="289"/>
      <c r="AP484" s="289"/>
      <c r="AQ484" s="289"/>
      <c r="AR484" s="289"/>
      <c r="AS484" s="289"/>
      <c r="AT484" s="289"/>
      <c r="AU484" s="289"/>
      <c r="AV484" s="289"/>
      <c r="AW484" s="289"/>
      <c r="AX484" s="289"/>
      <c r="AY484" s="289"/>
    </row>
    <row r="485" spans="1:51" ht="13.5" customHeight="1">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c r="AA485" s="289"/>
      <c r="AB485" s="289"/>
      <c r="AC485" s="289"/>
      <c r="AD485" s="289"/>
      <c r="AE485" s="289"/>
      <c r="AF485" s="289"/>
      <c r="AG485" s="289"/>
      <c r="AH485" s="289"/>
      <c r="AI485" s="289"/>
      <c r="AJ485" s="289"/>
      <c r="AK485" s="289"/>
      <c r="AL485" s="289"/>
      <c r="AM485" s="289"/>
      <c r="AN485" s="289"/>
      <c r="AO485" s="289"/>
      <c r="AP485" s="289"/>
      <c r="AQ485" s="289"/>
      <c r="AR485" s="289"/>
      <c r="AS485" s="289"/>
      <c r="AT485" s="289"/>
      <c r="AU485" s="289"/>
      <c r="AV485" s="289"/>
      <c r="AW485" s="289"/>
      <c r="AX485" s="289"/>
      <c r="AY485" s="289"/>
    </row>
    <row r="486" spans="1:51" ht="13.5" customHeight="1">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c r="AA486" s="289"/>
      <c r="AB486" s="289"/>
      <c r="AC486" s="289"/>
      <c r="AD486" s="289"/>
      <c r="AE486" s="289"/>
      <c r="AF486" s="289"/>
      <c r="AG486" s="289"/>
      <c r="AH486" s="289"/>
      <c r="AI486" s="289"/>
      <c r="AJ486" s="289"/>
      <c r="AK486" s="289"/>
      <c r="AL486" s="289"/>
      <c r="AM486" s="289"/>
      <c r="AN486" s="289"/>
      <c r="AO486" s="289"/>
      <c r="AP486" s="289"/>
      <c r="AQ486" s="289"/>
      <c r="AR486" s="289"/>
      <c r="AS486" s="289"/>
      <c r="AT486" s="289"/>
      <c r="AU486" s="289"/>
      <c r="AV486" s="289"/>
      <c r="AW486" s="289"/>
      <c r="AX486" s="289"/>
      <c r="AY486" s="289"/>
    </row>
    <row r="487" spans="1:51" ht="13.5" customHeight="1">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c r="AA487" s="289"/>
      <c r="AB487" s="289"/>
      <c r="AC487" s="289"/>
      <c r="AD487" s="289"/>
      <c r="AE487" s="289"/>
      <c r="AF487" s="289"/>
      <c r="AG487" s="289"/>
      <c r="AH487" s="289"/>
      <c r="AI487" s="289"/>
      <c r="AJ487" s="289"/>
      <c r="AK487" s="289"/>
      <c r="AL487" s="289"/>
      <c r="AM487" s="289"/>
      <c r="AN487" s="289"/>
      <c r="AO487" s="289"/>
      <c r="AP487" s="289"/>
      <c r="AQ487" s="289"/>
      <c r="AR487" s="289"/>
      <c r="AS487" s="289"/>
      <c r="AT487" s="289"/>
      <c r="AU487" s="289"/>
      <c r="AV487" s="289"/>
      <c r="AW487" s="289"/>
      <c r="AX487" s="289"/>
      <c r="AY487" s="289"/>
    </row>
    <row r="488" spans="1:51" ht="13.5" customHeight="1">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c r="AA488" s="289"/>
      <c r="AB488" s="289"/>
      <c r="AC488" s="289"/>
      <c r="AD488" s="289"/>
      <c r="AE488" s="289"/>
      <c r="AF488" s="289"/>
      <c r="AG488" s="289"/>
      <c r="AH488" s="289"/>
      <c r="AI488" s="289"/>
      <c r="AJ488" s="289"/>
      <c r="AK488" s="289"/>
      <c r="AL488" s="289"/>
      <c r="AM488" s="289"/>
      <c r="AN488" s="289"/>
      <c r="AO488" s="289"/>
      <c r="AP488" s="289"/>
      <c r="AQ488" s="289"/>
      <c r="AR488" s="289"/>
      <c r="AS488" s="289"/>
      <c r="AT488" s="289"/>
      <c r="AU488" s="289"/>
      <c r="AV488" s="289"/>
      <c r="AW488" s="289"/>
      <c r="AX488" s="289"/>
      <c r="AY488" s="289"/>
    </row>
    <row r="489" spans="1:51" ht="13.5" customHeight="1">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c r="AA489" s="289"/>
      <c r="AB489" s="289"/>
      <c r="AC489" s="289"/>
      <c r="AD489" s="289"/>
      <c r="AE489" s="289"/>
      <c r="AF489" s="289"/>
      <c r="AG489" s="289"/>
      <c r="AH489" s="289"/>
      <c r="AI489" s="289"/>
      <c r="AJ489" s="289"/>
      <c r="AK489" s="289"/>
      <c r="AL489" s="289"/>
      <c r="AM489" s="289"/>
      <c r="AN489" s="289"/>
      <c r="AO489" s="289"/>
      <c r="AP489" s="289"/>
      <c r="AQ489" s="289"/>
      <c r="AR489" s="289"/>
      <c r="AS489" s="289"/>
      <c r="AT489" s="289"/>
      <c r="AU489" s="289"/>
      <c r="AV489" s="289"/>
      <c r="AW489" s="289"/>
      <c r="AX489" s="289"/>
      <c r="AY489" s="289"/>
    </row>
    <row r="490" spans="1:51" ht="13.5" customHeight="1">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c r="AA490" s="289"/>
      <c r="AB490" s="289"/>
      <c r="AC490" s="289"/>
      <c r="AD490" s="289"/>
      <c r="AE490" s="289"/>
      <c r="AF490" s="289"/>
      <c r="AG490" s="289"/>
      <c r="AH490" s="289"/>
      <c r="AI490" s="289"/>
      <c r="AJ490" s="289"/>
      <c r="AK490" s="289"/>
      <c r="AL490" s="289"/>
      <c r="AM490" s="289"/>
      <c r="AN490" s="289"/>
      <c r="AO490" s="289"/>
      <c r="AP490" s="289"/>
      <c r="AQ490" s="289"/>
      <c r="AR490" s="289"/>
      <c r="AS490" s="289"/>
      <c r="AT490" s="289"/>
      <c r="AU490" s="289"/>
      <c r="AV490" s="289"/>
      <c r="AW490" s="289"/>
      <c r="AX490" s="289"/>
      <c r="AY490" s="289"/>
    </row>
    <row r="491" spans="1:51" ht="13.5" customHeight="1">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c r="AA491" s="289"/>
      <c r="AB491" s="289"/>
      <c r="AC491" s="289"/>
      <c r="AD491" s="289"/>
      <c r="AE491" s="289"/>
      <c r="AF491" s="289"/>
      <c r="AG491" s="289"/>
      <c r="AH491" s="289"/>
      <c r="AI491" s="289"/>
      <c r="AJ491" s="289"/>
      <c r="AK491" s="289"/>
      <c r="AL491" s="289"/>
      <c r="AM491" s="289"/>
      <c r="AN491" s="289"/>
      <c r="AO491" s="289"/>
      <c r="AP491" s="289"/>
      <c r="AQ491" s="289"/>
      <c r="AR491" s="289"/>
      <c r="AS491" s="289"/>
      <c r="AT491" s="289"/>
      <c r="AU491" s="289"/>
      <c r="AV491" s="289"/>
      <c r="AW491" s="289"/>
      <c r="AX491" s="289"/>
      <c r="AY491" s="289"/>
    </row>
    <row r="492" spans="1:51" ht="13.5" customHeight="1">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c r="AA492" s="289"/>
      <c r="AB492" s="289"/>
      <c r="AC492" s="289"/>
      <c r="AD492" s="289"/>
      <c r="AE492" s="289"/>
      <c r="AF492" s="289"/>
      <c r="AG492" s="289"/>
      <c r="AH492" s="289"/>
      <c r="AI492" s="289"/>
      <c r="AJ492" s="289"/>
      <c r="AK492" s="289"/>
      <c r="AL492" s="289"/>
      <c r="AM492" s="289"/>
      <c r="AN492" s="289"/>
      <c r="AO492" s="289"/>
      <c r="AP492" s="289"/>
      <c r="AQ492" s="289"/>
      <c r="AR492" s="289"/>
      <c r="AS492" s="289"/>
      <c r="AT492" s="289"/>
      <c r="AU492" s="289"/>
      <c r="AV492" s="289"/>
      <c r="AW492" s="289"/>
      <c r="AX492" s="289"/>
      <c r="AY492" s="289"/>
    </row>
    <row r="493" spans="1:51" ht="13.5" customHeight="1">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c r="AA493" s="289"/>
      <c r="AB493" s="289"/>
      <c r="AC493" s="289"/>
      <c r="AD493" s="289"/>
      <c r="AE493" s="289"/>
      <c r="AF493" s="289"/>
      <c r="AG493" s="289"/>
      <c r="AH493" s="289"/>
      <c r="AI493" s="289"/>
      <c r="AJ493" s="289"/>
      <c r="AK493" s="289"/>
      <c r="AL493" s="289"/>
      <c r="AM493" s="289"/>
      <c r="AN493" s="289"/>
      <c r="AO493" s="289"/>
      <c r="AP493" s="289"/>
      <c r="AQ493" s="289"/>
      <c r="AR493" s="289"/>
      <c r="AS493" s="289"/>
      <c r="AT493" s="289"/>
      <c r="AU493" s="289"/>
      <c r="AV493" s="289"/>
      <c r="AW493" s="289"/>
      <c r="AX493" s="289"/>
      <c r="AY493" s="289"/>
    </row>
    <row r="494" spans="1:51" ht="13.5" customHeight="1">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c r="AA494" s="289"/>
      <c r="AB494" s="289"/>
      <c r="AC494" s="289"/>
      <c r="AD494" s="289"/>
      <c r="AE494" s="289"/>
      <c r="AF494" s="289"/>
      <c r="AG494" s="289"/>
      <c r="AH494" s="289"/>
      <c r="AI494" s="289"/>
      <c r="AJ494" s="289"/>
      <c r="AK494" s="289"/>
      <c r="AL494" s="289"/>
      <c r="AM494" s="289"/>
      <c r="AN494" s="289"/>
      <c r="AO494" s="289"/>
      <c r="AP494" s="289"/>
      <c r="AQ494" s="289"/>
      <c r="AR494" s="289"/>
      <c r="AS494" s="289"/>
      <c r="AT494" s="289"/>
      <c r="AU494" s="289"/>
      <c r="AV494" s="289"/>
      <c r="AW494" s="289"/>
      <c r="AX494" s="289"/>
      <c r="AY494" s="289"/>
    </row>
    <row r="495" spans="1:51" ht="13.5" customHeight="1">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c r="AA495" s="289"/>
      <c r="AB495" s="289"/>
      <c r="AC495" s="289"/>
      <c r="AD495" s="289"/>
      <c r="AE495" s="289"/>
      <c r="AF495" s="289"/>
      <c r="AG495" s="289"/>
      <c r="AH495" s="289"/>
      <c r="AI495" s="289"/>
      <c r="AJ495" s="289"/>
      <c r="AK495" s="289"/>
      <c r="AL495" s="289"/>
      <c r="AM495" s="289"/>
      <c r="AN495" s="289"/>
      <c r="AO495" s="289"/>
      <c r="AP495" s="289"/>
      <c r="AQ495" s="289"/>
      <c r="AR495" s="289"/>
      <c r="AS495" s="289"/>
      <c r="AT495" s="289"/>
      <c r="AU495" s="289"/>
      <c r="AV495" s="289"/>
      <c r="AW495" s="289"/>
      <c r="AX495" s="289"/>
      <c r="AY495" s="289"/>
    </row>
    <row r="496" spans="1:51" ht="13.5" customHeight="1">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c r="AA496" s="289"/>
      <c r="AB496" s="289"/>
      <c r="AC496" s="289"/>
      <c r="AD496" s="289"/>
      <c r="AE496" s="289"/>
      <c r="AF496" s="289"/>
      <c r="AG496" s="289"/>
      <c r="AH496" s="289"/>
      <c r="AI496" s="289"/>
      <c r="AJ496" s="289"/>
      <c r="AK496" s="289"/>
      <c r="AL496" s="289"/>
      <c r="AM496" s="289"/>
      <c r="AN496" s="289"/>
      <c r="AO496" s="289"/>
      <c r="AP496" s="289"/>
      <c r="AQ496" s="289"/>
      <c r="AR496" s="289"/>
      <c r="AS496" s="289"/>
      <c r="AT496" s="289"/>
      <c r="AU496" s="289"/>
      <c r="AV496" s="289"/>
      <c r="AW496" s="289"/>
      <c r="AX496" s="289"/>
      <c r="AY496" s="289"/>
    </row>
    <row r="497" spans="1:51" ht="13.5" customHeight="1">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c r="AA497" s="289"/>
      <c r="AB497" s="289"/>
      <c r="AC497" s="289"/>
      <c r="AD497" s="289"/>
      <c r="AE497" s="289"/>
      <c r="AF497" s="289"/>
      <c r="AG497" s="289"/>
      <c r="AH497" s="289"/>
      <c r="AI497" s="289"/>
      <c r="AJ497" s="289"/>
      <c r="AK497" s="289"/>
      <c r="AL497" s="289"/>
      <c r="AM497" s="289"/>
      <c r="AN497" s="289"/>
      <c r="AO497" s="289"/>
      <c r="AP497" s="289"/>
      <c r="AQ497" s="289"/>
      <c r="AR497" s="289"/>
      <c r="AS497" s="289"/>
      <c r="AT497" s="289"/>
      <c r="AU497" s="289"/>
      <c r="AV497" s="289"/>
      <c r="AW497" s="289"/>
      <c r="AX497" s="289"/>
      <c r="AY497" s="289"/>
    </row>
    <row r="498" spans="1:51" ht="13.5" customHeight="1">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c r="AA498" s="289"/>
      <c r="AB498" s="289"/>
      <c r="AC498" s="289"/>
      <c r="AD498" s="289"/>
      <c r="AE498" s="289"/>
      <c r="AF498" s="289"/>
      <c r="AG498" s="289"/>
      <c r="AH498" s="289"/>
      <c r="AI498" s="289"/>
      <c r="AJ498" s="289"/>
      <c r="AK498" s="289"/>
      <c r="AL498" s="289"/>
      <c r="AM498" s="289"/>
      <c r="AN498" s="289"/>
      <c r="AO498" s="289"/>
      <c r="AP498" s="289"/>
      <c r="AQ498" s="289"/>
      <c r="AR498" s="289"/>
      <c r="AS498" s="289"/>
      <c r="AT498" s="289"/>
      <c r="AU498" s="289"/>
      <c r="AV498" s="289"/>
      <c r="AW498" s="289"/>
      <c r="AX498" s="289"/>
      <c r="AY498" s="289"/>
    </row>
    <row r="499" spans="1:51" ht="13.5" customHeight="1">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c r="AA499" s="289"/>
      <c r="AB499" s="289"/>
      <c r="AC499" s="289"/>
      <c r="AD499" s="289"/>
      <c r="AE499" s="289"/>
      <c r="AF499" s="289"/>
      <c r="AG499" s="289"/>
      <c r="AH499" s="289"/>
      <c r="AI499" s="289"/>
      <c r="AJ499" s="289"/>
      <c r="AK499" s="289"/>
      <c r="AL499" s="289"/>
      <c r="AM499" s="289"/>
      <c r="AN499" s="289"/>
      <c r="AO499" s="289"/>
      <c r="AP499" s="289"/>
      <c r="AQ499" s="289"/>
      <c r="AR499" s="289"/>
      <c r="AS499" s="289"/>
      <c r="AT499" s="289"/>
      <c r="AU499" s="289"/>
      <c r="AV499" s="289"/>
      <c r="AW499" s="289"/>
      <c r="AX499" s="289"/>
      <c r="AY499" s="289"/>
    </row>
    <row r="500" spans="1:51" ht="13.5" customHeight="1">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c r="AA500" s="289"/>
      <c r="AB500" s="289"/>
      <c r="AC500" s="289"/>
      <c r="AD500" s="289"/>
      <c r="AE500" s="289"/>
      <c r="AF500" s="289"/>
      <c r="AG500" s="289"/>
      <c r="AH500" s="289"/>
      <c r="AI500" s="289"/>
      <c r="AJ500" s="289"/>
      <c r="AK500" s="289"/>
      <c r="AL500" s="289"/>
      <c r="AM500" s="289"/>
      <c r="AN500" s="289"/>
      <c r="AO500" s="289"/>
      <c r="AP500" s="289"/>
      <c r="AQ500" s="289"/>
      <c r="AR500" s="289"/>
      <c r="AS500" s="289"/>
      <c r="AT500" s="289"/>
      <c r="AU500" s="289"/>
      <c r="AV500" s="289"/>
      <c r="AW500" s="289"/>
      <c r="AX500" s="289"/>
      <c r="AY500" s="289"/>
    </row>
    <row r="501" spans="1:51" ht="13.5" customHeight="1">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c r="AA501" s="289"/>
      <c r="AB501" s="289"/>
      <c r="AC501" s="289"/>
      <c r="AD501" s="289"/>
      <c r="AE501" s="289"/>
      <c r="AF501" s="289"/>
      <c r="AG501" s="289"/>
      <c r="AH501" s="289"/>
      <c r="AI501" s="289"/>
      <c r="AJ501" s="289"/>
      <c r="AK501" s="289"/>
      <c r="AL501" s="289"/>
      <c r="AM501" s="289"/>
      <c r="AN501" s="289"/>
      <c r="AO501" s="289"/>
      <c r="AP501" s="289"/>
      <c r="AQ501" s="289"/>
      <c r="AR501" s="289"/>
      <c r="AS501" s="289"/>
      <c r="AT501" s="289"/>
      <c r="AU501" s="289"/>
      <c r="AV501" s="289"/>
      <c r="AW501" s="289"/>
      <c r="AX501" s="289"/>
      <c r="AY501" s="289"/>
    </row>
    <row r="502" spans="1:51" ht="13.5" customHeight="1">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c r="AA502" s="289"/>
      <c r="AB502" s="289"/>
      <c r="AC502" s="289"/>
      <c r="AD502" s="289"/>
      <c r="AE502" s="289"/>
      <c r="AF502" s="289"/>
      <c r="AG502" s="289"/>
      <c r="AH502" s="289"/>
      <c r="AI502" s="289"/>
      <c r="AJ502" s="289"/>
      <c r="AK502" s="289"/>
      <c r="AL502" s="289"/>
      <c r="AM502" s="289"/>
      <c r="AN502" s="289"/>
      <c r="AO502" s="289"/>
      <c r="AP502" s="289"/>
      <c r="AQ502" s="289"/>
      <c r="AR502" s="289"/>
      <c r="AS502" s="289"/>
      <c r="AT502" s="289"/>
      <c r="AU502" s="289"/>
      <c r="AV502" s="289"/>
      <c r="AW502" s="289"/>
      <c r="AX502" s="289"/>
      <c r="AY502" s="289"/>
    </row>
    <row r="503" spans="1:51" ht="13.5" customHeight="1">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c r="AA503" s="289"/>
      <c r="AB503" s="289"/>
      <c r="AC503" s="289"/>
      <c r="AD503" s="289"/>
      <c r="AE503" s="289"/>
      <c r="AF503" s="289"/>
      <c r="AG503" s="289"/>
      <c r="AH503" s="289"/>
      <c r="AI503" s="289"/>
      <c r="AJ503" s="289"/>
      <c r="AK503" s="289"/>
      <c r="AL503" s="289"/>
      <c r="AM503" s="289"/>
      <c r="AN503" s="289"/>
      <c r="AO503" s="289"/>
      <c r="AP503" s="289"/>
      <c r="AQ503" s="289"/>
      <c r="AR503" s="289"/>
      <c r="AS503" s="289"/>
      <c r="AT503" s="289"/>
      <c r="AU503" s="289"/>
      <c r="AV503" s="289"/>
      <c r="AW503" s="289"/>
      <c r="AX503" s="289"/>
      <c r="AY503" s="289"/>
    </row>
    <row r="504" spans="1:51" ht="13.5" customHeight="1">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c r="AA504" s="289"/>
      <c r="AB504" s="289"/>
      <c r="AC504" s="289"/>
      <c r="AD504" s="289"/>
      <c r="AE504" s="289"/>
      <c r="AF504" s="289"/>
      <c r="AG504" s="289"/>
      <c r="AH504" s="289"/>
      <c r="AI504" s="289"/>
      <c r="AJ504" s="289"/>
      <c r="AK504" s="289"/>
      <c r="AL504" s="289"/>
      <c r="AM504" s="289"/>
      <c r="AN504" s="289"/>
      <c r="AO504" s="289"/>
      <c r="AP504" s="289"/>
      <c r="AQ504" s="289"/>
      <c r="AR504" s="289"/>
      <c r="AS504" s="289"/>
      <c r="AT504" s="289"/>
      <c r="AU504" s="289"/>
      <c r="AV504" s="289"/>
      <c r="AW504" s="289"/>
      <c r="AX504" s="289"/>
      <c r="AY504" s="289"/>
    </row>
    <row r="505" spans="1:51" ht="13.5" customHeight="1">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c r="AA505" s="289"/>
      <c r="AB505" s="289"/>
      <c r="AC505" s="289"/>
      <c r="AD505" s="289"/>
      <c r="AE505" s="289"/>
      <c r="AF505" s="289"/>
      <c r="AG505" s="289"/>
      <c r="AH505" s="289"/>
      <c r="AI505" s="289"/>
      <c r="AJ505" s="289"/>
      <c r="AK505" s="289"/>
      <c r="AL505" s="289"/>
      <c r="AM505" s="289"/>
      <c r="AN505" s="289"/>
      <c r="AO505" s="289"/>
      <c r="AP505" s="289"/>
      <c r="AQ505" s="289"/>
      <c r="AR505" s="289"/>
      <c r="AS505" s="289"/>
      <c r="AT505" s="289"/>
      <c r="AU505" s="289"/>
      <c r="AV505" s="289"/>
      <c r="AW505" s="289"/>
      <c r="AX505" s="289"/>
      <c r="AY505" s="289"/>
    </row>
    <row r="506" spans="1:51" ht="13.5" customHeight="1">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c r="AA506" s="289"/>
      <c r="AB506" s="289"/>
      <c r="AC506" s="289"/>
      <c r="AD506" s="289"/>
      <c r="AE506" s="289"/>
      <c r="AF506" s="289"/>
      <c r="AG506" s="289"/>
      <c r="AH506" s="289"/>
      <c r="AI506" s="289"/>
      <c r="AJ506" s="289"/>
      <c r="AK506" s="289"/>
      <c r="AL506" s="289"/>
      <c r="AM506" s="289"/>
      <c r="AN506" s="289"/>
      <c r="AO506" s="289"/>
      <c r="AP506" s="289"/>
      <c r="AQ506" s="289"/>
      <c r="AR506" s="289"/>
      <c r="AS506" s="289"/>
      <c r="AT506" s="289"/>
      <c r="AU506" s="289"/>
      <c r="AV506" s="289"/>
      <c r="AW506" s="289"/>
      <c r="AX506" s="289"/>
      <c r="AY506" s="289"/>
    </row>
    <row r="507" spans="1:51" ht="13.5" customHeight="1">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c r="AA507" s="289"/>
      <c r="AB507" s="289"/>
      <c r="AC507" s="289"/>
      <c r="AD507" s="289"/>
      <c r="AE507" s="289"/>
      <c r="AF507" s="289"/>
      <c r="AG507" s="289"/>
      <c r="AH507" s="289"/>
      <c r="AI507" s="289"/>
      <c r="AJ507" s="289"/>
      <c r="AK507" s="289"/>
      <c r="AL507" s="289"/>
      <c r="AM507" s="289"/>
      <c r="AN507" s="289"/>
      <c r="AO507" s="289"/>
      <c r="AP507" s="289"/>
      <c r="AQ507" s="289"/>
      <c r="AR507" s="289"/>
      <c r="AS507" s="289"/>
      <c r="AT507" s="289"/>
      <c r="AU507" s="289"/>
      <c r="AV507" s="289"/>
      <c r="AW507" s="289"/>
      <c r="AX507" s="289"/>
      <c r="AY507" s="289"/>
    </row>
    <row r="508" spans="1:51" ht="13.5" customHeight="1">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c r="AA508" s="289"/>
      <c r="AB508" s="289"/>
      <c r="AC508" s="289"/>
      <c r="AD508" s="289"/>
      <c r="AE508" s="289"/>
      <c r="AF508" s="289"/>
      <c r="AG508" s="289"/>
      <c r="AH508" s="289"/>
      <c r="AI508" s="289"/>
      <c r="AJ508" s="289"/>
      <c r="AK508" s="289"/>
      <c r="AL508" s="289"/>
      <c r="AM508" s="289"/>
      <c r="AN508" s="289"/>
      <c r="AO508" s="289"/>
      <c r="AP508" s="289"/>
      <c r="AQ508" s="289"/>
      <c r="AR508" s="289"/>
      <c r="AS508" s="289"/>
      <c r="AT508" s="289"/>
      <c r="AU508" s="289"/>
      <c r="AV508" s="289"/>
      <c r="AW508" s="289"/>
      <c r="AX508" s="289"/>
      <c r="AY508" s="289"/>
    </row>
    <row r="509" spans="1:51" ht="13.5" customHeight="1">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c r="AA509" s="289"/>
      <c r="AB509" s="289"/>
      <c r="AC509" s="289"/>
      <c r="AD509" s="289"/>
      <c r="AE509" s="289"/>
      <c r="AF509" s="289"/>
      <c r="AG509" s="289"/>
      <c r="AH509" s="289"/>
      <c r="AI509" s="289"/>
      <c r="AJ509" s="289"/>
      <c r="AK509" s="289"/>
      <c r="AL509" s="289"/>
      <c r="AM509" s="289"/>
      <c r="AN509" s="289"/>
      <c r="AO509" s="289"/>
      <c r="AP509" s="289"/>
      <c r="AQ509" s="289"/>
      <c r="AR509" s="289"/>
      <c r="AS509" s="289"/>
      <c r="AT509" s="289"/>
      <c r="AU509" s="289"/>
      <c r="AV509" s="289"/>
      <c r="AW509" s="289"/>
      <c r="AX509" s="289"/>
      <c r="AY509" s="289"/>
    </row>
    <row r="510" spans="1:51" ht="13.5" customHeight="1">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c r="AA510" s="289"/>
      <c r="AB510" s="289"/>
      <c r="AC510" s="289"/>
      <c r="AD510" s="289"/>
      <c r="AE510" s="289"/>
      <c r="AF510" s="289"/>
      <c r="AG510" s="289"/>
      <c r="AH510" s="289"/>
      <c r="AI510" s="289"/>
      <c r="AJ510" s="289"/>
      <c r="AK510" s="289"/>
      <c r="AL510" s="289"/>
      <c r="AM510" s="289"/>
      <c r="AN510" s="289"/>
      <c r="AO510" s="289"/>
      <c r="AP510" s="289"/>
      <c r="AQ510" s="289"/>
      <c r="AR510" s="289"/>
      <c r="AS510" s="289"/>
      <c r="AT510" s="289"/>
      <c r="AU510" s="289"/>
      <c r="AV510" s="289"/>
      <c r="AW510" s="289"/>
      <c r="AX510" s="289"/>
      <c r="AY510" s="289"/>
    </row>
    <row r="511" spans="1:51" ht="13.5" customHeight="1">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c r="AA511" s="289"/>
      <c r="AB511" s="289"/>
      <c r="AC511" s="289"/>
      <c r="AD511" s="289"/>
      <c r="AE511" s="289"/>
      <c r="AF511" s="289"/>
      <c r="AG511" s="289"/>
      <c r="AH511" s="289"/>
      <c r="AI511" s="289"/>
      <c r="AJ511" s="289"/>
      <c r="AK511" s="289"/>
      <c r="AL511" s="289"/>
      <c r="AM511" s="289"/>
      <c r="AN511" s="289"/>
      <c r="AO511" s="289"/>
      <c r="AP511" s="289"/>
      <c r="AQ511" s="289"/>
      <c r="AR511" s="289"/>
      <c r="AS511" s="289"/>
      <c r="AT511" s="289"/>
      <c r="AU511" s="289"/>
      <c r="AV511" s="289"/>
      <c r="AW511" s="289"/>
      <c r="AX511" s="289"/>
      <c r="AY511" s="289"/>
    </row>
    <row r="512" spans="1:51" ht="13.5" customHeight="1">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c r="AA512" s="289"/>
      <c r="AB512" s="289"/>
      <c r="AC512" s="289"/>
      <c r="AD512" s="289"/>
      <c r="AE512" s="289"/>
      <c r="AF512" s="289"/>
      <c r="AG512" s="289"/>
      <c r="AH512" s="289"/>
      <c r="AI512" s="289"/>
      <c r="AJ512" s="289"/>
      <c r="AK512" s="289"/>
      <c r="AL512" s="289"/>
      <c r="AM512" s="289"/>
      <c r="AN512" s="289"/>
      <c r="AO512" s="289"/>
      <c r="AP512" s="289"/>
      <c r="AQ512" s="289"/>
      <c r="AR512" s="289"/>
      <c r="AS512" s="289"/>
      <c r="AT512" s="289"/>
      <c r="AU512" s="289"/>
      <c r="AV512" s="289"/>
      <c r="AW512" s="289"/>
      <c r="AX512" s="289"/>
      <c r="AY512" s="289"/>
    </row>
    <row r="513" spans="1:51" ht="13.5" customHeight="1">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c r="AA513" s="289"/>
      <c r="AB513" s="289"/>
      <c r="AC513" s="289"/>
      <c r="AD513" s="289"/>
      <c r="AE513" s="289"/>
      <c r="AF513" s="289"/>
      <c r="AG513" s="289"/>
      <c r="AH513" s="289"/>
      <c r="AI513" s="289"/>
      <c r="AJ513" s="289"/>
      <c r="AK513" s="289"/>
      <c r="AL513" s="289"/>
      <c r="AM513" s="289"/>
      <c r="AN513" s="289"/>
      <c r="AO513" s="289"/>
      <c r="AP513" s="289"/>
      <c r="AQ513" s="289"/>
      <c r="AR513" s="289"/>
      <c r="AS513" s="289"/>
      <c r="AT513" s="289"/>
      <c r="AU513" s="289"/>
      <c r="AV513" s="289"/>
      <c r="AW513" s="289"/>
      <c r="AX513" s="289"/>
      <c r="AY513" s="289"/>
    </row>
    <row r="514" spans="1:51" ht="13.5" customHeight="1">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c r="AA514" s="289"/>
      <c r="AB514" s="289"/>
      <c r="AC514" s="289"/>
      <c r="AD514" s="289"/>
      <c r="AE514" s="289"/>
      <c r="AF514" s="289"/>
      <c r="AG514" s="289"/>
      <c r="AH514" s="289"/>
      <c r="AI514" s="289"/>
      <c r="AJ514" s="289"/>
      <c r="AK514" s="289"/>
      <c r="AL514" s="289"/>
      <c r="AM514" s="289"/>
      <c r="AN514" s="289"/>
      <c r="AO514" s="289"/>
      <c r="AP514" s="289"/>
      <c r="AQ514" s="289"/>
      <c r="AR514" s="289"/>
      <c r="AS514" s="289"/>
      <c r="AT514" s="289"/>
      <c r="AU514" s="289"/>
      <c r="AV514" s="289"/>
      <c r="AW514" s="289"/>
      <c r="AX514" s="289"/>
      <c r="AY514" s="289"/>
    </row>
    <row r="515" spans="1:51" ht="13.5" customHeight="1">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c r="AA515" s="289"/>
      <c r="AB515" s="289"/>
      <c r="AC515" s="289"/>
      <c r="AD515" s="289"/>
      <c r="AE515" s="289"/>
      <c r="AF515" s="289"/>
      <c r="AG515" s="289"/>
      <c r="AH515" s="289"/>
      <c r="AI515" s="289"/>
      <c r="AJ515" s="289"/>
      <c r="AK515" s="289"/>
      <c r="AL515" s="289"/>
      <c r="AM515" s="289"/>
      <c r="AN515" s="289"/>
      <c r="AO515" s="289"/>
      <c r="AP515" s="289"/>
      <c r="AQ515" s="289"/>
      <c r="AR515" s="289"/>
      <c r="AS515" s="289"/>
      <c r="AT515" s="289"/>
      <c r="AU515" s="289"/>
      <c r="AV515" s="289"/>
      <c r="AW515" s="289"/>
      <c r="AX515" s="289"/>
      <c r="AY515" s="289"/>
    </row>
    <row r="516" spans="1:51" ht="13.5" customHeight="1">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c r="AA516" s="289"/>
      <c r="AB516" s="289"/>
      <c r="AC516" s="289"/>
      <c r="AD516" s="289"/>
      <c r="AE516" s="289"/>
      <c r="AF516" s="289"/>
      <c r="AG516" s="289"/>
      <c r="AH516" s="289"/>
      <c r="AI516" s="289"/>
      <c r="AJ516" s="289"/>
      <c r="AK516" s="289"/>
      <c r="AL516" s="289"/>
      <c r="AM516" s="289"/>
      <c r="AN516" s="289"/>
      <c r="AO516" s="289"/>
      <c r="AP516" s="289"/>
      <c r="AQ516" s="289"/>
      <c r="AR516" s="289"/>
      <c r="AS516" s="289"/>
      <c r="AT516" s="289"/>
      <c r="AU516" s="289"/>
      <c r="AV516" s="289"/>
      <c r="AW516" s="289"/>
      <c r="AX516" s="289"/>
      <c r="AY516" s="289"/>
    </row>
    <row r="517" spans="1:51" ht="13.5" customHeight="1">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c r="AA517" s="289"/>
      <c r="AB517" s="289"/>
      <c r="AC517" s="289"/>
      <c r="AD517" s="289"/>
      <c r="AE517" s="289"/>
      <c r="AF517" s="289"/>
      <c r="AG517" s="289"/>
      <c r="AH517" s="289"/>
      <c r="AI517" s="289"/>
      <c r="AJ517" s="289"/>
      <c r="AK517" s="289"/>
      <c r="AL517" s="289"/>
      <c r="AM517" s="289"/>
      <c r="AN517" s="289"/>
      <c r="AO517" s="289"/>
      <c r="AP517" s="289"/>
      <c r="AQ517" s="289"/>
      <c r="AR517" s="289"/>
      <c r="AS517" s="289"/>
      <c r="AT517" s="289"/>
      <c r="AU517" s="289"/>
      <c r="AV517" s="289"/>
      <c r="AW517" s="289"/>
      <c r="AX517" s="289"/>
      <c r="AY517" s="289"/>
    </row>
    <row r="518" spans="1:51" ht="13.5" customHeight="1">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c r="AA518" s="289"/>
      <c r="AB518" s="289"/>
      <c r="AC518" s="289"/>
      <c r="AD518" s="289"/>
      <c r="AE518" s="289"/>
      <c r="AF518" s="289"/>
      <c r="AG518" s="289"/>
      <c r="AH518" s="289"/>
      <c r="AI518" s="289"/>
      <c r="AJ518" s="289"/>
      <c r="AK518" s="289"/>
      <c r="AL518" s="289"/>
      <c r="AM518" s="289"/>
      <c r="AN518" s="289"/>
      <c r="AO518" s="289"/>
      <c r="AP518" s="289"/>
      <c r="AQ518" s="289"/>
      <c r="AR518" s="289"/>
      <c r="AS518" s="289"/>
      <c r="AT518" s="289"/>
      <c r="AU518" s="289"/>
      <c r="AV518" s="289"/>
      <c r="AW518" s="289"/>
      <c r="AX518" s="289"/>
      <c r="AY518" s="289"/>
    </row>
    <row r="519" spans="1:51" ht="13.5" customHeight="1">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c r="AA519" s="289"/>
      <c r="AB519" s="289"/>
      <c r="AC519" s="289"/>
      <c r="AD519" s="289"/>
      <c r="AE519" s="289"/>
      <c r="AF519" s="289"/>
      <c r="AG519" s="289"/>
      <c r="AH519" s="289"/>
      <c r="AI519" s="289"/>
      <c r="AJ519" s="289"/>
      <c r="AK519" s="289"/>
      <c r="AL519" s="289"/>
      <c r="AM519" s="289"/>
      <c r="AN519" s="289"/>
      <c r="AO519" s="289"/>
      <c r="AP519" s="289"/>
      <c r="AQ519" s="289"/>
      <c r="AR519" s="289"/>
      <c r="AS519" s="289"/>
      <c r="AT519" s="289"/>
      <c r="AU519" s="289"/>
      <c r="AV519" s="289"/>
      <c r="AW519" s="289"/>
      <c r="AX519" s="289"/>
      <c r="AY519" s="289"/>
    </row>
    <row r="520" spans="1:51" ht="13.5" customHeight="1">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c r="AA520" s="289"/>
      <c r="AB520" s="289"/>
      <c r="AC520" s="289"/>
      <c r="AD520" s="289"/>
      <c r="AE520" s="289"/>
      <c r="AF520" s="289"/>
      <c r="AG520" s="289"/>
      <c r="AH520" s="289"/>
      <c r="AI520" s="289"/>
      <c r="AJ520" s="289"/>
      <c r="AK520" s="289"/>
      <c r="AL520" s="289"/>
      <c r="AM520" s="289"/>
      <c r="AN520" s="289"/>
      <c r="AO520" s="289"/>
      <c r="AP520" s="289"/>
      <c r="AQ520" s="289"/>
      <c r="AR520" s="289"/>
      <c r="AS520" s="289"/>
      <c r="AT520" s="289"/>
      <c r="AU520" s="289"/>
      <c r="AV520" s="289"/>
      <c r="AW520" s="289"/>
      <c r="AX520" s="289"/>
      <c r="AY520" s="289"/>
    </row>
    <row r="521" spans="1:51" ht="13.5" customHeight="1">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c r="AA521" s="289"/>
      <c r="AB521" s="289"/>
      <c r="AC521" s="289"/>
      <c r="AD521" s="289"/>
      <c r="AE521" s="289"/>
      <c r="AF521" s="289"/>
      <c r="AG521" s="289"/>
      <c r="AH521" s="289"/>
      <c r="AI521" s="289"/>
      <c r="AJ521" s="289"/>
      <c r="AK521" s="289"/>
      <c r="AL521" s="289"/>
      <c r="AM521" s="289"/>
      <c r="AN521" s="289"/>
      <c r="AO521" s="289"/>
      <c r="AP521" s="289"/>
      <c r="AQ521" s="289"/>
      <c r="AR521" s="289"/>
      <c r="AS521" s="289"/>
      <c r="AT521" s="289"/>
      <c r="AU521" s="289"/>
      <c r="AV521" s="289"/>
      <c r="AW521" s="289"/>
      <c r="AX521" s="289"/>
      <c r="AY521" s="289"/>
    </row>
    <row r="522" spans="1:51" ht="13.5" customHeight="1">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c r="AA522" s="289"/>
      <c r="AB522" s="289"/>
      <c r="AC522" s="289"/>
      <c r="AD522" s="289"/>
      <c r="AE522" s="289"/>
      <c r="AF522" s="289"/>
      <c r="AG522" s="289"/>
      <c r="AH522" s="289"/>
      <c r="AI522" s="289"/>
      <c r="AJ522" s="289"/>
      <c r="AK522" s="289"/>
      <c r="AL522" s="289"/>
      <c r="AM522" s="289"/>
      <c r="AN522" s="289"/>
      <c r="AO522" s="289"/>
      <c r="AP522" s="289"/>
      <c r="AQ522" s="289"/>
      <c r="AR522" s="289"/>
      <c r="AS522" s="289"/>
      <c r="AT522" s="289"/>
      <c r="AU522" s="289"/>
      <c r="AV522" s="289"/>
      <c r="AW522" s="289"/>
      <c r="AX522" s="289"/>
      <c r="AY522" s="289"/>
    </row>
    <row r="523" spans="1:51" ht="13.5" customHeight="1">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c r="AA523" s="289"/>
      <c r="AB523" s="289"/>
      <c r="AC523" s="289"/>
      <c r="AD523" s="289"/>
      <c r="AE523" s="289"/>
      <c r="AF523" s="289"/>
      <c r="AG523" s="289"/>
      <c r="AH523" s="289"/>
      <c r="AI523" s="289"/>
      <c r="AJ523" s="289"/>
      <c r="AK523" s="289"/>
      <c r="AL523" s="289"/>
      <c r="AM523" s="289"/>
      <c r="AN523" s="289"/>
      <c r="AO523" s="289"/>
      <c r="AP523" s="289"/>
      <c r="AQ523" s="289"/>
      <c r="AR523" s="289"/>
      <c r="AS523" s="289"/>
      <c r="AT523" s="289"/>
      <c r="AU523" s="289"/>
      <c r="AV523" s="289"/>
      <c r="AW523" s="289"/>
      <c r="AX523" s="289"/>
      <c r="AY523" s="289"/>
    </row>
    <row r="524" spans="1:51" ht="13.5" customHeight="1">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c r="AA524" s="289"/>
      <c r="AB524" s="289"/>
      <c r="AC524" s="289"/>
      <c r="AD524" s="289"/>
      <c r="AE524" s="289"/>
      <c r="AF524" s="289"/>
      <c r="AG524" s="289"/>
      <c r="AH524" s="289"/>
      <c r="AI524" s="289"/>
      <c r="AJ524" s="289"/>
      <c r="AK524" s="289"/>
      <c r="AL524" s="289"/>
      <c r="AM524" s="289"/>
      <c r="AN524" s="289"/>
      <c r="AO524" s="289"/>
      <c r="AP524" s="289"/>
      <c r="AQ524" s="289"/>
      <c r="AR524" s="289"/>
      <c r="AS524" s="289"/>
      <c r="AT524" s="289"/>
      <c r="AU524" s="289"/>
      <c r="AV524" s="289"/>
      <c r="AW524" s="289"/>
      <c r="AX524" s="289"/>
      <c r="AY524" s="289"/>
    </row>
    <row r="525" spans="1:51" ht="13.5" customHeight="1">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c r="AA525" s="289"/>
      <c r="AB525" s="289"/>
      <c r="AC525" s="289"/>
      <c r="AD525" s="289"/>
      <c r="AE525" s="289"/>
      <c r="AF525" s="289"/>
      <c r="AG525" s="289"/>
      <c r="AH525" s="289"/>
      <c r="AI525" s="289"/>
      <c r="AJ525" s="289"/>
      <c r="AK525" s="289"/>
      <c r="AL525" s="289"/>
      <c r="AM525" s="289"/>
      <c r="AN525" s="289"/>
      <c r="AO525" s="289"/>
      <c r="AP525" s="289"/>
      <c r="AQ525" s="289"/>
      <c r="AR525" s="289"/>
      <c r="AS525" s="289"/>
      <c r="AT525" s="289"/>
      <c r="AU525" s="289"/>
      <c r="AV525" s="289"/>
      <c r="AW525" s="289"/>
      <c r="AX525" s="289"/>
      <c r="AY525" s="289"/>
    </row>
    <row r="526" spans="1:51" ht="13.5" customHeight="1">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c r="AA526" s="289"/>
      <c r="AB526" s="289"/>
      <c r="AC526" s="289"/>
      <c r="AD526" s="289"/>
      <c r="AE526" s="289"/>
      <c r="AF526" s="289"/>
      <c r="AG526" s="289"/>
      <c r="AH526" s="289"/>
      <c r="AI526" s="289"/>
      <c r="AJ526" s="289"/>
      <c r="AK526" s="289"/>
      <c r="AL526" s="289"/>
      <c r="AM526" s="289"/>
      <c r="AN526" s="289"/>
      <c r="AO526" s="289"/>
      <c r="AP526" s="289"/>
      <c r="AQ526" s="289"/>
      <c r="AR526" s="289"/>
      <c r="AS526" s="289"/>
      <c r="AT526" s="289"/>
      <c r="AU526" s="289"/>
      <c r="AV526" s="289"/>
      <c r="AW526" s="289"/>
      <c r="AX526" s="289"/>
      <c r="AY526" s="289"/>
    </row>
    <row r="527" spans="1:51" ht="13.5" customHeight="1">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c r="AA527" s="289"/>
      <c r="AB527" s="289"/>
      <c r="AC527" s="289"/>
      <c r="AD527" s="289"/>
      <c r="AE527" s="289"/>
      <c r="AF527" s="289"/>
      <c r="AG527" s="289"/>
      <c r="AH527" s="289"/>
      <c r="AI527" s="289"/>
      <c r="AJ527" s="289"/>
      <c r="AK527" s="289"/>
      <c r="AL527" s="289"/>
      <c r="AM527" s="289"/>
      <c r="AN527" s="289"/>
      <c r="AO527" s="289"/>
      <c r="AP527" s="289"/>
      <c r="AQ527" s="289"/>
      <c r="AR527" s="289"/>
      <c r="AS527" s="289"/>
      <c r="AT527" s="289"/>
      <c r="AU527" s="289"/>
      <c r="AV527" s="289"/>
      <c r="AW527" s="289"/>
      <c r="AX527" s="289"/>
      <c r="AY527" s="289"/>
    </row>
    <row r="528" spans="1:51" ht="13.5" customHeight="1">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c r="AA528" s="289"/>
      <c r="AB528" s="289"/>
      <c r="AC528" s="289"/>
      <c r="AD528" s="289"/>
      <c r="AE528" s="289"/>
      <c r="AF528" s="289"/>
      <c r="AG528" s="289"/>
      <c r="AH528" s="289"/>
      <c r="AI528" s="289"/>
      <c r="AJ528" s="289"/>
      <c r="AK528" s="289"/>
      <c r="AL528" s="289"/>
      <c r="AM528" s="289"/>
      <c r="AN528" s="289"/>
      <c r="AO528" s="289"/>
      <c r="AP528" s="289"/>
      <c r="AQ528" s="289"/>
      <c r="AR528" s="289"/>
      <c r="AS528" s="289"/>
      <c r="AT528" s="289"/>
      <c r="AU528" s="289"/>
      <c r="AV528" s="289"/>
      <c r="AW528" s="289"/>
      <c r="AX528" s="289"/>
      <c r="AY528" s="289"/>
    </row>
    <row r="529" spans="1:51" ht="13.5" customHeight="1">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c r="AA529" s="289"/>
      <c r="AB529" s="289"/>
      <c r="AC529" s="289"/>
      <c r="AD529" s="289"/>
      <c r="AE529" s="289"/>
      <c r="AF529" s="289"/>
      <c r="AG529" s="289"/>
      <c r="AH529" s="289"/>
      <c r="AI529" s="289"/>
      <c r="AJ529" s="289"/>
      <c r="AK529" s="289"/>
      <c r="AL529" s="289"/>
      <c r="AM529" s="289"/>
      <c r="AN529" s="289"/>
      <c r="AO529" s="289"/>
      <c r="AP529" s="289"/>
      <c r="AQ529" s="289"/>
      <c r="AR529" s="289"/>
      <c r="AS529" s="289"/>
      <c r="AT529" s="289"/>
      <c r="AU529" s="289"/>
      <c r="AV529" s="289"/>
      <c r="AW529" s="289"/>
      <c r="AX529" s="289"/>
      <c r="AY529" s="289"/>
    </row>
    <row r="530" spans="1:51" ht="13.5" customHeight="1">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c r="AA530" s="289"/>
      <c r="AB530" s="289"/>
      <c r="AC530" s="289"/>
      <c r="AD530" s="289"/>
      <c r="AE530" s="289"/>
      <c r="AF530" s="289"/>
      <c r="AG530" s="289"/>
      <c r="AH530" s="289"/>
      <c r="AI530" s="289"/>
      <c r="AJ530" s="289"/>
      <c r="AK530" s="289"/>
      <c r="AL530" s="289"/>
      <c r="AM530" s="289"/>
      <c r="AN530" s="289"/>
      <c r="AO530" s="289"/>
      <c r="AP530" s="289"/>
      <c r="AQ530" s="289"/>
      <c r="AR530" s="289"/>
      <c r="AS530" s="289"/>
      <c r="AT530" s="289"/>
      <c r="AU530" s="289"/>
      <c r="AV530" s="289"/>
      <c r="AW530" s="289"/>
      <c r="AX530" s="289"/>
      <c r="AY530" s="289"/>
    </row>
    <row r="531" spans="1:51" ht="13.5" customHeight="1">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c r="AA531" s="289"/>
      <c r="AB531" s="289"/>
      <c r="AC531" s="289"/>
      <c r="AD531" s="289"/>
      <c r="AE531" s="289"/>
      <c r="AF531" s="289"/>
      <c r="AG531" s="289"/>
      <c r="AH531" s="289"/>
      <c r="AI531" s="289"/>
      <c r="AJ531" s="289"/>
      <c r="AK531" s="289"/>
      <c r="AL531" s="289"/>
      <c r="AM531" s="289"/>
      <c r="AN531" s="289"/>
      <c r="AO531" s="289"/>
      <c r="AP531" s="289"/>
      <c r="AQ531" s="289"/>
      <c r="AR531" s="289"/>
      <c r="AS531" s="289"/>
      <c r="AT531" s="289"/>
      <c r="AU531" s="289"/>
      <c r="AV531" s="289"/>
      <c r="AW531" s="289"/>
      <c r="AX531" s="289"/>
      <c r="AY531" s="289"/>
    </row>
    <row r="532" spans="1:51" ht="13.5" customHeight="1">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c r="AA532" s="289"/>
      <c r="AB532" s="289"/>
      <c r="AC532" s="289"/>
      <c r="AD532" s="289"/>
      <c r="AE532" s="289"/>
      <c r="AF532" s="289"/>
      <c r="AG532" s="289"/>
      <c r="AH532" s="289"/>
      <c r="AI532" s="289"/>
      <c r="AJ532" s="289"/>
      <c r="AK532" s="289"/>
      <c r="AL532" s="289"/>
      <c r="AM532" s="289"/>
      <c r="AN532" s="289"/>
      <c r="AO532" s="289"/>
      <c r="AP532" s="289"/>
      <c r="AQ532" s="289"/>
      <c r="AR532" s="289"/>
      <c r="AS532" s="289"/>
      <c r="AT532" s="289"/>
      <c r="AU532" s="289"/>
      <c r="AV532" s="289"/>
      <c r="AW532" s="289"/>
      <c r="AX532" s="289"/>
      <c r="AY532" s="289"/>
    </row>
    <row r="533" spans="1:51" ht="13.5" customHeight="1">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c r="AA533" s="289"/>
      <c r="AB533" s="289"/>
      <c r="AC533" s="289"/>
      <c r="AD533" s="289"/>
      <c r="AE533" s="289"/>
      <c r="AF533" s="289"/>
      <c r="AG533" s="289"/>
      <c r="AH533" s="289"/>
      <c r="AI533" s="289"/>
      <c r="AJ533" s="289"/>
      <c r="AK533" s="289"/>
      <c r="AL533" s="289"/>
      <c r="AM533" s="289"/>
      <c r="AN533" s="289"/>
      <c r="AO533" s="289"/>
      <c r="AP533" s="289"/>
      <c r="AQ533" s="289"/>
      <c r="AR533" s="289"/>
      <c r="AS533" s="289"/>
      <c r="AT533" s="289"/>
      <c r="AU533" s="289"/>
      <c r="AV533" s="289"/>
      <c r="AW533" s="289"/>
      <c r="AX533" s="289"/>
      <c r="AY533" s="289"/>
    </row>
    <row r="534" spans="1:51" ht="13.5" customHeight="1">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c r="AA534" s="289"/>
      <c r="AB534" s="289"/>
      <c r="AC534" s="289"/>
      <c r="AD534" s="289"/>
      <c r="AE534" s="289"/>
      <c r="AF534" s="289"/>
      <c r="AG534" s="289"/>
      <c r="AH534" s="289"/>
      <c r="AI534" s="289"/>
      <c r="AJ534" s="289"/>
      <c r="AK534" s="289"/>
      <c r="AL534" s="289"/>
      <c r="AM534" s="289"/>
      <c r="AN534" s="289"/>
      <c r="AO534" s="289"/>
      <c r="AP534" s="289"/>
      <c r="AQ534" s="289"/>
      <c r="AR534" s="289"/>
      <c r="AS534" s="289"/>
      <c r="AT534" s="289"/>
      <c r="AU534" s="289"/>
      <c r="AV534" s="289"/>
      <c r="AW534" s="289"/>
      <c r="AX534" s="289"/>
      <c r="AY534" s="289"/>
    </row>
    <row r="535" spans="1:51" ht="13.5" customHeight="1">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c r="AA535" s="289"/>
      <c r="AB535" s="289"/>
      <c r="AC535" s="289"/>
      <c r="AD535" s="289"/>
      <c r="AE535" s="289"/>
      <c r="AF535" s="289"/>
      <c r="AG535" s="289"/>
      <c r="AH535" s="289"/>
      <c r="AI535" s="289"/>
      <c r="AJ535" s="289"/>
      <c r="AK535" s="289"/>
      <c r="AL535" s="289"/>
      <c r="AM535" s="289"/>
      <c r="AN535" s="289"/>
      <c r="AO535" s="289"/>
      <c r="AP535" s="289"/>
      <c r="AQ535" s="289"/>
      <c r="AR535" s="289"/>
      <c r="AS535" s="289"/>
      <c r="AT535" s="289"/>
      <c r="AU535" s="289"/>
      <c r="AV535" s="289"/>
      <c r="AW535" s="289"/>
      <c r="AX535" s="289"/>
      <c r="AY535" s="289"/>
    </row>
    <row r="536" spans="1:51" ht="13.5" customHeight="1">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c r="AA536" s="289"/>
      <c r="AB536" s="289"/>
      <c r="AC536" s="289"/>
      <c r="AD536" s="289"/>
      <c r="AE536" s="289"/>
      <c r="AF536" s="289"/>
      <c r="AG536" s="289"/>
      <c r="AH536" s="289"/>
      <c r="AI536" s="289"/>
      <c r="AJ536" s="289"/>
      <c r="AK536" s="289"/>
      <c r="AL536" s="289"/>
      <c r="AM536" s="289"/>
      <c r="AN536" s="289"/>
      <c r="AO536" s="289"/>
      <c r="AP536" s="289"/>
      <c r="AQ536" s="289"/>
      <c r="AR536" s="289"/>
      <c r="AS536" s="289"/>
      <c r="AT536" s="289"/>
      <c r="AU536" s="289"/>
      <c r="AV536" s="289"/>
      <c r="AW536" s="289"/>
      <c r="AX536" s="289"/>
      <c r="AY536" s="289"/>
    </row>
    <row r="537" spans="1:51" ht="13.5" customHeight="1">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c r="AA537" s="289"/>
      <c r="AB537" s="289"/>
      <c r="AC537" s="289"/>
      <c r="AD537" s="289"/>
      <c r="AE537" s="289"/>
      <c r="AF537" s="289"/>
      <c r="AG537" s="289"/>
      <c r="AH537" s="289"/>
      <c r="AI537" s="289"/>
      <c r="AJ537" s="289"/>
      <c r="AK537" s="289"/>
      <c r="AL537" s="289"/>
      <c r="AM537" s="289"/>
      <c r="AN537" s="289"/>
      <c r="AO537" s="289"/>
      <c r="AP537" s="289"/>
      <c r="AQ537" s="289"/>
      <c r="AR537" s="289"/>
      <c r="AS537" s="289"/>
      <c r="AT537" s="289"/>
      <c r="AU537" s="289"/>
      <c r="AV537" s="289"/>
      <c r="AW537" s="289"/>
      <c r="AX537" s="289"/>
      <c r="AY537" s="289"/>
    </row>
    <row r="538" spans="1:51" ht="13.5" customHeight="1">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c r="AA538" s="289"/>
      <c r="AB538" s="289"/>
      <c r="AC538" s="289"/>
      <c r="AD538" s="289"/>
      <c r="AE538" s="289"/>
      <c r="AF538" s="289"/>
      <c r="AG538" s="289"/>
      <c r="AH538" s="289"/>
      <c r="AI538" s="289"/>
      <c r="AJ538" s="289"/>
      <c r="AK538" s="289"/>
      <c r="AL538" s="289"/>
      <c r="AM538" s="289"/>
      <c r="AN538" s="289"/>
      <c r="AO538" s="289"/>
      <c r="AP538" s="289"/>
      <c r="AQ538" s="289"/>
      <c r="AR538" s="289"/>
      <c r="AS538" s="289"/>
      <c r="AT538" s="289"/>
      <c r="AU538" s="289"/>
      <c r="AV538" s="289"/>
      <c r="AW538" s="289"/>
      <c r="AX538" s="289"/>
      <c r="AY538" s="289"/>
    </row>
    <row r="539" spans="1:51" ht="13.5" customHeight="1">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c r="AA539" s="289"/>
      <c r="AB539" s="289"/>
      <c r="AC539" s="289"/>
      <c r="AD539" s="289"/>
      <c r="AE539" s="289"/>
      <c r="AF539" s="289"/>
      <c r="AG539" s="289"/>
      <c r="AH539" s="289"/>
      <c r="AI539" s="289"/>
      <c r="AJ539" s="289"/>
      <c r="AK539" s="289"/>
      <c r="AL539" s="289"/>
      <c r="AM539" s="289"/>
      <c r="AN539" s="289"/>
      <c r="AO539" s="289"/>
      <c r="AP539" s="289"/>
      <c r="AQ539" s="289"/>
      <c r="AR539" s="289"/>
      <c r="AS539" s="289"/>
      <c r="AT539" s="289"/>
      <c r="AU539" s="289"/>
      <c r="AV539" s="289"/>
      <c r="AW539" s="289"/>
      <c r="AX539" s="289"/>
      <c r="AY539" s="289"/>
    </row>
    <row r="540" spans="1:51" ht="13.5" customHeight="1">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c r="AA540" s="289"/>
      <c r="AB540" s="289"/>
      <c r="AC540" s="289"/>
      <c r="AD540" s="289"/>
      <c r="AE540" s="289"/>
      <c r="AF540" s="289"/>
      <c r="AG540" s="289"/>
      <c r="AH540" s="289"/>
      <c r="AI540" s="289"/>
      <c r="AJ540" s="289"/>
      <c r="AK540" s="289"/>
      <c r="AL540" s="289"/>
      <c r="AM540" s="289"/>
      <c r="AN540" s="289"/>
      <c r="AO540" s="289"/>
      <c r="AP540" s="289"/>
      <c r="AQ540" s="289"/>
      <c r="AR540" s="289"/>
      <c r="AS540" s="289"/>
      <c r="AT540" s="289"/>
      <c r="AU540" s="289"/>
      <c r="AV540" s="289"/>
      <c r="AW540" s="289"/>
      <c r="AX540" s="289"/>
      <c r="AY540" s="289"/>
    </row>
    <row r="541" spans="1:51" ht="13.5" customHeight="1">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c r="AA541" s="289"/>
      <c r="AB541" s="289"/>
      <c r="AC541" s="289"/>
      <c r="AD541" s="289"/>
      <c r="AE541" s="289"/>
      <c r="AF541" s="289"/>
      <c r="AG541" s="289"/>
      <c r="AH541" s="289"/>
      <c r="AI541" s="289"/>
      <c r="AJ541" s="289"/>
      <c r="AK541" s="289"/>
      <c r="AL541" s="289"/>
      <c r="AM541" s="289"/>
      <c r="AN541" s="289"/>
      <c r="AO541" s="289"/>
      <c r="AP541" s="289"/>
      <c r="AQ541" s="289"/>
      <c r="AR541" s="289"/>
      <c r="AS541" s="289"/>
      <c r="AT541" s="289"/>
      <c r="AU541" s="289"/>
      <c r="AV541" s="289"/>
      <c r="AW541" s="289"/>
      <c r="AX541" s="289"/>
      <c r="AY541" s="289"/>
    </row>
    <row r="542" spans="1:51" ht="13.5" customHeight="1">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c r="AA542" s="289"/>
      <c r="AB542" s="289"/>
      <c r="AC542" s="289"/>
      <c r="AD542" s="289"/>
      <c r="AE542" s="289"/>
      <c r="AF542" s="289"/>
      <c r="AG542" s="289"/>
      <c r="AH542" s="289"/>
      <c r="AI542" s="289"/>
      <c r="AJ542" s="289"/>
      <c r="AK542" s="289"/>
      <c r="AL542" s="289"/>
      <c r="AM542" s="289"/>
      <c r="AN542" s="289"/>
      <c r="AO542" s="289"/>
      <c r="AP542" s="289"/>
      <c r="AQ542" s="289"/>
      <c r="AR542" s="289"/>
      <c r="AS542" s="289"/>
      <c r="AT542" s="289"/>
      <c r="AU542" s="289"/>
      <c r="AV542" s="289"/>
      <c r="AW542" s="289"/>
      <c r="AX542" s="289"/>
      <c r="AY542" s="289"/>
    </row>
    <row r="543" spans="1:51" ht="13.5" customHeight="1">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c r="AA543" s="289"/>
      <c r="AB543" s="289"/>
      <c r="AC543" s="289"/>
      <c r="AD543" s="289"/>
      <c r="AE543" s="289"/>
      <c r="AF543" s="289"/>
      <c r="AG543" s="289"/>
      <c r="AH543" s="289"/>
      <c r="AI543" s="289"/>
      <c r="AJ543" s="289"/>
      <c r="AK543" s="289"/>
      <c r="AL543" s="289"/>
      <c r="AM543" s="289"/>
      <c r="AN543" s="289"/>
      <c r="AO543" s="289"/>
      <c r="AP543" s="289"/>
      <c r="AQ543" s="289"/>
      <c r="AR543" s="289"/>
      <c r="AS543" s="289"/>
      <c r="AT543" s="289"/>
      <c r="AU543" s="289"/>
      <c r="AV543" s="289"/>
      <c r="AW543" s="289"/>
      <c r="AX543" s="289"/>
      <c r="AY543" s="289"/>
    </row>
    <row r="544" spans="1:51" ht="13.5" customHeight="1">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c r="AA544" s="289"/>
      <c r="AB544" s="289"/>
      <c r="AC544" s="289"/>
      <c r="AD544" s="289"/>
      <c r="AE544" s="289"/>
      <c r="AF544" s="289"/>
      <c r="AG544" s="289"/>
      <c r="AH544" s="289"/>
      <c r="AI544" s="289"/>
      <c r="AJ544" s="289"/>
      <c r="AK544" s="289"/>
      <c r="AL544" s="289"/>
      <c r="AM544" s="289"/>
      <c r="AN544" s="289"/>
      <c r="AO544" s="289"/>
      <c r="AP544" s="289"/>
      <c r="AQ544" s="289"/>
      <c r="AR544" s="289"/>
      <c r="AS544" s="289"/>
      <c r="AT544" s="289"/>
      <c r="AU544" s="289"/>
      <c r="AV544" s="289"/>
      <c r="AW544" s="289"/>
      <c r="AX544" s="289"/>
      <c r="AY544" s="289"/>
    </row>
    <row r="545" spans="1:51" ht="13.5" customHeight="1">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c r="AA545" s="289"/>
      <c r="AB545" s="289"/>
      <c r="AC545" s="289"/>
      <c r="AD545" s="289"/>
      <c r="AE545" s="289"/>
      <c r="AF545" s="289"/>
      <c r="AG545" s="289"/>
      <c r="AH545" s="289"/>
      <c r="AI545" s="289"/>
      <c r="AJ545" s="289"/>
      <c r="AK545" s="289"/>
      <c r="AL545" s="289"/>
      <c r="AM545" s="289"/>
      <c r="AN545" s="289"/>
      <c r="AO545" s="289"/>
      <c r="AP545" s="289"/>
      <c r="AQ545" s="289"/>
      <c r="AR545" s="289"/>
      <c r="AS545" s="289"/>
      <c r="AT545" s="289"/>
      <c r="AU545" s="289"/>
      <c r="AV545" s="289"/>
      <c r="AW545" s="289"/>
      <c r="AX545" s="289"/>
      <c r="AY545" s="289"/>
    </row>
    <row r="546" spans="1:51" ht="13.5" customHeight="1">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c r="AA546" s="289"/>
      <c r="AB546" s="289"/>
      <c r="AC546" s="289"/>
      <c r="AD546" s="289"/>
      <c r="AE546" s="289"/>
      <c r="AF546" s="289"/>
      <c r="AG546" s="289"/>
      <c r="AH546" s="289"/>
      <c r="AI546" s="289"/>
      <c r="AJ546" s="289"/>
      <c r="AK546" s="289"/>
      <c r="AL546" s="289"/>
      <c r="AM546" s="289"/>
      <c r="AN546" s="289"/>
      <c r="AO546" s="289"/>
      <c r="AP546" s="289"/>
      <c r="AQ546" s="289"/>
      <c r="AR546" s="289"/>
      <c r="AS546" s="289"/>
      <c r="AT546" s="289"/>
      <c r="AU546" s="289"/>
      <c r="AV546" s="289"/>
      <c r="AW546" s="289"/>
      <c r="AX546" s="289"/>
      <c r="AY546" s="289"/>
    </row>
    <row r="547" spans="1:51" ht="13.5" customHeight="1">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c r="AA547" s="289"/>
      <c r="AB547" s="289"/>
      <c r="AC547" s="289"/>
      <c r="AD547" s="289"/>
      <c r="AE547" s="289"/>
      <c r="AF547" s="289"/>
      <c r="AG547" s="289"/>
      <c r="AH547" s="289"/>
      <c r="AI547" s="289"/>
      <c r="AJ547" s="289"/>
      <c r="AK547" s="289"/>
      <c r="AL547" s="289"/>
      <c r="AM547" s="289"/>
      <c r="AN547" s="289"/>
      <c r="AO547" s="289"/>
      <c r="AP547" s="289"/>
      <c r="AQ547" s="289"/>
      <c r="AR547" s="289"/>
      <c r="AS547" s="289"/>
      <c r="AT547" s="289"/>
      <c r="AU547" s="289"/>
      <c r="AV547" s="289"/>
      <c r="AW547" s="289"/>
      <c r="AX547" s="289"/>
      <c r="AY547" s="289"/>
    </row>
    <row r="548" spans="1:51" ht="13.5" customHeight="1">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c r="AA548" s="289"/>
      <c r="AB548" s="289"/>
      <c r="AC548" s="289"/>
      <c r="AD548" s="289"/>
      <c r="AE548" s="289"/>
      <c r="AF548" s="289"/>
      <c r="AG548" s="289"/>
      <c r="AH548" s="289"/>
      <c r="AI548" s="289"/>
      <c r="AJ548" s="289"/>
      <c r="AK548" s="289"/>
      <c r="AL548" s="289"/>
      <c r="AM548" s="289"/>
      <c r="AN548" s="289"/>
      <c r="AO548" s="289"/>
      <c r="AP548" s="289"/>
      <c r="AQ548" s="289"/>
      <c r="AR548" s="289"/>
      <c r="AS548" s="289"/>
      <c r="AT548" s="289"/>
      <c r="AU548" s="289"/>
      <c r="AV548" s="289"/>
      <c r="AW548" s="289"/>
      <c r="AX548" s="289"/>
      <c r="AY548" s="289"/>
    </row>
    <row r="549" spans="1:51" ht="13.5" customHeight="1">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c r="AA549" s="289"/>
      <c r="AB549" s="289"/>
      <c r="AC549" s="289"/>
      <c r="AD549" s="289"/>
      <c r="AE549" s="289"/>
      <c r="AF549" s="289"/>
      <c r="AG549" s="289"/>
      <c r="AH549" s="289"/>
      <c r="AI549" s="289"/>
      <c r="AJ549" s="289"/>
      <c r="AK549" s="289"/>
      <c r="AL549" s="289"/>
      <c r="AM549" s="289"/>
      <c r="AN549" s="289"/>
      <c r="AO549" s="289"/>
      <c r="AP549" s="289"/>
      <c r="AQ549" s="289"/>
      <c r="AR549" s="289"/>
      <c r="AS549" s="289"/>
      <c r="AT549" s="289"/>
      <c r="AU549" s="289"/>
      <c r="AV549" s="289"/>
      <c r="AW549" s="289"/>
      <c r="AX549" s="289"/>
      <c r="AY549" s="289"/>
    </row>
    <row r="550" spans="1:51" ht="13.5" customHeight="1">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c r="AA550" s="289"/>
      <c r="AB550" s="289"/>
      <c r="AC550" s="289"/>
      <c r="AD550" s="289"/>
      <c r="AE550" s="289"/>
      <c r="AF550" s="289"/>
      <c r="AG550" s="289"/>
      <c r="AH550" s="289"/>
      <c r="AI550" s="289"/>
      <c r="AJ550" s="289"/>
      <c r="AK550" s="289"/>
      <c r="AL550" s="289"/>
      <c r="AM550" s="289"/>
      <c r="AN550" s="289"/>
      <c r="AO550" s="289"/>
      <c r="AP550" s="289"/>
      <c r="AQ550" s="289"/>
      <c r="AR550" s="289"/>
      <c r="AS550" s="289"/>
      <c r="AT550" s="289"/>
      <c r="AU550" s="289"/>
      <c r="AV550" s="289"/>
      <c r="AW550" s="289"/>
      <c r="AX550" s="289"/>
      <c r="AY550" s="289"/>
    </row>
    <row r="551" spans="1:51" ht="13.5" customHeight="1">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c r="AA551" s="289"/>
      <c r="AB551" s="289"/>
      <c r="AC551" s="289"/>
      <c r="AD551" s="289"/>
      <c r="AE551" s="289"/>
      <c r="AF551" s="289"/>
      <c r="AG551" s="289"/>
      <c r="AH551" s="289"/>
      <c r="AI551" s="289"/>
      <c r="AJ551" s="289"/>
      <c r="AK551" s="289"/>
      <c r="AL551" s="289"/>
      <c r="AM551" s="289"/>
      <c r="AN551" s="289"/>
      <c r="AO551" s="289"/>
      <c r="AP551" s="289"/>
      <c r="AQ551" s="289"/>
      <c r="AR551" s="289"/>
      <c r="AS551" s="289"/>
      <c r="AT551" s="289"/>
      <c r="AU551" s="289"/>
      <c r="AV551" s="289"/>
      <c r="AW551" s="289"/>
      <c r="AX551" s="289"/>
      <c r="AY551" s="289"/>
    </row>
    <row r="552" spans="1:51" ht="13.5" customHeight="1">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c r="AA552" s="289"/>
      <c r="AB552" s="289"/>
      <c r="AC552" s="289"/>
      <c r="AD552" s="289"/>
      <c r="AE552" s="289"/>
      <c r="AF552" s="289"/>
      <c r="AG552" s="289"/>
      <c r="AH552" s="289"/>
      <c r="AI552" s="289"/>
      <c r="AJ552" s="289"/>
      <c r="AK552" s="289"/>
      <c r="AL552" s="289"/>
      <c r="AM552" s="289"/>
      <c r="AN552" s="289"/>
      <c r="AO552" s="289"/>
      <c r="AP552" s="289"/>
      <c r="AQ552" s="289"/>
      <c r="AR552" s="289"/>
      <c r="AS552" s="289"/>
      <c r="AT552" s="289"/>
      <c r="AU552" s="289"/>
      <c r="AV552" s="289"/>
      <c r="AW552" s="289"/>
      <c r="AX552" s="289"/>
      <c r="AY552" s="289"/>
    </row>
    <row r="553" spans="1:51" ht="13.5" customHeight="1">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c r="AA553" s="289"/>
      <c r="AB553" s="289"/>
      <c r="AC553" s="289"/>
      <c r="AD553" s="289"/>
      <c r="AE553" s="289"/>
      <c r="AF553" s="289"/>
      <c r="AG553" s="289"/>
      <c r="AH553" s="289"/>
      <c r="AI553" s="289"/>
      <c r="AJ553" s="289"/>
      <c r="AK553" s="289"/>
      <c r="AL553" s="289"/>
      <c r="AM553" s="289"/>
      <c r="AN553" s="289"/>
      <c r="AO553" s="289"/>
      <c r="AP553" s="289"/>
      <c r="AQ553" s="289"/>
      <c r="AR553" s="289"/>
      <c r="AS553" s="289"/>
      <c r="AT553" s="289"/>
      <c r="AU553" s="289"/>
      <c r="AV553" s="289"/>
      <c r="AW553" s="289"/>
      <c r="AX553" s="289"/>
      <c r="AY553" s="289"/>
    </row>
    <row r="554" spans="1:51" ht="13.5" customHeight="1">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c r="AA554" s="289"/>
      <c r="AB554" s="289"/>
      <c r="AC554" s="289"/>
      <c r="AD554" s="289"/>
      <c r="AE554" s="289"/>
      <c r="AF554" s="289"/>
      <c r="AG554" s="289"/>
      <c r="AH554" s="289"/>
      <c r="AI554" s="289"/>
      <c r="AJ554" s="289"/>
      <c r="AK554" s="289"/>
      <c r="AL554" s="289"/>
      <c r="AM554" s="289"/>
      <c r="AN554" s="289"/>
      <c r="AO554" s="289"/>
      <c r="AP554" s="289"/>
      <c r="AQ554" s="289"/>
      <c r="AR554" s="289"/>
      <c r="AS554" s="289"/>
      <c r="AT554" s="289"/>
      <c r="AU554" s="289"/>
      <c r="AV554" s="289"/>
      <c r="AW554" s="289"/>
      <c r="AX554" s="289"/>
      <c r="AY554" s="289"/>
    </row>
    <row r="555" spans="1:51" ht="13.5" customHeight="1">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c r="AA555" s="289"/>
      <c r="AB555" s="289"/>
      <c r="AC555" s="289"/>
      <c r="AD555" s="289"/>
      <c r="AE555" s="289"/>
      <c r="AF555" s="289"/>
      <c r="AG555" s="289"/>
      <c r="AH555" s="289"/>
      <c r="AI555" s="289"/>
      <c r="AJ555" s="289"/>
      <c r="AK555" s="289"/>
      <c r="AL555" s="289"/>
      <c r="AM555" s="289"/>
      <c r="AN555" s="289"/>
      <c r="AO555" s="289"/>
      <c r="AP555" s="289"/>
      <c r="AQ555" s="289"/>
      <c r="AR555" s="289"/>
      <c r="AS555" s="289"/>
      <c r="AT555" s="289"/>
      <c r="AU555" s="289"/>
      <c r="AV555" s="289"/>
      <c r="AW555" s="289"/>
      <c r="AX555" s="289"/>
      <c r="AY555" s="289"/>
    </row>
    <row r="556" spans="1:51" ht="13.5" customHeight="1">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c r="AA556" s="289"/>
      <c r="AB556" s="289"/>
      <c r="AC556" s="289"/>
      <c r="AD556" s="289"/>
      <c r="AE556" s="289"/>
      <c r="AF556" s="289"/>
      <c r="AG556" s="289"/>
      <c r="AH556" s="289"/>
      <c r="AI556" s="289"/>
      <c r="AJ556" s="289"/>
      <c r="AK556" s="289"/>
      <c r="AL556" s="289"/>
      <c r="AM556" s="289"/>
      <c r="AN556" s="289"/>
      <c r="AO556" s="289"/>
      <c r="AP556" s="289"/>
      <c r="AQ556" s="289"/>
      <c r="AR556" s="289"/>
      <c r="AS556" s="289"/>
      <c r="AT556" s="289"/>
      <c r="AU556" s="289"/>
      <c r="AV556" s="289"/>
      <c r="AW556" s="289"/>
      <c r="AX556" s="289"/>
      <c r="AY556" s="289"/>
    </row>
    <row r="557" spans="1:51" ht="13.5" customHeight="1">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c r="AA557" s="289"/>
      <c r="AB557" s="289"/>
      <c r="AC557" s="289"/>
      <c r="AD557" s="289"/>
      <c r="AE557" s="289"/>
      <c r="AF557" s="289"/>
      <c r="AG557" s="289"/>
      <c r="AH557" s="289"/>
      <c r="AI557" s="289"/>
      <c r="AJ557" s="289"/>
      <c r="AK557" s="289"/>
      <c r="AL557" s="289"/>
      <c r="AM557" s="289"/>
      <c r="AN557" s="289"/>
      <c r="AO557" s="289"/>
      <c r="AP557" s="289"/>
      <c r="AQ557" s="289"/>
      <c r="AR557" s="289"/>
      <c r="AS557" s="289"/>
      <c r="AT557" s="289"/>
      <c r="AU557" s="289"/>
      <c r="AV557" s="289"/>
      <c r="AW557" s="289"/>
      <c r="AX557" s="289"/>
      <c r="AY557" s="289"/>
    </row>
    <row r="558" spans="1:51" ht="13.5" customHeight="1">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c r="AA558" s="289"/>
      <c r="AB558" s="289"/>
      <c r="AC558" s="289"/>
      <c r="AD558" s="289"/>
      <c r="AE558" s="289"/>
      <c r="AF558" s="289"/>
      <c r="AG558" s="289"/>
      <c r="AH558" s="289"/>
      <c r="AI558" s="289"/>
      <c r="AJ558" s="289"/>
      <c r="AK558" s="289"/>
      <c r="AL558" s="289"/>
      <c r="AM558" s="289"/>
      <c r="AN558" s="289"/>
      <c r="AO558" s="289"/>
      <c r="AP558" s="289"/>
      <c r="AQ558" s="289"/>
      <c r="AR558" s="289"/>
      <c r="AS558" s="289"/>
      <c r="AT558" s="289"/>
      <c r="AU558" s="289"/>
      <c r="AV558" s="289"/>
      <c r="AW558" s="289"/>
      <c r="AX558" s="289"/>
      <c r="AY558" s="289"/>
    </row>
    <row r="559" spans="1:51" ht="13.5" customHeight="1">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c r="AA559" s="289"/>
      <c r="AB559" s="289"/>
      <c r="AC559" s="289"/>
      <c r="AD559" s="289"/>
      <c r="AE559" s="289"/>
      <c r="AF559" s="289"/>
      <c r="AG559" s="289"/>
      <c r="AH559" s="289"/>
      <c r="AI559" s="289"/>
      <c r="AJ559" s="289"/>
      <c r="AK559" s="289"/>
      <c r="AL559" s="289"/>
      <c r="AM559" s="289"/>
      <c r="AN559" s="289"/>
      <c r="AO559" s="289"/>
      <c r="AP559" s="289"/>
      <c r="AQ559" s="289"/>
      <c r="AR559" s="289"/>
      <c r="AS559" s="289"/>
      <c r="AT559" s="289"/>
      <c r="AU559" s="289"/>
      <c r="AV559" s="289"/>
      <c r="AW559" s="289"/>
      <c r="AX559" s="289"/>
      <c r="AY559" s="289"/>
    </row>
    <row r="560" spans="1:51" ht="13.5" customHeight="1">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c r="AA560" s="289"/>
      <c r="AB560" s="289"/>
      <c r="AC560" s="289"/>
      <c r="AD560" s="289"/>
      <c r="AE560" s="289"/>
      <c r="AF560" s="289"/>
      <c r="AG560" s="289"/>
      <c r="AH560" s="289"/>
      <c r="AI560" s="289"/>
      <c r="AJ560" s="289"/>
      <c r="AK560" s="289"/>
      <c r="AL560" s="289"/>
      <c r="AM560" s="289"/>
      <c r="AN560" s="289"/>
      <c r="AO560" s="289"/>
      <c r="AP560" s="289"/>
      <c r="AQ560" s="289"/>
      <c r="AR560" s="289"/>
      <c r="AS560" s="289"/>
      <c r="AT560" s="289"/>
      <c r="AU560" s="289"/>
      <c r="AV560" s="289"/>
      <c r="AW560" s="289"/>
      <c r="AX560" s="289"/>
      <c r="AY560" s="289"/>
    </row>
    <row r="561" spans="1:51" ht="13.5" customHeight="1">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c r="AA561" s="289"/>
      <c r="AB561" s="289"/>
      <c r="AC561" s="289"/>
      <c r="AD561" s="289"/>
      <c r="AE561" s="289"/>
      <c r="AF561" s="289"/>
      <c r="AG561" s="289"/>
      <c r="AH561" s="289"/>
      <c r="AI561" s="289"/>
      <c r="AJ561" s="289"/>
      <c r="AK561" s="289"/>
      <c r="AL561" s="289"/>
      <c r="AM561" s="289"/>
      <c r="AN561" s="289"/>
      <c r="AO561" s="289"/>
      <c r="AP561" s="289"/>
      <c r="AQ561" s="289"/>
      <c r="AR561" s="289"/>
      <c r="AS561" s="289"/>
      <c r="AT561" s="289"/>
      <c r="AU561" s="289"/>
      <c r="AV561" s="289"/>
      <c r="AW561" s="289"/>
      <c r="AX561" s="289"/>
      <c r="AY561" s="289"/>
    </row>
    <row r="562" spans="1:51" ht="13.5" customHeight="1">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c r="AA562" s="289"/>
      <c r="AB562" s="289"/>
      <c r="AC562" s="289"/>
      <c r="AD562" s="289"/>
      <c r="AE562" s="289"/>
      <c r="AF562" s="289"/>
      <c r="AG562" s="289"/>
      <c r="AH562" s="289"/>
      <c r="AI562" s="289"/>
      <c r="AJ562" s="289"/>
      <c r="AK562" s="289"/>
      <c r="AL562" s="289"/>
      <c r="AM562" s="289"/>
      <c r="AN562" s="289"/>
      <c r="AO562" s="289"/>
      <c r="AP562" s="289"/>
      <c r="AQ562" s="289"/>
      <c r="AR562" s="289"/>
      <c r="AS562" s="289"/>
      <c r="AT562" s="289"/>
      <c r="AU562" s="289"/>
      <c r="AV562" s="289"/>
      <c r="AW562" s="289"/>
      <c r="AX562" s="289"/>
      <c r="AY562" s="289"/>
    </row>
    <row r="563" spans="1:51" ht="13.5" customHeight="1">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c r="AA563" s="289"/>
      <c r="AB563" s="289"/>
      <c r="AC563" s="289"/>
      <c r="AD563" s="289"/>
      <c r="AE563" s="289"/>
      <c r="AF563" s="289"/>
      <c r="AG563" s="289"/>
      <c r="AH563" s="289"/>
      <c r="AI563" s="289"/>
      <c r="AJ563" s="289"/>
      <c r="AK563" s="289"/>
      <c r="AL563" s="289"/>
      <c r="AM563" s="289"/>
      <c r="AN563" s="289"/>
      <c r="AO563" s="289"/>
      <c r="AP563" s="289"/>
      <c r="AQ563" s="289"/>
      <c r="AR563" s="289"/>
      <c r="AS563" s="289"/>
      <c r="AT563" s="289"/>
      <c r="AU563" s="289"/>
      <c r="AV563" s="289"/>
      <c r="AW563" s="289"/>
      <c r="AX563" s="289"/>
      <c r="AY563" s="289"/>
    </row>
    <row r="564" spans="1:51" ht="13.5" customHeight="1">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c r="AA564" s="289"/>
      <c r="AB564" s="289"/>
      <c r="AC564" s="289"/>
      <c r="AD564" s="289"/>
      <c r="AE564" s="289"/>
      <c r="AF564" s="289"/>
      <c r="AG564" s="289"/>
      <c r="AH564" s="289"/>
      <c r="AI564" s="289"/>
      <c r="AJ564" s="289"/>
      <c r="AK564" s="289"/>
      <c r="AL564" s="289"/>
      <c r="AM564" s="289"/>
      <c r="AN564" s="289"/>
      <c r="AO564" s="289"/>
      <c r="AP564" s="289"/>
      <c r="AQ564" s="289"/>
      <c r="AR564" s="289"/>
      <c r="AS564" s="289"/>
      <c r="AT564" s="289"/>
      <c r="AU564" s="289"/>
      <c r="AV564" s="289"/>
      <c r="AW564" s="289"/>
      <c r="AX564" s="289"/>
      <c r="AY564" s="289"/>
    </row>
    <row r="565" spans="1:51" ht="13.5" customHeight="1">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c r="AA565" s="289"/>
      <c r="AB565" s="289"/>
      <c r="AC565" s="289"/>
      <c r="AD565" s="289"/>
      <c r="AE565" s="289"/>
      <c r="AF565" s="289"/>
      <c r="AG565" s="289"/>
      <c r="AH565" s="289"/>
      <c r="AI565" s="289"/>
      <c r="AJ565" s="289"/>
      <c r="AK565" s="289"/>
      <c r="AL565" s="289"/>
      <c r="AM565" s="289"/>
      <c r="AN565" s="289"/>
      <c r="AO565" s="289"/>
      <c r="AP565" s="289"/>
      <c r="AQ565" s="289"/>
      <c r="AR565" s="289"/>
      <c r="AS565" s="289"/>
      <c r="AT565" s="289"/>
      <c r="AU565" s="289"/>
      <c r="AV565" s="289"/>
      <c r="AW565" s="289"/>
      <c r="AX565" s="289"/>
      <c r="AY565" s="289"/>
    </row>
    <row r="566" spans="1:51" ht="13.5" customHeight="1">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c r="AA566" s="289"/>
      <c r="AB566" s="289"/>
      <c r="AC566" s="289"/>
      <c r="AD566" s="289"/>
      <c r="AE566" s="289"/>
      <c r="AF566" s="289"/>
      <c r="AG566" s="289"/>
      <c r="AH566" s="289"/>
      <c r="AI566" s="289"/>
      <c r="AJ566" s="289"/>
      <c r="AK566" s="289"/>
      <c r="AL566" s="289"/>
      <c r="AM566" s="289"/>
      <c r="AN566" s="289"/>
      <c r="AO566" s="289"/>
      <c r="AP566" s="289"/>
      <c r="AQ566" s="289"/>
      <c r="AR566" s="289"/>
      <c r="AS566" s="289"/>
      <c r="AT566" s="289"/>
      <c r="AU566" s="289"/>
      <c r="AV566" s="289"/>
      <c r="AW566" s="289"/>
      <c r="AX566" s="289"/>
      <c r="AY566" s="289"/>
    </row>
    <row r="567" spans="1:51" ht="13.5" customHeight="1">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c r="AA567" s="289"/>
      <c r="AB567" s="289"/>
      <c r="AC567" s="289"/>
      <c r="AD567" s="289"/>
      <c r="AE567" s="289"/>
      <c r="AF567" s="289"/>
      <c r="AG567" s="289"/>
      <c r="AH567" s="289"/>
      <c r="AI567" s="289"/>
      <c r="AJ567" s="289"/>
      <c r="AK567" s="289"/>
      <c r="AL567" s="289"/>
      <c r="AM567" s="289"/>
      <c r="AN567" s="289"/>
      <c r="AO567" s="289"/>
      <c r="AP567" s="289"/>
      <c r="AQ567" s="289"/>
      <c r="AR567" s="289"/>
      <c r="AS567" s="289"/>
      <c r="AT567" s="289"/>
      <c r="AU567" s="289"/>
      <c r="AV567" s="289"/>
      <c r="AW567" s="289"/>
      <c r="AX567" s="289"/>
      <c r="AY567" s="289"/>
    </row>
    <row r="568" spans="1:51" ht="13.5" customHeight="1">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c r="AA568" s="289"/>
      <c r="AB568" s="289"/>
      <c r="AC568" s="289"/>
      <c r="AD568" s="289"/>
      <c r="AE568" s="289"/>
      <c r="AF568" s="289"/>
      <c r="AG568" s="289"/>
      <c r="AH568" s="289"/>
      <c r="AI568" s="289"/>
      <c r="AJ568" s="289"/>
      <c r="AK568" s="289"/>
      <c r="AL568" s="289"/>
      <c r="AM568" s="289"/>
      <c r="AN568" s="289"/>
      <c r="AO568" s="289"/>
      <c r="AP568" s="289"/>
      <c r="AQ568" s="289"/>
      <c r="AR568" s="289"/>
      <c r="AS568" s="289"/>
      <c r="AT568" s="289"/>
      <c r="AU568" s="289"/>
      <c r="AV568" s="289"/>
      <c r="AW568" s="289"/>
      <c r="AX568" s="289"/>
      <c r="AY568" s="289"/>
    </row>
    <row r="569" spans="1:51" ht="13.5" customHeight="1">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c r="AA569" s="289"/>
      <c r="AB569" s="289"/>
      <c r="AC569" s="289"/>
      <c r="AD569" s="289"/>
      <c r="AE569" s="289"/>
      <c r="AF569" s="289"/>
      <c r="AG569" s="289"/>
      <c r="AH569" s="289"/>
      <c r="AI569" s="289"/>
      <c r="AJ569" s="289"/>
      <c r="AK569" s="289"/>
      <c r="AL569" s="289"/>
      <c r="AM569" s="289"/>
      <c r="AN569" s="289"/>
      <c r="AO569" s="289"/>
      <c r="AP569" s="289"/>
      <c r="AQ569" s="289"/>
      <c r="AR569" s="289"/>
      <c r="AS569" s="289"/>
      <c r="AT569" s="289"/>
      <c r="AU569" s="289"/>
      <c r="AV569" s="289"/>
      <c r="AW569" s="289"/>
      <c r="AX569" s="289"/>
      <c r="AY569" s="289"/>
    </row>
    <row r="570" spans="1:51" ht="13.5" customHeight="1">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c r="AA570" s="289"/>
      <c r="AB570" s="289"/>
      <c r="AC570" s="289"/>
      <c r="AD570" s="289"/>
      <c r="AE570" s="289"/>
      <c r="AF570" s="289"/>
      <c r="AG570" s="289"/>
      <c r="AH570" s="289"/>
      <c r="AI570" s="289"/>
      <c r="AJ570" s="289"/>
      <c r="AK570" s="289"/>
      <c r="AL570" s="289"/>
      <c r="AM570" s="289"/>
      <c r="AN570" s="289"/>
      <c r="AO570" s="289"/>
      <c r="AP570" s="289"/>
      <c r="AQ570" s="289"/>
      <c r="AR570" s="289"/>
      <c r="AS570" s="289"/>
      <c r="AT570" s="289"/>
      <c r="AU570" s="289"/>
      <c r="AV570" s="289"/>
      <c r="AW570" s="289"/>
      <c r="AX570" s="289"/>
      <c r="AY570" s="289"/>
    </row>
    <row r="571" spans="1:51" ht="13.5" customHeight="1">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c r="AA571" s="289"/>
      <c r="AB571" s="289"/>
      <c r="AC571" s="289"/>
      <c r="AD571" s="289"/>
      <c r="AE571" s="289"/>
      <c r="AF571" s="289"/>
      <c r="AG571" s="289"/>
      <c r="AH571" s="289"/>
      <c r="AI571" s="289"/>
      <c r="AJ571" s="289"/>
      <c r="AK571" s="289"/>
      <c r="AL571" s="289"/>
      <c r="AM571" s="289"/>
      <c r="AN571" s="289"/>
      <c r="AO571" s="289"/>
      <c r="AP571" s="289"/>
      <c r="AQ571" s="289"/>
      <c r="AR571" s="289"/>
      <c r="AS571" s="289"/>
      <c r="AT571" s="289"/>
      <c r="AU571" s="289"/>
      <c r="AV571" s="289"/>
      <c r="AW571" s="289"/>
      <c r="AX571" s="289"/>
      <c r="AY571" s="289"/>
    </row>
    <row r="572" spans="1:51" ht="13.5" customHeight="1">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c r="AA572" s="289"/>
      <c r="AB572" s="289"/>
      <c r="AC572" s="289"/>
      <c r="AD572" s="289"/>
      <c r="AE572" s="289"/>
      <c r="AF572" s="289"/>
      <c r="AG572" s="289"/>
      <c r="AH572" s="289"/>
      <c r="AI572" s="289"/>
      <c r="AJ572" s="289"/>
      <c r="AK572" s="289"/>
      <c r="AL572" s="289"/>
      <c r="AM572" s="289"/>
      <c r="AN572" s="289"/>
      <c r="AO572" s="289"/>
      <c r="AP572" s="289"/>
      <c r="AQ572" s="289"/>
      <c r="AR572" s="289"/>
      <c r="AS572" s="289"/>
      <c r="AT572" s="289"/>
      <c r="AU572" s="289"/>
      <c r="AV572" s="289"/>
      <c r="AW572" s="289"/>
      <c r="AX572" s="289"/>
      <c r="AY572" s="289"/>
    </row>
    <row r="573" spans="1:51" ht="13.5" customHeight="1">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c r="AA573" s="289"/>
      <c r="AB573" s="289"/>
      <c r="AC573" s="289"/>
      <c r="AD573" s="289"/>
      <c r="AE573" s="289"/>
      <c r="AF573" s="289"/>
      <c r="AG573" s="289"/>
      <c r="AH573" s="289"/>
      <c r="AI573" s="289"/>
      <c r="AJ573" s="289"/>
      <c r="AK573" s="289"/>
      <c r="AL573" s="289"/>
      <c r="AM573" s="289"/>
      <c r="AN573" s="289"/>
      <c r="AO573" s="289"/>
      <c r="AP573" s="289"/>
      <c r="AQ573" s="289"/>
      <c r="AR573" s="289"/>
      <c r="AS573" s="289"/>
      <c r="AT573" s="289"/>
      <c r="AU573" s="289"/>
      <c r="AV573" s="289"/>
      <c r="AW573" s="289"/>
      <c r="AX573" s="289"/>
      <c r="AY573" s="289"/>
    </row>
    <row r="574" spans="1:51" ht="13.5" customHeight="1">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c r="AA574" s="289"/>
      <c r="AB574" s="289"/>
      <c r="AC574" s="289"/>
      <c r="AD574" s="289"/>
      <c r="AE574" s="289"/>
      <c r="AF574" s="289"/>
      <c r="AG574" s="289"/>
      <c r="AH574" s="289"/>
      <c r="AI574" s="289"/>
      <c r="AJ574" s="289"/>
      <c r="AK574" s="289"/>
      <c r="AL574" s="289"/>
      <c r="AM574" s="289"/>
      <c r="AN574" s="289"/>
      <c r="AO574" s="289"/>
      <c r="AP574" s="289"/>
      <c r="AQ574" s="289"/>
      <c r="AR574" s="289"/>
      <c r="AS574" s="289"/>
      <c r="AT574" s="289"/>
      <c r="AU574" s="289"/>
      <c r="AV574" s="289"/>
      <c r="AW574" s="289"/>
      <c r="AX574" s="289"/>
      <c r="AY574" s="289"/>
    </row>
    <row r="575" spans="1:51" ht="13.5" customHeight="1">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c r="AA575" s="289"/>
      <c r="AB575" s="289"/>
      <c r="AC575" s="289"/>
      <c r="AD575" s="289"/>
      <c r="AE575" s="289"/>
      <c r="AF575" s="289"/>
      <c r="AG575" s="289"/>
      <c r="AH575" s="289"/>
      <c r="AI575" s="289"/>
      <c r="AJ575" s="289"/>
      <c r="AK575" s="289"/>
      <c r="AL575" s="289"/>
      <c r="AM575" s="289"/>
      <c r="AN575" s="289"/>
      <c r="AO575" s="289"/>
      <c r="AP575" s="289"/>
      <c r="AQ575" s="289"/>
      <c r="AR575" s="289"/>
      <c r="AS575" s="289"/>
      <c r="AT575" s="289"/>
      <c r="AU575" s="289"/>
      <c r="AV575" s="289"/>
      <c r="AW575" s="289"/>
      <c r="AX575" s="289"/>
      <c r="AY575" s="289"/>
    </row>
    <row r="576" spans="1:51" ht="13.5" customHeight="1">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c r="AA576" s="289"/>
      <c r="AB576" s="289"/>
      <c r="AC576" s="289"/>
      <c r="AD576" s="289"/>
      <c r="AE576" s="289"/>
      <c r="AF576" s="289"/>
      <c r="AG576" s="289"/>
      <c r="AH576" s="289"/>
      <c r="AI576" s="289"/>
      <c r="AJ576" s="289"/>
      <c r="AK576" s="289"/>
      <c r="AL576" s="289"/>
      <c r="AM576" s="289"/>
      <c r="AN576" s="289"/>
      <c r="AO576" s="289"/>
      <c r="AP576" s="289"/>
      <c r="AQ576" s="289"/>
      <c r="AR576" s="289"/>
      <c r="AS576" s="289"/>
      <c r="AT576" s="289"/>
      <c r="AU576" s="289"/>
      <c r="AV576" s="289"/>
      <c r="AW576" s="289"/>
      <c r="AX576" s="289"/>
      <c r="AY576" s="289"/>
    </row>
    <row r="577" spans="1:51" ht="13.5" customHeight="1">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c r="AA577" s="289"/>
      <c r="AB577" s="289"/>
      <c r="AC577" s="289"/>
      <c r="AD577" s="289"/>
      <c r="AE577" s="289"/>
      <c r="AF577" s="289"/>
      <c r="AG577" s="289"/>
      <c r="AH577" s="289"/>
      <c r="AI577" s="289"/>
      <c r="AJ577" s="289"/>
      <c r="AK577" s="289"/>
      <c r="AL577" s="289"/>
      <c r="AM577" s="289"/>
      <c r="AN577" s="289"/>
      <c r="AO577" s="289"/>
      <c r="AP577" s="289"/>
      <c r="AQ577" s="289"/>
      <c r="AR577" s="289"/>
      <c r="AS577" s="289"/>
      <c r="AT577" s="289"/>
      <c r="AU577" s="289"/>
      <c r="AV577" s="289"/>
      <c r="AW577" s="289"/>
      <c r="AX577" s="289"/>
      <c r="AY577" s="289"/>
    </row>
    <row r="578" spans="1:51" ht="13.5" customHeight="1">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c r="AA578" s="289"/>
      <c r="AB578" s="289"/>
      <c r="AC578" s="289"/>
      <c r="AD578" s="289"/>
      <c r="AE578" s="289"/>
      <c r="AF578" s="289"/>
      <c r="AG578" s="289"/>
      <c r="AH578" s="289"/>
      <c r="AI578" s="289"/>
      <c r="AJ578" s="289"/>
      <c r="AK578" s="289"/>
      <c r="AL578" s="289"/>
      <c r="AM578" s="289"/>
      <c r="AN578" s="289"/>
      <c r="AO578" s="289"/>
      <c r="AP578" s="289"/>
      <c r="AQ578" s="289"/>
      <c r="AR578" s="289"/>
      <c r="AS578" s="289"/>
      <c r="AT578" s="289"/>
      <c r="AU578" s="289"/>
      <c r="AV578" s="289"/>
      <c r="AW578" s="289"/>
      <c r="AX578" s="289"/>
      <c r="AY578" s="289"/>
    </row>
    <row r="579" spans="1:51" ht="13.5" customHeight="1">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c r="AA579" s="289"/>
      <c r="AB579" s="289"/>
      <c r="AC579" s="289"/>
      <c r="AD579" s="289"/>
      <c r="AE579" s="289"/>
      <c r="AF579" s="289"/>
      <c r="AG579" s="289"/>
      <c r="AH579" s="289"/>
      <c r="AI579" s="289"/>
      <c r="AJ579" s="289"/>
      <c r="AK579" s="289"/>
      <c r="AL579" s="289"/>
      <c r="AM579" s="289"/>
      <c r="AN579" s="289"/>
      <c r="AO579" s="289"/>
      <c r="AP579" s="289"/>
      <c r="AQ579" s="289"/>
      <c r="AR579" s="289"/>
      <c r="AS579" s="289"/>
      <c r="AT579" s="289"/>
      <c r="AU579" s="289"/>
      <c r="AV579" s="289"/>
      <c r="AW579" s="289"/>
      <c r="AX579" s="289"/>
      <c r="AY579" s="289"/>
    </row>
    <row r="580" spans="1:51" ht="13.5" customHeight="1">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c r="AA580" s="289"/>
      <c r="AB580" s="289"/>
      <c r="AC580" s="289"/>
      <c r="AD580" s="289"/>
      <c r="AE580" s="289"/>
      <c r="AF580" s="289"/>
      <c r="AG580" s="289"/>
      <c r="AH580" s="289"/>
      <c r="AI580" s="289"/>
      <c r="AJ580" s="289"/>
      <c r="AK580" s="289"/>
      <c r="AL580" s="289"/>
      <c r="AM580" s="289"/>
      <c r="AN580" s="289"/>
      <c r="AO580" s="289"/>
      <c r="AP580" s="289"/>
      <c r="AQ580" s="289"/>
      <c r="AR580" s="289"/>
      <c r="AS580" s="289"/>
      <c r="AT580" s="289"/>
      <c r="AU580" s="289"/>
      <c r="AV580" s="289"/>
      <c r="AW580" s="289"/>
      <c r="AX580" s="289"/>
      <c r="AY580" s="289"/>
    </row>
    <row r="581" spans="1:51" ht="13.5" customHeight="1">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c r="AA581" s="289"/>
      <c r="AB581" s="289"/>
      <c r="AC581" s="289"/>
      <c r="AD581" s="289"/>
      <c r="AE581" s="289"/>
      <c r="AF581" s="289"/>
      <c r="AG581" s="289"/>
      <c r="AH581" s="289"/>
      <c r="AI581" s="289"/>
      <c r="AJ581" s="289"/>
      <c r="AK581" s="289"/>
      <c r="AL581" s="289"/>
      <c r="AM581" s="289"/>
      <c r="AN581" s="289"/>
      <c r="AO581" s="289"/>
      <c r="AP581" s="289"/>
      <c r="AQ581" s="289"/>
      <c r="AR581" s="289"/>
      <c r="AS581" s="289"/>
      <c r="AT581" s="289"/>
      <c r="AU581" s="289"/>
      <c r="AV581" s="289"/>
      <c r="AW581" s="289"/>
      <c r="AX581" s="289"/>
      <c r="AY581" s="289"/>
    </row>
    <row r="582" spans="1:51" ht="13.5" customHeight="1">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c r="AA582" s="289"/>
      <c r="AB582" s="289"/>
      <c r="AC582" s="289"/>
      <c r="AD582" s="289"/>
      <c r="AE582" s="289"/>
      <c r="AF582" s="289"/>
      <c r="AG582" s="289"/>
      <c r="AH582" s="289"/>
      <c r="AI582" s="289"/>
      <c r="AJ582" s="289"/>
      <c r="AK582" s="289"/>
      <c r="AL582" s="289"/>
      <c r="AM582" s="289"/>
      <c r="AN582" s="289"/>
      <c r="AO582" s="289"/>
      <c r="AP582" s="289"/>
      <c r="AQ582" s="289"/>
      <c r="AR582" s="289"/>
      <c r="AS582" s="289"/>
      <c r="AT582" s="289"/>
      <c r="AU582" s="289"/>
      <c r="AV582" s="289"/>
      <c r="AW582" s="289"/>
      <c r="AX582" s="289"/>
      <c r="AY582" s="289"/>
    </row>
    <row r="583" spans="1:51" ht="13.5" customHeight="1">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c r="AA583" s="289"/>
      <c r="AB583" s="289"/>
      <c r="AC583" s="289"/>
      <c r="AD583" s="289"/>
      <c r="AE583" s="289"/>
      <c r="AF583" s="289"/>
      <c r="AG583" s="289"/>
      <c r="AH583" s="289"/>
      <c r="AI583" s="289"/>
      <c r="AJ583" s="289"/>
      <c r="AK583" s="289"/>
      <c r="AL583" s="289"/>
      <c r="AM583" s="289"/>
      <c r="AN583" s="289"/>
      <c r="AO583" s="289"/>
      <c r="AP583" s="289"/>
      <c r="AQ583" s="289"/>
      <c r="AR583" s="289"/>
      <c r="AS583" s="289"/>
      <c r="AT583" s="289"/>
      <c r="AU583" s="289"/>
      <c r="AV583" s="289"/>
      <c r="AW583" s="289"/>
      <c r="AX583" s="289"/>
      <c r="AY583" s="289"/>
    </row>
    <row r="584" spans="1:51" ht="13.5" customHeight="1">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c r="AA584" s="289"/>
      <c r="AB584" s="289"/>
      <c r="AC584" s="289"/>
      <c r="AD584" s="289"/>
      <c r="AE584" s="289"/>
      <c r="AF584" s="289"/>
      <c r="AG584" s="289"/>
      <c r="AH584" s="289"/>
      <c r="AI584" s="289"/>
      <c r="AJ584" s="289"/>
      <c r="AK584" s="289"/>
      <c r="AL584" s="289"/>
      <c r="AM584" s="289"/>
      <c r="AN584" s="289"/>
      <c r="AO584" s="289"/>
      <c r="AP584" s="289"/>
      <c r="AQ584" s="289"/>
      <c r="AR584" s="289"/>
      <c r="AS584" s="289"/>
      <c r="AT584" s="289"/>
      <c r="AU584" s="289"/>
      <c r="AV584" s="289"/>
      <c r="AW584" s="289"/>
      <c r="AX584" s="289"/>
      <c r="AY584" s="289"/>
    </row>
    <row r="585" spans="1:51" ht="13.5" customHeight="1">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c r="AA585" s="289"/>
      <c r="AB585" s="289"/>
      <c r="AC585" s="289"/>
      <c r="AD585" s="289"/>
      <c r="AE585" s="289"/>
      <c r="AF585" s="289"/>
      <c r="AG585" s="289"/>
      <c r="AH585" s="289"/>
      <c r="AI585" s="289"/>
      <c r="AJ585" s="289"/>
      <c r="AK585" s="289"/>
      <c r="AL585" s="289"/>
      <c r="AM585" s="289"/>
      <c r="AN585" s="289"/>
      <c r="AO585" s="289"/>
      <c r="AP585" s="289"/>
      <c r="AQ585" s="289"/>
      <c r="AR585" s="289"/>
      <c r="AS585" s="289"/>
      <c r="AT585" s="289"/>
      <c r="AU585" s="289"/>
      <c r="AV585" s="289"/>
      <c r="AW585" s="289"/>
      <c r="AX585" s="289"/>
      <c r="AY585" s="289"/>
    </row>
    <row r="586" spans="1:51" ht="13.5" customHeight="1">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c r="AA586" s="289"/>
      <c r="AB586" s="289"/>
      <c r="AC586" s="289"/>
      <c r="AD586" s="289"/>
      <c r="AE586" s="289"/>
      <c r="AF586" s="289"/>
      <c r="AG586" s="289"/>
      <c r="AH586" s="289"/>
      <c r="AI586" s="289"/>
      <c r="AJ586" s="289"/>
      <c r="AK586" s="289"/>
      <c r="AL586" s="289"/>
      <c r="AM586" s="289"/>
      <c r="AN586" s="289"/>
      <c r="AO586" s="289"/>
      <c r="AP586" s="289"/>
      <c r="AQ586" s="289"/>
      <c r="AR586" s="289"/>
      <c r="AS586" s="289"/>
      <c r="AT586" s="289"/>
      <c r="AU586" s="289"/>
      <c r="AV586" s="289"/>
      <c r="AW586" s="289"/>
      <c r="AX586" s="289"/>
      <c r="AY586" s="289"/>
    </row>
    <row r="587" spans="1:51" ht="13.5" customHeight="1">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c r="AA587" s="289"/>
      <c r="AB587" s="289"/>
      <c r="AC587" s="289"/>
      <c r="AD587" s="289"/>
      <c r="AE587" s="289"/>
      <c r="AF587" s="289"/>
      <c r="AG587" s="289"/>
      <c r="AH587" s="289"/>
      <c r="AI587" s="289"/>
      <c r="AJ587" s="289"/>
      <c r="AK587" s="289"/>
      <c r="AL587" s="289"/>
      <c r="AM587" s="289"/>
      <c r="AN587" s="289"/>
      <c r="AO587" s="289"/>
      <c r="AP587" s="289"/>
      <c r="AQ587" s="289"/>
      <c r="AR587" s="289"/>
      <c r="AS587" s="289"/>
      <c r="AT587" s="289"/>
      <c r="AU587" s="289"/>
      <c r="AV587" s="289"/>
      <c r="AW587" s="289"/>
      <c r="AX587" s="289"/>
      <c r="AY587" s="289"/>
    </row>
    <row r="588" spans="1:51" ht="13.5" customHeight="1">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c r="AA588" s="289"/>
      <c r="AB588" s="289"/>
      <c r="AC588" s="289"/>
      <c r="AD588" s="289"/>
      <c r="AE588" s="289"/>
      <c r="AF588" s="289"/>
      <c r="AG588" s="289"/>
      <c r="AH588" s="289"/>
      <c r="AI588" s="289"/>
      <c r="AJ588" s="289"/>
      <c r="AK588" s="289"/>
      <c r="AL588" s="289"/>
      <c r="AM588" s="289"/>
      <c r="AN588" s="289"/>
      <c r="AO588" s="289"/>
      <c r="AP588" s="289"/>
      <c r="AQ588" s="289"/>
      <c r="AR588" s="289"/>
      <c r="AS588" s="289"/>
      <c r="AT588" s="289"/>
      <c r="AU588" s="289"/>
      <c r="AV588" s="289"/>
      <c r="AW588" s="289"/>
      <c r="AX588" s="289"/>
      <c r="AY588" s="289"/>
    </row>
    <row r="589" spans="1:51" ht="13.5" customHeight="1">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c r="AA589" s="289"/>
      <c r="AB589" s="289"/>
      <c r="AC589" s="289"/>
      <c r="AD589" s="289"/>
      <c r="AE589" s="289"/>
      <c r="AF589" s="289"/>
      <c r="AG589" s="289"/>
      <c r="AH589" s="289"/>
      <c r="AI589" s="289"/>
      <c r="AJ589" s="289"/>
      <c r="AK589" s="289"/>
      <c r="AL589" s="289"/>
      <c r="AM589" s="289"/>
      <c r="AN589" s="289"/>
      <c r="AO589" s="289"/>
      <c r="AP589" s="289"/>
      <c r="AQ589" s="289"/>
      <c r="AR589" s="289"/>
      <c r="AS589" s="289"/>
      <c r="AT589" s="289"/>
      <c r="AU589" s="289"/>
      <c r="AV589" s="289"/>
      <c r="AW589" s="289"/>
      <c r="AX589" s="289"/>
      <c r="AY589" s="289"/>
    </row>
    <row r="590" spans="1:51" ht="13.5" customHeight="1">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c r="AA590" s="289"/>
      <c r="AB590" s="289"/>
      <c r="AC590" s="289"/>
      <c r="AD590" s="289"/>
      <c r="AE590" s="289"/>
      <c r="AF590" s="289"/>
      <c r="AG590" s="289"/>
      <c r="AH590" s="289"/>
      <c r="AI590" s="289"/>
      <c r="AJ590" s="289"/>
      <c r="AK590" s="289"/>
      <c r="AL590" s="289"/>
      <c r="AM590" s="289"/>
      <c r="AN590" s="289"/>
      <c r="AO590" s="289"/>
      <c r="AP590" s="289"/>
      <c r="AQ590" s="289"/>
      <c r="AR590" s="289"/>
      <c r="AS590" s="289"/>
      <c r="AT590" s="289"/>
      <c r="AU590" s="289"/>
      <c r="AV590" s="289"/>
      <c r="AW590" s="289"/>
      <c r="AX590" s="289"/>
      <c r="AY590" s="289"/>
    </row>
    <row r="591" spans="1:51" ht="13.5" customHeight="1">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c r="AA591" s="289"/>
      <c r="AB591" s="289"/>
      <c r="AC591" s="289"/>
      <c r="AD591" s="289"/>
      <c r="AE591" s="289"/>
      <c r="AF591" s="289"/>
      <c r="AG591" s="289"/>
      <c r="AH591" s="289"/>
      <c r="AI591" s="289"/>
      <c r="AJ591" s="289"/>
      <c r="AK591" s="289"/>
      <c r="AL591" s="289"/>
      <c r="AM591" s="289"/>
      <c r="AN591" s="289"/>
      <c r="AO591" s="289"/>
      <c r="AP591" s="289"/>
      <c r="AQ591" s="289"/>
      <c r="AR591" s="289"/>
      <c r="AS591" s="289"/>
      <c r="AT591" s="289"/>
      <c r="AU591" s="289"/>
      <c r="AV591" s="289"/>
      <c r="AW591" s="289"/>
      <c r="AX591" s="289"/>
      <c r="AY591" s="289"/>
    </row>
    <row r="592" spans="1:51" ht="13.5" customHeight="1">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c r="AA592" s="289"/>
      <c r="AB592" s="289"/>
      <c r="AC592" s="289"/>
      <c r="AD592" s="289"/>
      <c r="AE592" s="289"/>
      <c r="AF592" s="289"/>
      <c r="AG592" s="289"/>
      <c r="AH592" s="289"/>
      <c r="AI592" s="289"/>
      <c r="AJ592" s="289"/>
      <c r="AK592" s="289"/>
      <c r="AL592" s="289"/>
      <c r="AM592" s="289"/>
      <c r="AN592" s="289"/>
      <c r="AO592" s="289"/>
      <c r="AP592" s="289"/>
      <c r="AQ592" s="289"/>
      <c r="AR592" s="289"/>
      <c r="AS592" s="289"/>
      <c r="AT592" s="289"/>
      <c r="AU592" s="289"/>
      <c r="AV592" s="289"/>
      <c r="AW592" s="289"/>
      <c r="AX592" s="289"/>
      <c r="AY592" s="289"/>
    </row>
    <row r="593" spans="1:51" ht="13.5" customHeight="1">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c r="AA593" s="289"/>
      <c r="AB593" s="289"/>
      <c r="AC593" s="289"/>
      <c r="AD593" s="289"/>
      <c r="AE593" s="289"/>
      <c r="AF593" s="289"/>
      <c r="AG593" s="289"/>
      <c r="AH593" s="289"/>
      <c r="AI593" s="289"/>
      <c r="AJ593" s="289"/>
      <c r="AK593" s="289"/>
      <c r="AL593" s="289"/>
      <c r="AM593" s="289"/>
      <c r="AN593" s="289"/>
      <c r="AO593" s="289"/>
      <c r="AP593" s="289"/>
      <c r="AQ593" s="289"/>
      <c r="AR593" s="289"/>
      <c r="AS593" s="289"/>
      <c r="AT593" s="289"/>
      <c r="AU593" s="289"/>
      <c r="AV593" s="289"/>
      <c r="AW593" s="289"/>
      <c r="AX593" s="289"/>
      <c r="AY593" s="289"/>
    </row>
    <row r="594" spans="1:51" ht="13.5" customHeight="1">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c r="AA594" s="289"/>
      <c r="AB594" s="289"/>
      <c r="AC594" s="289"/>
      <c r="AD594" s="289"/>
      <c r="AE594" s="289"/>
      <c r="AF594" s="289"/>
      <c r="AG594" s="289"/>
      <c r="AH594" s="289"/>
      <c r="AI594" s="289"/>
      <c r="AJ594" s="289"/>
      <c r="AK594" s="289"/>
      <c r="AL594" s="289"/>
      <c r="AM594" s="289"/>
      <c r="AN594" s="289"/>
      <c r="AO594" s="289"/>
      <c r="AP594" s="289"/>
      <c r="AQ594" s="289"/>
      <c r="AR594" s="289"/>
      <c r="AS594" s="289"/>
      <c r="AT594" s="289"/>
      <c r="AU594" s="289"/>
      <c r="AV594" s="289"/>
      <c r="AW594" s="289"/>
      <c r="AX594" s="289"/>
      <c r="AY594" s="289"/>
    </row>
    <row r="595" spans="1:51" ht="13.5" customHeight="1">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c r="AA595" s="289"/>
      <c r="AB595" s="289"/>
      <c r="AC595" s="289"/>
      <c r="AD595" s="289"/>
      <c r="AE595" s="289"/>
      <c r="AF595" s="289"/>
      <c r="AG595" s="289"/>
      <c r="AH595" s="289"/>
      <c r="AI595" s="289"/>
      <c r="AJ595" s="289"/>
      <c r="AK595" s="289"/>
      <c r="AL595" s="289"/>
      <c r="AM595" s="289"/>
      <c r="AN595" s="289"/>
      <c r="AO595" s="289"/>
      <c r="AP595" s="289"/>
      <c r="AQ595" s="289"/>
      <c r="AR595" s="289"/>
      <c r="AS595" s="289"/>
      <c r="AT595" s="289"/>
      <c r="AU595" s="289"/>
      <c r="AV595" s="289"/>
      <c r="AW595" s="289"/>
      <c r="AX595" s="289"/>
      <c r="AY595" s="289"/>
    </row>
    <row r="596" spans="1:51" ht="13.5" customHeight="1">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c r="AA596" s="289"/>
      <c r="AB596" s="289"/>
      <c r="AC596" s="289"/>
      <c r="AD596" s="289"/>
      <c r="AE596" s="289"/>
      <c r="AF596" s="289"/>
      <c r="AG596" s="289"/>
      <c r="AH596" s="289"/>
      <c r="AI596" s="289"/>
      <c r="AJ596" s="289"/>
      <c r="AK596" s="289"/>
      <c r="AL596" s="289"/>
      <c r="AM596" s="289"/>
      <c r="AN596" s="289"/>
      <c r="AO596" s="289"/>
      <c r="AP596" s="289"/>
      <c r="AQ596" s="289"/>
      <c r="AR596" s="289"/>
      <c r="AS596" s="289"/>
      <c r="AT596" s="289"/>
      <c r="AU596" s="289"/>
      <c r="AV596" s="289"/>
      <c r="AW596" s="289"/>
      <c r="AX596" s="289"/>
      <c r="AY596" s="289"/>
    </row>
    <row r="597" spans="1:51" ht="13.5" customHeight="1">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c r="AA597" s="289"/>
      <c r="AB597" s="289"/>
      <c r="AC597" s="289"/>
      <c r="AD597" s="289"/>
      <c r="AE597" s="289"/>
      <c r="AF597" s="289"/>
      <c r="AG597" s="289"/>
      <c r="AH597" s="289"/>
      <c r="AI597" s="289"/>
      <c r="AJ597" s="289"/>
      <c r="AK597" s="289"/>
      <c r="AL597" s="289"/>
      <c r="AM597" s="289"/>
      <c r="AN597" s="289"/>
      <c r="AO597" s="289"/>
      <c r="AP597" s="289"/>
      <c r="AQ597" s="289"/>
      <c r="AR597" s="289"/>
      <c r="AS597" s="289"/>
      <c r="AT597" s="289"/>
      <c r="AU597" s="289"/>
      <c r="AV597" s="289"/>
      <c r="AW597" s="289"/>
      <c r="AX597" s="289"/>
      <c r="AY597" s="289"/>
    </row>
    <row r="598" spans="1:51" ht="13.5" customHeight="1">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c r="AA598" s="289"/>
      <c r="AB598" s="289"/>
      <c r="AC598" s="289"/>
      <c r="AD598" s="289"/>
      <c r="AE598" s="289"/>
      <c r="AF598" s="289"/>
      <c r="AG598" s="289"/>
      <c r="AH598" s="289"/>
      <c r="AI598" s="289"/>
      <c r="AJ598" s="289"/>
      <c r="AK598" s="289"/>
      <c r="AL598" s="289"/>
      <c r="AM598" s="289"/>
      <c r="AN598" s="289"/>
      <c r="AO598" s="289"/>
      <c r="AP598" s="289"/>
      <c r="AQ598" s="289"/>
      <c r="AR598" s="289"/>
      <c r="AS598" s="289"/>
      <c r="AT598" s="289"/>
      <c r="AU598" s="289"/>
      <c r="AV598" s="289"/>
      <c r="AW598" s="289"/>
      <c r="AX598" s="289"/>
      <c r="AY598" s="289"/>
    </row>
    <row r="599" spans="1:51" ht="13.5" customHeight="1">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c r="AA599" s="289"/>
      <c r="AB599" s="289"/>
      <c r="AC599" s="289"/>
      <c r="AD599" s="289"/>
      <c r="AE599" s="289"/>
      <c r="AF599" s="289"/>
      <c r="AG599" s="289"/>
      <c r="AH599" s="289"/>
      <c r="AI599" s="289"/>
      <c r="AJ599" s="289"/>
      <c r="AK599" s="289"/>
      <c r="AL599" s="289"/>
      <c r="AM599" s="289"/>
      <c r="AN599" s="289"/>
      <c r="AO599" s="289"/>
      <c r="AP599" s="289"/>
      <c r="AQ599" s="289"/>
      <c r="AR599" s="289"/>
      <c r="AS599" s="289"/>
      <c r="AT599" s="289"/>
      <c r="AU599" s="289"/>
      <c r="AV599" s="289"/>
      <c r="AW599" s="289"/>
      <c r="AX599" s="289"/>
      <c r="AY599" s="289"/>
    </row>
    <row r="600" spans="1:51" ht="13.5" customHeight="1">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c r="AA600" s="289"/>
      <c r="AB600" s="289"/>
      <c r="AC600" s="289"/>
      <c r="AD600" s="289"/>
      <c r="AE600" s="289"/>
      <c r="AF600" s="289"/>
      <c r="AG600" s="289"/>
      <c r="AH600" s="289"/>
      <c r="AI600" s="289"/>
      <c r="AJ600" s="289"/>
      <c r="AK600" s="289"/>
      <c r="AL600" s="289"/>
      <c r="AM600" s="289"/>
      <c r="AN600" s="289"/>
      <c r="AO600" s="289"/>
      <c r="AP600" s="289"/>
      <c r="AQ600" s="289"/>
      <c r="AR600" s="289"/>
      <c r="AS600" s="289"/>
      <c r="AT600" s="289"/>
      <c r="AU600" s="289"/>
      <c r="AV600" s="289"/>
      <c r="AW600" s="289"/>
      <c r="AX600" s="289"/>
      <c r="AY600" s="289"/>
    </row>
    <row r="601" spans="1:51" ht="13.5" customHeight="1">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c r="AA601" s="289"/>
      <c r="AB601" s="289"/>
      <c r="AC601" s="289"/>
      <c r="AD601" s="289"/>
      <c r="AE601" s="289"/>
      <c r="AF601" s="289"/>
      <c r="AG601" s="289"/>
      <c r="AH601" s="289"/>
      <c r="AI601" s="289"/>
      <c r="AJ601" s="289"/>
      <c r="AK601" s="289"/>
      <c r="AL601" s="289"/>
      <c r="AM601" s="289"/>
      <c r="AN601" s="289"/>
      <c r="AO601" s="289"/>
      <c r="AP601" s="289"/>
      <c r="AQ601" s="289"/>
      <c r="AR601" s="289"/>
      <c r="AS601" s="289"/>
      <c r="AT601" s="289"/>
      <c r="AU601" s="289"/>
      <c r="AV601" s="289"/>
      <c r="AW601" s="289"/>
      <c r="AX601" s="289"/>
      <c r="AY601" s="289"/>
    </row>
    <row r="602" spans="1:51" ht="13.5" customHeight="1">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c r="AA602" s="289"/>
      <c r="AB602" s="289"/>
      <c r="AC602" s="289"/>
      <c r="AD602" s="289"/>
      <c r="AE602" s="289"/>
      <c r="AF602" s="289"/>
      <c r="AG602" s="289"/>
      <c r="AH602" s="289"/>
      <c r="AI602" s="289"/>
      <c r="AJ602" s="289"/>
      <c r="AK602" s="289"/>
      <c r="AL602" s="289"/>
      <c r="AM602" s="289"/>
      <c r="AN602" s="289"/>
      <c r="AO602" s="289"/>
      <c r="AP602" s="289"/>
      <c r="AQ602" s="289"/>
      <c r="AR602" s="289"/>
      <c r="AS602" s="289"/>
      <c r="AT602" s="289"/>
      <c r="AU602" s="289"/>
      <c r="AV602" s="289"/>
      <c r="AW602" s="289"/>
      <c r="AX602" s="289"/>
      <c r="AY602" s="289"/>
    </row>
    <row r="603" spans="1:51" ht="13.5" customHeight="1">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c r="AA603" s="289"/>
      <c r="AB603" s="289"/>
      <c r="AC603" s="289"/>
      <c r="AD603" s="289"/>
      <c r="AE603" s="289"/>
      <c r="AF603" s="289"/>
      <c r="AG603" s="289"/>
      <c r="AH603" s="289"/>
      <c r="AI603" s="289"/>
      <c r="AJ603" s="289"/>
      <c r="AK603" s="289"/>
      <c r="AL603" s="289"/>
      <c r="AM603" s="289"/>
      <c r="AN603" s="289"/>
      <c r="AO603" s="289"/>
      <c r="AP603" s="289"/>
      <c r="AQ603" s="289"/>
      <c r="AR603" s="289"/>
      <c r="AS603" s="289"/>
      <c r="AT603" s="289"/>
      <c r="AU603" s="289"/>
      <c r="AV603" s="289"/>
      <c r="AW603" s="289"/>
      <c r="AX603" s="289"/>
      <c r="AY603" s="289"/>
    </row>
    <row r="604" spans="1:51" ht="13.5" customHeight="1">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c r="AA604" s="289"/>
      <c r="AB604" s="289"/>
      <c r="AC604" s="289"/>
      <c r="AD604" s="289"/>
      <c r="AE604" s="289"/>
      <c r="AF604" s="289"/>
      <c r="AG604" s="289"/>
      <c r="AH604" s="289"/>
      <c r="AI604" s="289"/>
      <c r="AJ604" s="289"/>
      <c r="AK604" s="289"/>
      <c r="AL604" s="289"/>
      <c r="AM604" s="289"/>
      <c r="AN604" s="289"/>
      <c r="AO604" s="289"/>
      <c r="AP604" s="289"/>
      <c r="AQ604" s="289"/>
      <c r="AR604" s="289"/>
      <c r="AS604" s="289"/>
      <c r="AT604" s="289"/>
      <c r="AU604" s="289"/>
      <c r="AV604" s="289"/>
      <c r="AW604" s="289"/>
      <c r="AX604" s="289"/>
      <c r="AY604" s="289"/>
    </row>
    <row r="605" spans="1:51" ht="13.5" customHeight="1">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c r="AA605" s="289"/>
      <c r="AB605" s="289"/>
      <c r="AC605" s="289"/>
      <c r="AD605" s="289"/>
      <c r="AE605" s="289"/>
      <c r="AF605" s="289"/>
      <c r="AG605" s="289"/>
      <c r="AH605" s="289"/>
      <c r="AI605" s="289"/>
      <c r="AJ605" s="289"/>
      <c r="AK605" s="289"/>
      <c r="AL605" s="289"/>
      <c r="AM605" s="289"/>
      <c r="AN605" s="289"/>
      <c r="AO605" s="289"/>
      <c r="AP605" s="289"/>
      <c r="AQ605" s="289"/>
      <c r="AR605" s="289"/>
      <c r="AS605" s="289"/>
      <c r="AT605" s="289"/>
      <c r="AU605" s="289"/>
      <c r="AV605" s="289"/>
      <c r="AW605" s="289"/>
      <c r="AX605" s="289"/>
      <c r="AY605" s="289"/>
    </row>
    <row r="606" spans="1:51" ht="13.5" customHeight="1">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c r="AA606" s="289"/>
      <c r="AB606" s="289"/>
      <c r="AC606" s="289"/>
      <c r="AD606" s="289"/>
      <c r="AE606" s="289"/>
      <c r="AF606" s="289"/>
      <c r="AG606" s="289"/>
      <c r="AH606" s="289"/>
      <c r="AI606" s="289"/>
      <c r="AJ606" s="289"/>
      <c r="AK606" s="289"/>
      <c r="AL606" s="289"/>
      <c r="AM606" s="289"/>
      <c r="AN606" s="289"/>
      <c r="AO606" s="289"/>
      <c r="AP606" s="289"/>
      <c r="AQ606" s="289"/>
      <c r="AR606" s="289"/>
      <c r="AS606" s="289"/>
      <c r="AT606" s="289"/>
      <c r="AU606" s="289"/>
      <c r="AV606" s="289"/>
      <c r="AW606" s="289"/>
      <c r="AX606" s="289"/>
      <c r="AY606" s="289"/>
    </row>
    <row r="607" spans="1:51" ht="13.5" customHeight="1">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c r="AA607" s="289"/>
      <c r="AB607" s="289"/>
      <c r="AC607" s="289"/>
      <c r="AD607" s="289"/>
      <c r="AE607" s="289"/>
      <c r="AF607" s="289"/>
      <c r="AG607" s="289"/>
      <c r="AH607" s="289"/>
      <c r="AI607" s="289"/>
      <c r="AJ607" s="289"/>
      <c r="AK607" s="289"/>
      <c r="AL607" s="289"/>
      <c r="AM607" s="289"/>
      <c r="AN607" s="289"/>
      <c r="AO607" s="289"/>
      <c r="AP607" s="289"/>
      <c r="AQ607" s="289"/>
      <c r="AR607" s="289"/>
      <c r="AS607" s="289"/>
      <c r="AT607" s="289"/>
      <c r="AU607" s="289"/>
      <c r="AV607" s="289"/>
      <c r="AW607" s="289"/>
      <c r="AX607" s="289"/>
      <c r="AY607" s="289"/>
    </row>
    <row r="608" spans="1:51" ht="13.5" customHeight="1">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c r="AA608" s="289"/>
      <c r="AB608" s="289"/>
      <c r="AC608" s="289"/>
      <c r="AD608" s="289"/>
      <c r="AE608" s="289"/>
      <c r="AF608" s="289"/>
      <c r="AG608" s="289"/>
      <c r="AH608" s="289"/>
      <c r="AI608" s="289"/>
      <c r="AJ608" s="289"/>
      <c r="AK608" s="289"/>
      <c r="AL608" s="289"/>
      <c r="AM608" s="289"/>
      <c r="AN608" s="289"/>
      <c r="AO608" s="289"/>
      <c r="AP608" s="289"/>
      <c r="AQ608" s="289"/>
      <c r="AR608" s="289"/>
      <c r="AS608" s="289"/>
      <c r="AT608" s="289"/>
      <c r="AU608" s="289"/>
      <c r="AV608" s="289"/>
      <c r="AW608" s="289"/>
      <c r="AX608" s="289"/>
      <c r="AY608" s="289"/>
    </row>
    <row r="609" spans="1:51" ht="13.5" customHeight="1">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c r="AA609" s="289"/>
      <c r="AB609" s="289"/>
      <c r="AC609" s="289"/>
      <c r="AD609" s="289"/>
      <c r="AE609" s="289"/>
      <c r="AF609" s="289"/>
      <c r="AG609" s="289"/>
      <c r="AH609" s="289"/>
      <c r="AI609" s="289"/>
      <c r="AJ609" s="289"/>
      <c r="AK609" s="289"/>
      <c r="AL609" s="289"/>
      <c r="AM609" s="289"/>
      <c r="AN609" s="289"/>
      <c r="AO609" s="289"/>
      <c r="AP609" s="289"/>
      <c r="AQ609" s="289"/>
      <c r="AR609" s="289"/>
      <c r="AS609" s="289"/>
      <c r="AT609" s="289"/>
      <c r="AU609" s="289"/>
      <c r="AV609" s="289"/>
      <c r="AW609" s="289"/>
      <c r="AX609" s="289"/>
      <c r="AY609" s="289"/>
    </row>
    <row r="610" spans="1:51" ht="13.5" customHeight="1">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c r="AA610" s="289"/>
      <c r="AB610" s="289"/>
      <c r="AC610" s="289"/>
      <c r="AD610" s="289"/>
      <c r="AE610" s="289"/>
      <c r="AF610" s="289"/>
      <c r="AG610" s="289"/>
      <c r="AH610" s="289"/>
      <c r="AI610" s="289"/>
      <c r="AJ610" s="289"/>
      <c r="AK610" s="289"/>
      <c r="AL610" s="289"/>
      <c r="AM610" s="289"/>
      <c r="AN610" s="289"/>
      <c r="AO610" s="289"/>
      <c r="AP610" s="289"/>
      <c r="AQ610" s="289"/>
      <c r="AR610" s="289"/>
      <c r="AS610" s="289"/>
      <c r="AT610" s="289"/>
      <c r="AU610" s="289"/>
      <c r="AV610" s="289"/>
      <c r="AW610" s="289"/>
      <c r="AX610" s="289"/>
      <c r="AY610" s="289"/>
    </row>
    <row r="611" spans="1:51" ht="13.5" customHeight="1">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c r="AA611" s="289"/>
      <c r="AB611" s="289"/>
      <c r="AC611" s="289"/>
      <c r="AD611" s="289"/>
      <c r="AE611" s="289"/>
      <c r="AF611" s="289"/>
      <c r="AG611" s="289"/>
      <c r="AH611" s="289"/>
      <c r="AI611" s="289"/>
      <c r="AJ611" s="289"/>
      <c r="AK611" s="289"/>
      <c r="AL611" s="289"/>
      <c r="AM611" s="289"/>
      <c r="AN611" s="289"/>
      <c r="AO611" s="289"/>
      <c r="AP611" s="289"/>
      <c r="AQ611" s="289"/>
      <c r="AR611" s="289"/>
      <c r="AS611" s="289"/>
      <c r="AT611" s="289"/>
      <c r="AU611" s="289"/>
      <c r="AV611" s="289"/>
      <c r="AW611" s="289"/>
      <c r="AX611" s="289"/>
      <c r="AY611" s="289"/>
    </row>
    <row r="612" spans="1:51" ht="13.5" customHeight="1">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c r="AA612" s="289"/>
      <c r="AB612" s="289"/>
      <c r="AC612" s="289"/>
      <c r="AD612" s="289"/>
      <c r="AE612" s="289"/>
      <c r="AF612" s="289"/>
      <c r="AG612" s="289"/>
      <c r="AH612" s="289"/>
      <c r="AI612" s="289"/>
      <c r="AJ612" s="289"/>
      <c r="AK612" s="289"/>
      <c r="AL612" s="289"/>
      <c r="AM612" s="289"/>
      <c r="AN612" s="289"/>
      <c r="AO612" s="289"/>
      <c r="AP612" s="289"/>
      <c r="AQ612" s="289"/>
      <c r="AR612" s="289"/>
      <c r="AS612" s="289"/>
      <c r="AT612" s="289"/>
      <c r="AU612" s="289"/>
      <c r="AV612" s="289"/>
      <c r="AW612" s="289"/>
      <c r="AX612" s="289"/>
      <c r="AY612" s="289"/>
    </row>
    <row r="613" spans="1:51" ht="13.5" customHeight="1">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c r="AA613" s="289"/>
      <c r="AB613" s="289"/>
      <c r="AC613" s="289"/>
      <c r="AD613" s="289"/>
      <c r="AE613" s="289"/>
      <c r="AF613" s="289"/>
      <c r="AG613" s="289"/>
      <c r="AH613" s="289"/>
      <c r="AI613" s="289"/>
      <c r="AJ613" s="289"/>
      <c r="AK613" s="289"/>
      <c r="AL613" s="289"/>
      <c r="AM613" s="289"/>
      <c r="AN613" s="289"/>
      <c r="AO613" s="289"/>
      <c r="AP613" s="289"/>
      <c r="AQ613" s="289"/>
      <c r="AR613" s="289"/>
      <c r="AS613" s="289"/>
      <c r="AT613" s="289"/>
      <c r="AU613" s="289"/>
      <c r="AV613" s="289"/>
      <c r="AW613" s="289"/>
      <c r="AX613" s="289"/>
      <c r="AY613" s="289"/>
    </row>
    <row r="614" spans="1:51" ht="13.5" customHeight="1">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c r="AA614" s="289"/>
      <c r="AB614" s="289"/>
      <c r="AC614" s="289"/>
      <c r="AD614" s="289"/>
      <c r="AE614" s="289"/>
      <c r="AF614" s="289"/>
      <c r="AG614" s="289"/>
      <c r="AH614" s="289"/>
      <c r="AI614" s="289"/>
      <c r="AJ614" s="289"/>
      <c r="AK614" s="289"/>
      <c r="AL614" s="289"/>
      <c r="AM614" s="289"/>
      <c r="AN614" s="289"/>
      <c r="AO614" s="289"/>
      <c r="AP614" s="289"/>
      <c r="AQ614" s="289"/>
      <c r="AR614" s="289"/>
      <c r="AS614" s="289"/>
      <c r="AT614" s="289"/>
      <c r="AU614" s="289"/>
      <c r="AV614" s="289"/>
      <c r="AW614" s="289"/>
      <c r="AX614" s="289"/>
      <c r="AY614" s="289"/>
    </row>
    <row r="615" spans="1:51" ht="13.5" customHeight="1">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c r="AA615" s="289"/>
      <c r="AB615" s="289"/>
      <c r="AC615" s="289"/>
      <c r="AD615" s="289"/>
      <c r="AE615" s="289"/>
      <c r="AF615" s="289"/>
      <c r="AG615" s="289"/>
      <c r="AH615" s="289"/>
      <c r="AI615" s="289"/>
      <c r="AJ615" s="289"/>
      <c r="AK615" s="289"/>
      <c r="AL615" s="289"/>
      <c r="AM615" s="289"/>
      <c r="AN615" s="289"/>
      <c r="AO615" s="289"/>
      <c r="AP615" s="289"/>
      <c r="AQ615" s="289"/>
      <c r="AR615" s="289"/>
      <c r="AS615" s="289"/>
      <c r="AT615" s="289"/>
      <c r="AU615" s="289"/>
      <c r="AV615" s="289"/>
      <c r="AW615" s="289"/>
      <c r="AX615" s="289"/>
      <c r="AY615" s="289"/>
    </row>
    <row r="616" spans="1:51" ht="13.5" customHeight="1">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c r="AA616" s="289"/>
      <c r="AB616" s="289"/>
      <c r="AC616" s="289"/>
      <c r="AD616" s="289"/>
      <c r="AE616" s="289"/>
      <c r="AF616" s="289"/>
      <c r="AG616" s="289"/>
      <c r="AH616" s="289"/>
      <c r="AI616" s="289"/>
      <c r="AJ616" s="289"/>
      <c r="AK616" s="289"/>
      <c r="AL616" s="289"/>
      <c r="AM616" s="289"/>
      <c r="AN616" s="289"/>
      <c r="AO616" s="289"/>
      <c r="AP616" s="289"/>
      <c r="AQ616" s="289"/>
      <c r="AR616" s="289"/>
      <c r="AS616" s="289"/>
      <c r="AT616" s="289"/>
      <c r="AU616" s="289"/>
      <c r="AV616" s="289"/>
      <c r="AW616" s="289"/>
      <c r="AX616" s="289"/>
      <c r="AY616" s="289"/>
    </row>
    <row r="617" spans="1:51" ht="13.5" customHeight="1">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c r="AA617" s="289"/>
      <c r="AB617" s="289"/>
      <c r="AC617" s="289"/>
      <c r="AD617" s="289"/>
      <c r="AE617" s="289"/>
      <c r="AF617" s="289"/>
      <c r="AG617" s="289"/>
      <c r="AH617" s="289"/>
      <c r="AI617" s="289"/>
      <c r="AJ617" s="289"/>
      <c r="AK617" s="289"/>
      <c r="AL617" s="289"/>
      <c r="AM617" s="289"/>
      <c r="AN617" s="289"/>
      <c r="AO617" s="289"/>
      <c r="AP617" s="289"/>
      <c r="AQ617" s="289"/>
      <c r="AR617" s="289"/>
      <c r="AS617" s="289"/>
      <c r="AT617" s="289"/>
      <c r="AU617" s="289"/>
      <c r="AV617" s="289"/>
      <c r="AW617" s="289"/>
      <c r="AX617" s="289"/>
      <c r="AY617" s="289"/>
    </row>
    <row r="618" spans="1:51" ht="13.5" customHeight="1">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c r="AA618" s="289"/>
      <c r="AB618" s="289"/>
      <c r="AC618" s="289"/>
      <c r="AD618" s="289"/>
      <c r="AE618" s="289"/>
      <c r="AF618" s="289"/>
      <c r="AG618" s="289"/>
      <c r="AH618" s="289"/>
      <c r="AI618" s="289"/>
      <c r="AJ618" s="289"/>
      <c r="AK618" s="289"/>
      <c r="AL618" s="289"/>
      <c r="AM618" s="289"/>
      <c r="AN618" s="289"/>
      <c r="AO618" s="289"/>
      <c r="AP618" s="289"/>
      <c r="AQ618" s="289"/>
      <c r="AR618" s="289"/>
      <c r="AS618" s="289"/>
      <c r="AT618" s="289"/>
      <c r="AU618" s="289"/>
      <c r="AV618" s="289"/>
      <c r="AW618" s="289"/>
      <c r="AX618" s="289"/>
      <c r="AY618" s="289"/>
    </row>
    <row r="619" spans="1:51" ht="13.5" customHeight="1">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c r="AA619" s="289"/>
      <c r="AB619" s="289"/>
      <c r="AC619" s="289"/>
      <c r="AD619" s="289"/>
      <c r="AE619" s="289"/>
      <c r="AF619" s="289"/>
      <c r="AG619" s="289"/>
      <c r="AH619" s="289"/>
      <c r="AI619" s="289"/>
      <c r="AJ619" s="289"/>
      <c r="AK619" s="289"/>
      <c r="AL619" s="289"/>
      <c r="AM619" s="289"/>
      <c r="AN619" s="289"/>
      <c r="AO619" s="289"/>
      <c r="AP619" s="289"/>
      <c r="AQ619" s="289"/>
      <c r="AR619" s="289"/>
      <c r="AS619" s="289"/>
      <c r="AT619" s="289"/>
      <c r="AU619" s="289"/>
      <c r="AV619" s="289"/>
      <c r="AW619" s="289"/>
      <c r="AX619" s="289"/>
      <c r="AY619" s="289"/>
    </row>
    <row r="620" spans="1:51" ht="13.5" customHeight="1">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c r="AA620" s="289"/>
      <c r="AB620" s="289"/>
      <c r="AC620" s="289"/>
      <c r="AD620" s="289"/>
      <c r="AE620" s="289"/>
      <c r="AF620" s="289"/>
      <c r="AG620" s="289"/>
      <c r="AH620" s="289"/>
      <c r="AI620" s="289"/>
      <c r="AJ620" s="289"/>
      <c r="AK620" s="289"/>
      <c r="AL620" s="289"/>
      <c r="AM620" s="289"/>
      <c r="AN620" s="289"/>
      <c r="AO620" s="289"/>
      <c r="AP620" s="289"/>
      <c r="AQ620" s="289"/>
      <c r="AR620" s="289"/>
      <c r="AS620" s="289"/>
      <c r="AT620" s="289"/>
      <c r="AU620" s="289"/>
      <c r="AV620" s="289"/>
      <c r="AW620" s="289"/>
      <c r="AX620" s="289"/>
      <c r="AY620" s="289"/>
    </row>
    <row r="621" spans="1:51" ht="13.5" customHeight="1">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c r="AA621" s="289"/>
      <c r="AB621" s="289"/>
      <c r="AC621" s="289"/>
      <c r="AD621" s="289"/>
      <c r="AE621" s="289"/>
      <c r="AF621" s="289"/>
      <c r="AG621" s="289"/>
      <c r="AH621" s="289"/>
      <c r="AI621" s="289"/>
      <c r="AJ621" s="289"/>
      <c r="AK621" s="289"/>
      <c r="AL621" s="289"/>
      <c r="AM621" s="289"/>
      <c r="AN621" s="289"/>
      <c r="AO621" s="289"/>
      <c r="AP621" s="289"/>
      <c r="AQ621" s="289"/>
      <c r="AR621" s="289"/>
      <c r="AS621" s="289"/>
      <c r="AT621" s="289"/>
      <c r="AU621" s="289"/>
      <c r="AV621" s="289"/>
      <c r="AW621" s="289"/>
      <c r="AX621" s="289"/>
      <c r="AY621" s="289"/>
    </row>
    <row r="622" spans="1:51" ht="13.5" customHeight="1">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c r="AA622" s="289"/>
      <c r="AB622" s="289"/>
      <c r="AC622" s="289"/>
      <c r="AD622" s="289"/>
      <c r="AE622" s="289"/>
      <c r="AF622" s="289"/>
      <c r="AG622" s="289"/>
      <c r="AH622" s="289"/>
      <c r="AI622" s="289"/>
      <c r="AJ622" s="289"/>
      <c r="AK622" s="289"/>
      <c r="AL622" s="289"/>
      <c r="AM622" s="289"/>
      <c r="AN622" s="289"/>
      <c r="AO622" s="289"/>
      <c r="AP622" s="289"/>
      <c r="AQ622" s="289"/>
      <c r="AR622" s="289"/>
      <c r="AS622" s="289"/>
      <c r="AT622" s="289"/>
      <c r="AU622" s="289"/>
      <c r="AV622" s="289"/>
      <c r="AW622" s="289"/>
      <c r="AX622" s="289"/>
      <c r="AY622" s="289"/>
    </row>
    <row r="623" spans="1:51" ht="13.5" customHeight="1">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c r="AA623" s="289"/>
      <c r="AB623" s="289"/>
      <c r="AC623" s="289"/>
      <c r="AD623" s="289"/>
      <c r="AE623" s="289"/>
      <c r="AF623" s="289"/>
      <c r="AG623" s="289"/>
      <c r="AH623" s="289"/>
      <c r="AI623" s="289"/>
      <c r="AJ623" s="289"/>
      <c r="AK623" s="289"/>
      <c r="AL623" s="289"/>
      <c r="AM623" s="289"/>
      <c r="AN623" s="289"/>
      <c r="AO623" s="289"/>
      <c r="AP623" s="289"/>
      <c r="AQ623" s="289"/>
      <c r="AR623" s="289"/>
      <c r="AS623" s="289"/>
      <c r="AT623" s="289"/>
      <c r="AU623" s="289"/>
      <c r="AV623" s="289"/>
      <c r="AW623" s="289"/>
      <c r="AX623" s="289"/>
      <c r="AY623" s="289"/>
    </row>
    <row r="624" spans="1:51" ht="13.5" customHeight="1">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c r="AA624" s="289"/>
      <c r="AB624" s="289"/>
      <c r="AC624" s="289"/>
      <c r="AD624" s="289"/>
      <c r="AE624" s="289"/>
      <c r="AF624" s="289"/>
      <c r="AG624" s="289"/>
      <c r="AH624" s="289"/>
      <c r="AI624" s="289"/>
      <c r="AJ624" s="289"/>
      <c r="AK624" s="289"/>
      <c r="AL624" s="289"/>
      <c r="AM624" s="289"/>
      <c r="AN624" s="289"/>
      <c r="AO624" s="289"/>
      <c r="AP624" s="289"/>
      <c r="AQ624" s="289"/>
      <c r="AR624" s="289"/>
      <c r="AS624" s="289"/>
      <c r="AT624" s="289"/>
      <c r="AU624" s="289"/>
      <c r="AV624" s="289"/>
      <c r="AW624" s="289"/>
      <c r="AX624" s="289"/>
      <c r="AY624" s="289"/>
    </row>
    <row r="625" spans="1:51" ht="13.5" customHeight="1">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c r="AK625" s="289"/>
      <c r="AL625" s="289"/>
      <c r="AM625" s="289"/>
      <c r="AN625" s="289"/>
      <c r="AO625" s="289"/>
      <c r="AP625" s="289"/>
      <c r="AQ625" s="289"/>
      <c r="AR625" s="289"/>
      <c r="AS625" s="289"/>
      <c r="AT625" s="289"/>
      <c r="AU625" s="289"/>
      <c r="AV625" s="289"/>
      <c r="AW625" s="289"/>
      <c r="AX625" s="289"/>
      <c r="AY625" s="289"/>
    </row>
    <row r="626" spans="1:51" ht="13.5" customHeight="1">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c r="AA626" s="289"/>
      <c r="AB626" s="289"/>
      <c r="AC626" s="289"/>
      <c r="AD626" s="289"/>
      <c r="AE626" s="289"/>
      <c r="AF626" s="289"/>
      <c r="AG626" s="289"/>
      <c r="AH626" s="289"/>
      <c r="AI626" s="289"/>
      <c r="AJ626" s="289"/>
      <c r="AK626" s="289"/>
      <c r="AL626" s="289"/>
      <c r="AM626" s="289"/>
      <c r="AN626" s="289"/>
      <c r="AO626" s="289"/>
      <c r="AP626" s="289"/>
      <c r="AQ626" s="289"/>
      <c r="AR626" s="289"/>
      <c r="AS626" s="289"/>
      <c r="AT626" s="289"/>
      <c r="AU626" s="289"/>
      <c r="AV626" s="289"/>
      <c r="AW626" s="289"/>
      <c r="AX626" s="289"/>
      <c r="AY626" s="289"/>
    </row>
    <row r="627" spans="1:51" ht="13.5" customHeight="1">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c r="AA627" s="289"/>
      <c r="AB627" s="289"/>
      <c r="AC627" s="289"/>
      <c r="AD627" s="289"/>
      <c r="AE627" s="289"/>
      <c r="AF627" s="289"/>
      <c r="AG627" s="289"/>
      <c r="AH627" s="289"/>
      <c r="AI627" s="289"/>
      <c r="AJ627" s="289"/>
      <c r="AK627" s="289"/>
      <c r="AL627" s="289"/>
      <c r="AM627" s="289"/>
      <c r="AN627" s="289"/>
      <c r="AO627" s="289"/>
      <c r="AP627" s="289"/>
      <c r="AQ627" s="289"/>
      <c r="AR627" s="289"/>
      <c r="AS627" s="289"/>
      <c r="AT627" s="289"/>
      <c r="AU627" s="289"/>
      <c r="AV627" s="289"/>
      <c r="AW627" s="289"/>
      <c r="AX627" s="289"/>
      <c r="AY627" s="289"/>
    </row>
    <row r="628" spans="1:51" ht="13.5" customHeight="1">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c r="AA628" s="289"/>
      <c r="AB628" s="289"/>
      <c r="AC628" s="289"/>
      <c r="AD628" s="289"/>
      <c r="AE628" s="289"/>
      <c r="AF628" s="289"/>
      <c r="AG628" s="289"/>
      <c r="AH628" s="289"/>
      <c r="AI628" s="289"/>
      <c r="AJ628" s="289"/>
      <c r="AK628" s="289"/>
      <c r="AL628" s="289"/>
      <c r="AM628" s="289"/>
      <c r="AN628" s="289"/>
      <c r="AO628" s="289"/>
      <c r="AP628" s="289"/>
      <c r="AQ628" s="289"/>
      <c r="AR628" s="289"/>
      <c r="AS628" s="289"/>
      <c r="AT628" s="289"/>
      <c r="AU628" s="289"/>
      <c r="AV628" s="289"/>
      <c r="AW628" s="289"/>
      <c r="AX628" s="289"/>
      <c r="AY628" s="289"/>
    </row>
    <row r="629" spans="1:51" ht="13.5" customHeight="1">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c r="AA629" s="289"/>
      <c r="AB629" s="289"/>
      <c r="AC629" s="289"/>
      <c r="AD629" s="289"/>
      <c r="AE629" s="289"/>
      <c r="AF629" s="289"/>
      <c r="AG629" s="289"/>
      <c r="AH629" s="289"/>
      <c r="AI629" s="289"/>
      <c r="AJ629" s="289"/>
      <c r="AK629" s="289"/>
      <c r="AL629" s="289"/>
      <c r="AM629" s="289"/>
      <c r="AN629" s="289"/>
      <c r="AO629" s="289"/>
      <c r="AP629" s="289"/>
      <c r="AQ629" s="289"/>
      <c r="AR629" s="289"/>
      <c r="AS629" s="289"/>
      <c r="AT629" s="289"/>
      <c r="AU629" s="289"/>
      <c r="AV629" s="289"/>
      <c r="AW629" s="289"/>
      <c r="AX629" s="289"/>
      <c r="AY629" s="289"/>
    </row>
    <row r="630" spans="1:51" ht="13.5" customHeight="1">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c r="AA630" s="289"/>
      <c r="AB630" s="289"/>
      <c r="AC630" s="289"/>
      <c r="AD630" s="289"/>
      <c r="AE630" s="289"/>
      <c r="AF630" s="289"/>
      <c r="AG630" s="289"/>
      <c r="AH630" s="289"/>
      <c r="AI630" s="289"/>
      <c r="AJ630" s="289"/>
      <c r="AK630" s="289"/>
      <c r="AL630" s="289"/>
      <c r="AM630" s="289"/>
      <c r="AN630" s="289"/>
      <c r="AO630" s="289"/>
      <c r="AP630" s="289"/>
      <c r="AQ630" s="289"/>
      <c r="AR630" s="289"/>
      <c r="AS630" s="289"/>
      <c r="AT630" s="289"/>
      <c r="AU630" s="289"/>
      <c r="AV630" s="289"/>
      <c r="AW630" s="289"/>
      <c r="AX630" s="289"/>
      <c r="AY630" s="289"/>
    </row>
    <row r="631" spans="1:51" ht="13.5" customHeight="1">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c r="AA631" s="289"/>
      <c r="AB631" s="289"/>
      <c r="AC631" s="289"/>
      <c r="AD631" s="289"/>
      <c r="AE631" s="289"/>
      <c r="AF631" s="289"/>
      <c r="AG631" s="289"/>
      <c r="AH631" s="289"/>
      <c r="AI631" s="289"/>
      <c r="AJ631" s="289"/>
      <c r="AK631" s="289"/>
      <c r="AL631" s="289"/>
      <c r="AM631" s="289"/>
      <c r="AN631" s="289"/>
      <c r="AO631" s="289"/>
      <c r="AP631" s="289"/>
      <c r="AQ631" s="289"/>
      <c r="AR631" s="289"/>
      <c r="AS631" s="289"/>
      <c r="AT631" s="289"/>
      <c r="AU631" s="289"/>
      <c r="AV631" s="289"/>
      <c r="AW631" s="289"/>
      <c r="AX631" s="289"/>
      <c r="AY631" s="289"/>
    </row>
    <row r="632" spans="1:51" ht="13.5" customHeight="1">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c r="AA632" s="289"/>
      <c r="AB632" s="289"/>
      <c r="AC632" s="289"/>
      <c r="AD632" s="289"/>
      <c r="AE632" s="289"/>
      <c r="AF632" s="289"/>
      <c r="AG632" s="289"/>
      <c r="AH632" s="289"/>
      <c r="AI632" s="289"/>
      <c r="AJ632" s="289"/>
      <c r="AK632" s="289"/>
      <c r="AL632" s="289"/>
      <c r="AM632" s="289"/>
      <c r="AN632" s="289"/>
      <c r="AO632" s="289"/>
      <c r="AP632" s="289"/>
      <c r="AQ632" s="289"/>
      <c r="AR632" s="289"/>
      <c r="AS632" s="289"/>
      <c r="AT632" s="289"/>
      <c r="AU632" s="289"/>
      <c r="AV632" s="289"/>
      <c r="AW632" s="289"/>
      <c r="AX632" s="289"/>
      <c r="AY632" s="289"/>
    </row>
    <row r="633" spans="1:51" ht="13.5" customHeight="1">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c r="AA633" s="289"/>
      <c r="AB633" s="289"/>
      <c r="AC633" s="289"/>
      <c r="AD633" s="289"/>
      <c r="AE633" s="289"/>
      <c r="AF633" s="289"/>
      <c r="AG633" s="289"/>
      <c r="AH633" s="289"/>
      <c r="AI633" s="289"/>
      <c r="AJ633" s="289"/>
      <c r="AK633" s="289"/>
      <c r="AL633" s="289"/>
      <c r="AM633" s="289"/>
      <c r="AN633" s="289"/>
      <c r="AO633" s="289"/>
      <c r="AP633" s="289"/>
      <c r="AQ633" s="289"/>
      <c r="AR633" s="289"/>
      <c r="AS633" s="289"/>
      <c r="AT633" s="289"/>
      <c r="AU633" s="289"/>
      <c r="AV633" s="289"/>
      <c r="AW633" s="289"/>
      <c r="AX633" s="289"/>
      <c r="AY633" s="289"/>
    </row>
    <row r="634" spans="1:51" ht="13.5" customHeight="1">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c r="AA634" s="289"/>
      <c r="AB634" s="289"/>
      <c r="AC634" s="289"/>
      <c r="AD634" s="289"/>
      <c r="AE634" s="289"/>
      <c r="AF634" s="289"/>
      <c r="AG634" s="289"/>
      <c r="AH634" s="289"/>
      <c r="AI634" s="289"/>
      <c r="AJ634" s="289"/>
      <c r="AK634" s="289"/>
      <c r="AL634" s="289"/>
      <c r="AM634" s="289"/>
      <c r="AN634" s="289"/>
      <c r="AO634" s="289"/>
      <c r="AP634" s="289"/>
      <c r="AQ634" s="289"/>
      <c r="AR634" s="289"/>
      <c r="AS634" s="289"/>
      <c r="AT634" s="289"/>
      <c r="AU634" s="289"/>
      <c r="AV634" s="289"/>
      <c r="AW634" s="289"/>
      <c r="AX634" s="289"/>
      <c r="AY634" s="289"/>
    </row>
    <row r="635" spans="1:51" ht="13.5" customHeight="1">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c r="AA635" s="289"/>
      <c r="AB635" s="289"/>
      <c r="AC635" s="289"/>
      <c r="AD635" s="289"/>
      <c r="AE635" s="289"/>
      <c r="AF635" s="289"/>
      <c r="AG635" s="289"/>
      <c r="AH635" s="289"/>
      <c r="AI635" s="289"/>
      <c r="AJ635" s="289"/>
      <c r="AK635" s="289"/>
      <c r="AL635" s="289"/>
      <c r="AM635" s="289"/>
      <c r="AN635" s="289"/>
      <c r="AO635" s="289"/>
      <c r="AP635" s="289"/>
      <c r="AQ635" s="289"/>
      <c r="AR635" s="289"/>
      <c r="AS635" s="289"/>
      <c r="AT635" s="289"/>
      <c r="AU635" s="289"/>
      <c r="AV635" s="289"/>
      <c r="AW635" s="289"/>
      <c r="AX635" s="289"/>
      <c r="AY635" s="289"/>
    </row>
    <row r="636" spans="1:51" ht="13.5" customHeight="1">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c r="AA636" s="289"/>
      <c r="AB636" s="289"/>
      <c r="AC636" s="289"/>
      <c r="AD636" s="289"/>
      <c r="AE636" s="289"/>
      <c r="AF636" s="289"/>
      <c r="AG636" s="289"/>
      <c r="AH636" s="289"/>
      <c r="AI636" s="289"/>
      <c r="AJ636" s="289"/>
      <c r="AK636" s="289"/>
      <c r="AL636" s="289"/>
      <c r="AM636" s="289"/>
      <c r="AN636" s="289"/>
      <c r="AO636" s="289"/>
      <c r="AP636" s="289"/>
      <c r="AQ636" s="289"/>
      <c r="AR636" s="289"/>
      <c r="AS636" s="289"/>
      <c r="AT636" s="289"/>
      <c r="AU636" s="289"/>
      <c r="AV636" s="289"/>
      <c r="AW636" s="289"/>
      <c r="AX636" s="289"/>
      <c r="AY636" s="289"/>
    </row>
    <row r="637" spans="1:51" ht="13.5" customHeight="1">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c r="AA637" s="289"/>
      <c r="AB637" s="289"/>
      <c r="AC637" s="289"/>
      <c r="AD637" s="289"/>
      <c r="AE637" s="289"/>
      <c r="AF637" s="289"/>
      <c r="AG637" s="289"/>
      <c r="AH637" s="289"/>
      <c r="AI637" s="289"/>
      <c r="AJ637" s="289"/>
      <c r="AK637" s="289"/>
      <c r="AL637" s="289"/>
      <c r="AM637" s="289"/>
      <c r="AN637" s="289"/>
      <c r="AO637" s="289"/>
      <c r="AP637" s="289"/>
      <c r="AQ637" s="289"/>
      <c r="AR637" s="289"/>
      <c r="AS637" s="289"/>
      <c r="AT637" s="289"/>
      <c r="AU637" s="289"/>
      <c r="AV637" s="289"/>
      <c r="AW637" s="289"/>
      <c r="AX637" s="289"/>
      <c r="AY637" s="289"/>
    </row>
    <row r="638" spans="1:51" ht="13.5" customHeight="1">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c r="AA638" s="289"/>
      <c r="AB638" s="289"/>
      <c r="AC638" s="289"/>
      <c r="AD638" s="289"/>
      <c r="AE638" s="289"/>
      <c r="AF638" s="289"/>
      <c r="AG638" s="289"/>
      <c r="AH638" s="289"/>
      <c r="AI638" s="289"/>
      <c r="AJ638" s="289"/>
      <c r="AK638" s="289"/>
      <c r="AL638" s="289"/>
      <c r="AM638" s="289"/>
      <c r="AN638" s="289"/>
      <c r="AO638" s="289"/>
      <c r="AP638" s="289"/>
      <c r="AQ638" s="289"/>
      <c r="AR638" s="289"/>
      <c r="AS638" s="289"/>
      <c r="AT638" s="289"/>
      <c r="AU638" s="289"/>
      <c r="AV638" s="289"/>
      <c r="AW638" s="289"/>
      <c r="AX638" s="289"/>
      <c r="AY638" s="289"/>
    </row>
    <row r="639" spans="1:51" ht="13.5" customHeight="1">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c r="AA639" s="289"/>
      <c r="AB639" s="289"/>
      <c r="AC639" s="289"/>
      <c r="AD639" s="289"/>
      <c r="AE639" s="289"/>
      <c r="AF639" s="289"/>
      <c r="AG639" s="289"/>
      <c r="AH639" s="289"/>
      <c r="AI639" s="289"/>
      <c r="AJ639" s="289"/>
      <c r="AK639" s="289"/>
      <c r="AL639" s="289"/>
      <c r="AM639" s="289"/>
      <c r="AN639" s="289"/>
      <c r="AO639" s="289"/>
      <c r="AP639" s="289"/>
      <c r="AQ639" s="289"/>
      <c r="AR639" s="289"/>
      <c r="AS639" s="289"/>
      <c r="AT639" s="289"/>
      <c r="AU639" s="289"/>
      <c r="AV639" s="289"/>
      <c r="AW639" s="289"/>
      <c r="AX639" s="289"/>
      <c r="AY639" s="289"/>
    </row>
    <row r="640" spans="1:51" ht="13.5" customHeight="1">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c r="AA640" s="289"/>
      <c r="AB640" s="289"/>
      <c r="AC640" s="289"/>
      <c r="AD640" s="289"/>
      <c r="AE640" s="289"/>
      <c r="AF640" s="289"/>
      <c r="AG640" s="289"/>
      <c r="AH640" s="289"/>
      <c r="AI640" s="289"/>
      <c r="AJ640" s="289"/>
      <c r="AK640" s="289"/>
      <c r="AL640" s="289"/>
      <c r="AM640" s="289"/>
      <c r="AN640" s="289"/>
      <c r="AO640" s="289"/>
      <c r="AP640" s="289"/>
      <c r="AQ640" s="289"/>
      <c r="AR640" s="289"/>
      <c r="AS640" s="289"/>
      <c r="AT640" s="289"/>
      <c r="AU640" s="289"/>
      <c r="AV640" s="289"/>
      <c r="AW640" s="289"/>
      <c r="AX640" s="289"/>
      <c r="AY640" s="289"/>
    </row>
    <row r="641" spans="1:51" ht="13.5" customHeight="1">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c r="AA641" s="289"/>
      <c r="AB641" s="289"/>
      <c r="AC641" s="289"/>
      <c r="AD641" s="289"/>
      <c r="AE641" s="289"/>
      <c r="AF641" s="289"/>
      <c r="AG641" s="289"/>
      <c r="AH641" s="289"/>
      <c r="AI641" s="289"/>
      <c r="AJ641" s="289"/>
      <c r="AK641" s="289"/>
      <c r="AL641" s="289"/>
      <c r="AM641" s="289"/>
      <c r="AN641" s="289"/>
      <c r="AO641" s="289"/>
      <c r="AP641" s="289"/>
      <c r="AQ641" s="289"/>
      <c r="AR641" s="289"/>
      <c r="AS641" s="289"/>
      <c r="AT641" s="289"/>
      <c r="AU641" s="289"/>
      <c r="AV641" s="289"/>
      <c r="AW641" s="289"/>
      <c r="AX641" s="289"/>
      <c r="AY641" s="289"/>
    </row>
    <row r="642" spans="1:51" ht="13.5" customHeight="1">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c r="AA642" s="289"/>
      <c r="AB642" s="289"/>
      <c r="AC642" s="289"/>
      <c r="AD642" s="289"/>
      <c r="AE642" s="289"/>
      <c r="AF642" s="289"/>
      <c r="AG642" s="289"/>
      <c r="AH642" s="289"/>
      <c r="AI642" s="289"/>
      <c r="AJ642" s="289"/>
      <c r="AK642" s="289"/>
      <c r="AL642" s="289"/>
      <c r="AM642" s="289"/>
      <c r="AN642" s="289"/>
      <c r="AO642" s="289"/>
      <c r="AP642" s="289"/>
      <c r="AQ642" s="289"/>
      <c r="AR642" s="289"/>
      <c r="AS642" s="289"/>
      <c r="AT642" s="289"/>
      <c r="AU642" s="289"/>
      <c r="AV642" s="289"/>
      <c r="AW642" s="289"/>
      <c r="AX642" s="289"/>
      <c r="AY642" s="289"/>
    </row>
    <row r="643" spans="1:51" ht="13.5" customHeight="1">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c r="AA643" s="289"/>
      <c r="AB643" s="289"/>
      <c r="AC643" s="289"/>
      <c r="AD643" s="289"/>
      <c r="AE643" s="289"/>
      <c r="AF643" s="289"/>
      <c r="AG643" s="289"/>
      <c r="AH643" s="289"/>
      <c r="AI643" s="289"/>
      <c r="AJ643" s="289"/>
      <c r="AK643" s="289"/>
      <c r="AL643" s="289"/>
      <c r="AM643" s="289"/>
      <c r="AN643" s="289"/>
      <c r="AO643" s="289"/>
      <c r="AP643" s="289"/>
      <c r="AQ643" s="289"/>
      <c r="AR643" s="289"/>
      <c r="AS643" s="289"/>
      <c r="AT643" s="289"/>
      <c r="AU643" s="289"/>
      <c r="AV643" s="289"/>
      <c r="AW643" s="289"/>
      <c r="AX643" s="289"/>
      <c r="AY643" s="289"/>
    </row>
    <row r="644" spans="1:51" ht="13.5" customHeight="1">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c r="AA644" s="289"/>
      <c r="AB644" s="289"/>
      <c r="AC644" s="289"/>
      <c r="AD644" s="289"/>
      <c r="AE644" s="289"/>
      <c r="AF644" s="289"/>
      <c r="AG644" s="289"/>
      <c r="AH644" s="289"/>
      <c r="AI644" s="289"/>
      <c r="AJ644" s="289"/>
      <c r="AK644" s="289"/>
      <c r="AL644" s="289"/>
      <c r="AM644" s="289"/>
      <c r="AN644" s="289"/>
      <c r="AO644" s="289"/>
      <c r="AP644" s="289"/>
      <c r="AQ644" s="289"/>
      <c r="AR644" s="289"/>
      <c r="AS644" s="289"/>
      <c r="AT644" s="289"/>
      <c r="AU644" s="289"/>
      <c r="AV644" s="289"/>
      <c r="AW644" s="289"/>
      <c r="AX644" s="289"/>
      <c r="AY644" s="289"/>
    </row>
    <row r="645" spans="1:51" ht="13.5" customHeight="1">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c r="AA645" s="289"/>
      <c r="AB645" s="289"/>
      <c r="AC645" s="289"/>
      <c r="AD645" s="289"/>
      <c r="AE645" s="289"/>
      <c r="AF645" s="289"/>
      <c r="AG645" s="289"/>
      <c r="AH645" s="289"/>
      <c r="AI645" s="289"/>
      <c r="AJ645" s="289"/>
      <c r="AK645" s="289"/>
      <c r="AL645" s="289"/>
      <c r="AM645" s="289"/>
      <c r="AN645" s="289"/>
      <c r="AO645" s="289"/>
      <c r="AP645" s="289"/>
      <c r="AQ645" s="289"/>
      <c r="AR645" s="289"/>
      <c r="AS645" s="289"/>
      <c r="AT645" s="289"/>
      <c r="AU645" s="289"/>
      <c r="AV645" s="289"/>
      <c r="AW645" s="289"/>
      <c r="AX645" s="289"/>
      <c r="AY645" s="289"/>
    </row>
    <row r="646" spans="1:51" ht="13.5" customHeight="1">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c r="AA646" s="289"/>
      <c r="AB646" s="289"/>
      <c r="AC646" s="289"/>
      <c r="AD646" s="289"/>
      <c r="AE646" s="289"/>
      <c r="AF646" s="289"/>
      <c r="AG646" s="289"/>
      <c r="AH646" s="289"/>
      <c r="AI646" s="289"/>
      <c r="AJ646" s="289"/>
      <c r="AK646" s="289"/>
      <c r="AL646" s="289"/>
      <c r="AM646" s="289"/>
      <c r="AN646" s="289"/>
      <c r="AO646" s="289"/>
      <c r="AP646" s="289"/>
      <c r="AQ646" s="289"/>
      <c r="AR646" s="289"/>
      <c r="AS646" s="289"/>
      <c r="AT646" s="289"/>
      <c r="AU646" s="289"/>
      <c r="AV646" s="289"/>
      <c r="AW646" s="289"/>
      <c r="AX646" s="289"/>
      <c r="AY646" s="289"/>
    </row>
    <row r="647" spans="1:51" ht="13.5" customHeight="1">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c r="AA647" s="289"/>
      <c r="AB647" s="289"/>
      <c r="AC647" s="289"/>
      <c r="AD647" s="289"/>
      <c r="AE647" s="289"/>
      <c r="AF647" s="289"/>
      <c r="AG647" s="289"/>
      <c r="AH647" s="289"/>
      <c r="AI647" s="289"/>
      <c r="AJ647" s="289"/>
      <c r="AK647" s="289"/>
      <c r="AL647" s="289"/>
      <c r="AM647" s="289"/>
      <c r="AN647" s="289"/>
      <c r="AO647" s="289"/>
      <c r="AP647" s="289"/>
      <c r="AQ647" s="289"/>
      <c r="AR647" s="289"/>
      <c r="AS647" s="289"/>
      <c r="AT647" s="289"/>
      <c r="AU647" s="289"/>
      <c r="AV647" s="289"/>
      <c r="AW647" s="289"/>
      <c r="AX647" s="289"/>
      <c r="AY647" s="289"/>
    </row>
    <row r="648" spans="1:51" ht="13.5" customHeight="1">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c r="AA648" s="289"/>
      <c r="AB648" s="289"/>
      <c r="AC648" s="289"/>
      <c r="AD648" s="289"/>
      <c r="AE648" s="289"/>
      <c r="AF648" s="289"/>
      <c r="AG648" s="289"/>
      <c r="AH648" s="289"/>
      <c r="AI648" s="289"/>
      <c r="AJ648" s="289"/>
      <c r="AK648" s="289"/>
      <c r="AL648" s="289"/>
      <c r="AM648" s="289"/>
      <c r="AN648" s="289"/>
      <c r="AO648" s="289"/>
      <c r="AP648" s="289"/>
      <c r="AQ648" s="289"/>
      <c r="AR648" s="289"/>
      <c r="AS648" s="289"/>
      <c r="AT648" s="289"/>
      <c r="AU648" s="289"/>
      <c r="AV648" s="289"/>
      <c r="AW648" s="289"/>
      <c r="AX648" s="289"/>
      <c r="AY648" s="289"/>
    </row>
    <row r="649" spans="1:51" ht="13.5" customHeight="1">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c r="AA649" s="289"/>
      <c r="AB649" s="289"/>
      <c r="AC649" s="289"/>
      <c r="AD649" s="289"/>
      <c r="AE649" s="289"/>
      <c r="AF649" s="289"/>
      <c r="AG649" s="289"/>
      <c r="AH649" s="289"/>
      <c r="AI649" s="289"/>
      <c r="AJ649" s="289"/>
      <c r="AK649" s="289"/>
      <c r="AL649" s="289"/>
      <c r="AM649" s="289"/>
      <c r="AN649" s="289"/>
      <c r="AO649" s="289"/>
      <c r="AP649" s="289"/>
      <c r="AQ649" s="289"/>
      <c r="AR649" s="289"/>
      <c r="AS649" s="289"/>
      <c r="AT649" s="289"/>
      <c r="AU649" s="289"/>
      <c r="AV649" s="289"/>
      <c r="AW649" s="289"/>
      <c r="AX649" s="289"/>
      <c r="AY649" s="289"/>
    </row>
    <row r="650" spans="1:51" ht="13.5" customHeight="1">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c r="AA650" s="289"/>
      <c r="AB650" s="289"/>
      <c r="AC650" s="289"/>
      <c r="AD650" s="289"/>
      <c r="AE650" s="289"/>
      <c r="AF650" s="289"/>
      <c r="AG650" s="289"/>
      <c r="AH650" s="289"/>
      <c r="AI650" s="289"/>
      <c r="AJ650" s="289"/>
      <c r="AK650" s="289"/>
      <c r="AL650" s="289"/>
      <c r="AM650" s="289"/>
      <c r="AN650" s="289"/>
      <c r="AO650" s="289"/>
      <c r="AP650" s="289"/>
      <c r="AQ650" s="289"/>
      <c r="AR650" s="289"/>
      <c r="AS650" s="289"/>
      <c r="AT650" s="289"/>
      <c r="AU650" s="289"/>
      <c r="AV650" s="289"/>
      <c r="AW650" s="289"/>
      <c r="AX650" s="289"/>
      <c r="AY650" s="289"/>
    </row>
    <row r="651" spans="1:51" ht="13.5" customHeight="1">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c r="AA651" s="289"/>
      <c r="AB651" s="289"/>
      <c r="AC651" s="289"/>
      <c r="AD651" s="289"/>
      <c r="AE651" s="289"/>
      <c r="AF651" s="289"/>
      <c r="AG651" s="289"/>
      <c r="AH651" s="289"/>
      <c r="AI651" s="289"/>
      <c r="AJ651" s="289"/>
      <c r="AK651" s="289"/>
      <c r="AL651" s="289"/>
      <c r="AM651" s="289"/>
      <c r="AN651" s="289"/>
      <c r="AO651" s="289"/>
      <c r="AP651" s="289"/>
      <c r="AQ651" s="289"/>
      <c r="AR651" s="289"/>
      <c r="AS651" s="289"/>
      <c r="AT651" s="289"/>
      <c r="AU651" s="289"/>
      <c r="AV651" s="289"/>
      <c r="AW651" s="289"/>
      <c r="AX651" s="289"/>
      <c r="AY651" s="289"/>
    </row>
    <row r="652" spans="1:51" ht="13.5" customHeight="1">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c r="AA652" s="289"/>
      <c r="AB652" s="289"/>
      <c r="AC652" s="289"/>
      <c r="AD652" s="289"/>
      <c r="AE652" s="289"/>
      <c r="AF652" s="289"/>
      <c r="AG652" s="289"/>
      <c r="AH652" s="289"/>
      <c r="AI652" s="289"/>
      <c r="AJ652" s="289"/>
      <c r="AK652" s="289"/>
      <c r="AL652" s="289"/>
      <c r="AM652" s="289"/>
      <c r="AN652" s="289"/>
      <c r="AO652" s="289"/>
      <c r="AP652" s="289"/>
      <c r="AQ652" s="289"/>
      <c r="AR652" s="289"/>
      <c r="AS652" s="289"/>
      <c r="AT652" s="289"/>
      <c r="AU652" s="289"/>
      <c r="AV652" s="289"/>
      <c r="AW652" s="289"/>
      <c r="AX652" s="289"/>
      <c r="AY652" s="289"/>
    </row>
    <row r="653" spans="1:51" ht="13.5" customHeight="1">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c r="AA653" s="289"/>
      <c r="AB653" s="289"/>
      <c r="AC653" s="289"/>
      <c r="AD653" s="289"/>
      <c r="AE653" s="289"/>
      <c r="AF653" s="289"/>
      <c r="AG653" s="289"/>
      <c r="AH653" s="289"/>
      <c r="AI653" s="289"/>
      <c r="AJ653" s="289"/>
      <c r="AK653" s="289"/>
      <c r="AL653" s="289"/>
      <c r="AM653" s="289"/>
      <c r="AN653" s="289"/>
      <c r="AO653" s="289"/>
      <c r="AP653" s="289"/>
      <c r="AQ653" s="289"/>
      <c r="AR653" s="289"/>
      <c r="AS653" s="289"/>
      <c r="AT653" s="289"/>
      <c r="AU653" s="289"/>
      <c r="AV653" s="289"/>
      <c r="AW653" s="289"/>
      <c r="AX653" s="289"/>
      <c r="AY653" s="289"/>
    </row>
    <row r="654" spans="1:51" ht="13.5" customHeight="1">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c r="AA654" s="289"/>
      <c r="AB654" s="289"/>
      <c r="AC654" s="289"/>
      <c r="AD654" s="289"/>
      <c r="AE654" s="289"/>
      <c r="AF654" s="289"/>
      <c r="AG654" s="289"/>
      <c r="AH654" s="289"/>
      <c r="AI654" s="289"/>
      <c r="AJ654" s="289"/>
      <c r="AK654" s="289"/>
      <c r="AL654" s="289"/>
      <c r="AM654" s="289"/>
      <c r="AN654" s="289"/>
      <c r="AO654" s="289"/>
      <c r="AP654" s="289"/>
      <c r="AQ654" s="289"/>
      <c r="AR654" s="289"/>
      <c r="AS654" s="289"/>
      <c r="AT654" s="289"/>
      <c r="AU654" s="289"/>
      <c r="AV654" s="289"/>
      <c r="AW654" s="289"/>
      <c r="AX654" s="289"/>
      <c r="AY654" s="289"/>
    </row>
    <row r="655" spans="1:51" ht="13.5" customHeight="1">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c r="AA655" s="289"/>
      <c r="AB655" s="289"/>
      <c r="AC655" s="289"/>
      <c r="AD655" s="289"/>
      <c r="AE655" s="289"/>
      <c r="AF655" s="289"/>
      <c r="AG655" s="289"/>
      <c r="AH655" s="289"/>
      <c r="AI655" s="289"/>
      <c r="AJ655" s="289"/>
      <c r="AK655" s="289"/>
      <c r="AL655" s="289"/>
      <c r="AM655" s="289"/>
      <c r="AN655" s="289"/>
      <c r="AO655" s="289"/>
      <c r="AP655" s="289"/>
      <c r="AQ655" s="289"/>
      <c r="AR655" s="289"/>
      <c r="AS655" s="289"/>
      <c r="AT655" s="289"/>
      <c r="AU655" s="289"/>
      <c r="AV655" s="289"/>
      <c r="AW655" s="289"/>
      <c r="AX655" s="289"/>
      <c r="AY655" s="289"/>
    </row>
    <row r="656" spans="1:51" ht="13.5" customHeight="1">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c r="AA656" s="289"/>
      <c r="AB656" s="289"/>
      <c r="AC656" s="289"/>
      <c r="AD656" s="289"/>
      <c r="AE656" s="289"/>
      <c r="AF656" s="289"/>
      <c r="AG656" s="289"/>
      <c r="AH656" s="289"/>
      <c r="AI656" s="289"/>
      <c r="AJ656" s="289"/>
      <c r="AK656" s="289"/>
      <c r="AL656" s="289"/>
      <c r="AM656" s="289"/>
      <c r="AN656" s="289"/>
      <c r="AO656" s="289"/>
      <c r="AP656" s="289"/>
      <c r="AQ656" s="289"/>
      <c r="AR656" s="289"/>
      <c r="AS656" s="289"/>
      <c r="AT656" s="289"/>
      <c r="AU656" s="289"/>
      <c r="AV656" s="289"/>
      <c r="AW656" s="289"/>
      <c r="AX656" s="289"/>
      <c r="AY656" s="289"/>
    </row>
    <row r="657" spans="1:51" ht="13.5" customHeight="1">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c r="AA657" s="289"/>
      <c r="AB657" s="289"/>
      <c r="AC657" s="289"/>
      <c r="AD657" s="289"/>
      <c r="AE657" s="289"/>
      <c r="AF657" s="289"/>
      <c r="AG657" s="289"/>
      <c r="AH657" s="289"/>
      <c r="AI657" s="289"/>
      <c r="AJ657" s="289"/>
      <c r="AK657" s="289"/>
      <c r="AL657" s="289"/>
      <c r="AM657" s="289"/>
      <c r="AN657" s="289"/>
      <c r="AO657" s="289"/>
      <c r="AP657" s="289"/>
      <c r="AQ657" s="289"/>
      <c r="AR657" s="289"/>
      <c r="AS657" s="289"/>
      <c r="AT657" s="289"/>
      <c r="AU657" s="289"/>
      <c r="AV657" s="289"/>
      <c r="AW657" s="289"/>
      <c r="AX657" s="289"/>
      <c r="AY657" s="289"/>
    </row>
    <row r="658" spans="1:51" ht="13.5" customHeight="1">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c r="AA658" s="289"/>
      <c r="AB658" s="289"/>
      <c r="AC658" s="289"/>
      <c r="AD658" s="289"/>
      <c r="AE658" s="289"/>
      <c r="AF658" s="289"/>
      <c r="AG658" s="289"/>
      <c r="AH658" s="289"/>
      <c r="AI658" s="289"/>
      <c r="AJ658" s="289"/>
      <c r="AK658" s="289"/>
      <c r="AL658" s="289"/>
      <c r="AM658" s="289"/>
      <c r="AN658" s="289"/>
      <c r="AO658" s="289"/>
      <c r="AP658" s="289"/>
      <c r="AQ658" s="289"/>
      <c r="AR658" s="289"/>
      <c r="AS658" s="289"/>
      <c r="AT658" s="289"/>
      <c r="AU658" s="289"/>
      <c r="AV658" s="289"/>
      <c r="AW658" s="289"/>
      <c r="AX658" s="289"/>
      <c r="AY658" s="289"/>
    </row>
    <row r="659" spans="1:51" ht="13.5" customHeight="1">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c r="AA659" s="289"/>
      <c r="AB659" s="289"/>
      <c r="AC659" s="289"/>
      <c r="AD659" s="289"/>
      <c r="AE659" s="289"/>
      <c r="AF659" s="289"/>
      <c r="AG659" s="289"/>
      <c r="AH659" s="289"/>
      <c r="AI659" s="289"/>
      <c r="AJ659" s="289"/>
      <c r="AK659" s="289"/>
      <c r="AL659" s="289"/>
      <c r="AM659" s="289"/>
      <c r="AN659" s="289"/>
      <c r="AO659" s="289"/>
      <c r="AP659" s="289"/>
      <c r="AQ659" s="289"/>
      <c r="AR659" s="289"/>
      <c r="AS659" s="289"/>
      <c r="AT659" s="289"/>
      <c r="AU659" s="289"/>
      <c r="AV659" s="289"/>
      <c r="AW659" s="289"/>
      <c r="AX659" s="289"/>
      <c r="AY659" s="289"/>
    </row>
    <row r="660" spans="1:51" ht="13.5" customHeight="1">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c r="AA660" s="289"/>
      <c r="AB660" s="289"/>
      <c r="AC660" s="289"/>
      <c r="AD660" s="289"/>
      <c r="AE660" s="289"/>
      <c r="AF660" s="289"/>
      <c r="AG660" s="289"/>
      <c r="AH660" s="289"/>
      <c r="AI660" s="289"/>
      <c r="AJ660" s="289"/>
      <c r="AK660" s="289"/>
      <c r="AL660" s="289"/>
      <c r="AM660" s="289"/>
      <c r="AN660" s="289"/>
      <c r="AO660" s="289"/>
      <c r="AP660" s="289"/>
      <c r="AQ660" s="289"/>
      <c r="AR660" s="289"/>
      <c r="AS660" s="289"/>
      <c r="AT660" s="289"/>
      <c r="AU660" s="289"/>
      <c r="AV660" s="289"/>
      <c r="AW660" s="289"/>
      <c r="AX660" s="289"/>
      <c r="AY660" s="289"/>
    </row>
    <row r="661" spans="1:51" ht="13.5" customHeight="1">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c r="AA661" s="289"/>
      <c r="AB661" s="289"/>
      <c r="AC661" s="289"/>
      <c r="AD661" s="289"/>
      <c r="AE661" s="289"/>
      <c r="AF661" s="289"/>
      <c r="AG661" s="289"/>
      <c r="AH661" s="289"/>
      <c r="AI661" s="289"/>
      <c r="AJ661" s="289"/>
      <c r="AK661" s="289"/>
      <c r="AL661" s="289"/>
      <c r="AM661" s="289"/>
      <c r="AN661" s="289"/>
      <c r="AO661" s="289"/>
      <c r="AP661" s="289"/>
      <c r="AQ661" s="289"/>
      <c r="AR661" s="289"/>
      <c r="AS661" s="289"/>
      <c r="AT661" s="289"/>
      <c r="AU661" s="289"/>
      <c r="AV661" s="289"/>
      <c r="AW661" s="289"/>
      <c r="AX661" s="289"/>
      <c r="AY661" s="289"/>
    </row>
    <row r="662" spans="1:51" ht="13.5" customHeight="1">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c r="AA662" s="289"/>
      <c r="AB662" s="289"/>
      <c r="AC662" s="289"/>
      <c r="AD662" s="289"/>
      <c r="AE662" s="289"/>
      <c r="AF662" s="289"/>
      <c r="AG662" s="289"/>
      <c r="AH662" s="289"/>
      <c r="AI662" s="289"/>
      <c r="AJ662" s="289"/>
      <c r="AK662" s="289"/>
      <c r="AL662" s="289"/>
      <c r="AM662" s="289"/>
      <c r="AN662" s="289"/>
      <c r="AO662" s="289"/>
      <c r="AP662" s="289"/>
      <c r="AQ662" s="289"/>
      <c r="AR662" s="289"/>
      <c r="AS662" s="289"/>
      <c r="AT662" s="289"/>
      <c r="AU662" s="289"/>
      <c r="AV662" s="289"/>
      <c r="AW662" s="289"/>
      <c r="AX662" s="289"/>
      <c r="AY662" s="289"/>
    </row>
    <row r="663" spans="1:51" ht="13.5" customHeight="1">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c r="AA663" s="289"/>
      <c r="AB663" s="289"/>
      <c r="AC663" s="289"/>
      <c r="AD663" s="289"/>
      <c r="AE663" s="289"/>
      <c r="AF663" s="289"/>
      <c r="AG663" s="289"/>
      <c r="AH663" s="289"/>
      <c r="AI663" s="289"/>
      <c r="AJ663" s="289"/>
      <c r="AK663" s="289"/>
      <c r="AL663" s="289"/>
      <c r="AM663" s="289"/>
      <c r="AN663" s="289"/>
      <c r="AO663" s="289"/>
      <c r="AP663" s="289"/>
      <c r="AQ663" s="289"/>
      <c r="AR663" s="289"/>
      <c r="AS663" s="289"/>
      <c r="AT663" s="289"/>
      <c r="AU663" s="289"/>
      <c r="AV663" s="289"/>
      <c r="AW663" s="289"/>
      <c r="AX663" s="289"/>
      <c r="AY663" s="289"/>
    </row>
    <row r="664" spans="1:51" ht="13.5" customHeight="1">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c r="AA664" s="289"/>
      <c r="AB664" s="289"/>
      <c r="AC664" s="289"/>
      <c r="AD664" s="289"/>
      <c r="AE664" s="289"/>
      <c r="AF664" s="289"/>
      <c r="AG664" s="289"/>
      <c r="AH664" s="289"/>
      <c r="AI664" s="289"/>
      <c r="AJ664" s="289"/>
      <c r="AK664" s="289"/>
      <c r="AL664" s="289"/>
      <c r="AM664" s="289"/>
      <c r="AN664" s="289"/>
      <c r="AO664" s="289"/>
      <c r="AP664" s="289"/>
      <c r="AQ664" s="289"/>
      <c r="AR664" s="289"/>
      <c r="AS664" s="289"/>
      <c r="AT664" s="289"/>
      <c r="AU664" s="289"/>
      <c r="AV664" s="289"/>
      <c r="AW664" s="289"/>
      <c r="AX664" s="289"/>
      <c r="AY664" s="289"/>
    </row>
    <row r="665" spans="1:51" ht="13.5" customHeight="1">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c r="AA665" s="289"/>
      <c r="AB665" s="289"/>
      <c r="AC665" s="289"/>
      <c r="AD665" s="289"/>
      <c r="AE665" s="289"/>
      <c r="AF665" s="289"/>
      <c r="AG665" s="289"/>
      <c r="AH665" s="289"/>
      <c r="AI665" s="289"/>
      <c r="AJ665" s="289"/>
      <c r="AK665" s="289"/>
      <c r="AL665" s="289"/>
      <c r="AM665" s="289"/>
      <c r="AN665" s="289"/>
      <c r="AO665" s="289"/>
      <c r="AP665" s="289"/>
      <c r="AQ665" s="289"/>
      <c r="AR665" s="289"/>
      <c r="AS665" s="289"/>
      <c r="AT665" s="289"/>
      <c r="AU665" s="289"/>
      <c r="AV665" s="289"/>
      <c r="AW665" s="289"/>
      <c r="AX665" s="289"/>
      <c r="AY665" s="289"/>
    </row>
    <row r="666" spans="1:51" ht="13.5" customHeight="1">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c r="AA666" s="289"/>
      <c r="AB666" s="289"/>
      <c r="AC666" s="289"/>
      <c r="AD666" s="289"/>
      <c r="AE666" s="289"/>
      <c r="AF666" s="289"/>
      <c r="AG666" s="289"/>
      <c r="AH666" s="289"/>
      <c r="AI666" s="289"/>
      <c r="AJ666" s="289"/>
      <c r="AK666" s="289"/>
      <c r="AL666" s="289"/>
      <c r="AM666" s="289"/>
      <c r="AN666" s="289"/>
      <c r="AO666" s="289"/>
      <c r="AP666" s="289"/>
      <c r="AQ666" s="289"/>
      <c r="AR666" s="289"/>
      <c r="AS666" s="289"/>
      <c r="AT666" s="289"/>
      <c r="AU666" s="289"/>
      <c r="AV666" s="289"/>
      <c r="AW666" s="289"/>
      <c r="AX666" s="289"/>
      <c r="AY666" s="289"/>
    </row>
    <row r="667" spans="1:51" ht="13.5" customHeight="1">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c r="AA667" s="289"/>
      <c r="AB667" s="289"/>
      <c r="AC667" s="289"/>
      <c r="AD667" s="289"/>
      <c r="AE667" s="289"/>
      <c r="AF667" s="289"/>
      <c r="AG667" s="289"/>
      <c r="AH667" s="289"/>
      <c r="AI667" s="289"/>
      <c r="AJ667" s="289"/>
      <c r="AK667" s="289"/>
      <c r="AL667" s="289"/>
      <c r="AM667" s="289"/>
      <c r="AN667" s="289"/>
      <c r="AO667" s="289"/>
      <c r="AP667" s="289"/>
      <c r="AQ667" s="289"/>
      <c r="AR667" s="289"/>
      <c r="AS667" s="289"/>
      <c r="AT667" s="289"/>
      <c r="AU667" s="289"/>
      <c r="AV667" s="289"/>
      <c r="AW667" s="289"/>
      <c r="AX667" s="289"/>
      <c r="AY667" s="289"/>
    </row>
    <row r="668" spans="1:51" ht="13.5" customHeight="1">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c r="AA668" s="289"/>
      <c r="AB668" s="289"/>
      <c r="AC668" s="289"/>
      <c r="AD668" s="289"/>
      <c r="AE668" s="289"/>
      <c r="AF668" s="289"/>
      <c r="AG668" s="289"/>
      <c r="AH668" s="289"/>
      <c r="AI668" s="289"/>
      <c r="AJ668" s="289"/>
      <c r="AK668" s="289"/>
      <c r="AL668" s="289"/>
      <c r="AM668" s="289"/>
      <c r="AN668" s="289"/>
      <c r="AO668" s="289"/>
      <c r="AP668" s="289"/>
      <c r="AQ668" s="289"/>
      <c r="AR668" s="289"/>
      <c r="AS668" s="289"/>
      <c r="AT668" s="289"/>
      <c r="AU668" s="289"/>
      <c r="AV668" s="289"/>
      <c r="AW668" s="289"/>
      <c r="AX668" s="289"/>
      <c r="AY668" s="289"/>
    </row>
    <row r="669" spans="1:51" ht="13.5" customHeight="1">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c r="AA669" s="289"/>
      <c r="AB669" s="289"/>
      <c r="AC669" s="289"/>
      <c r="AD669" s="289"/>
      <c r="AE669" s="289"/>
      <c r="AF669" s="289"/>
      <c r="AG669" s="289"/>
      <c r="AH669" s="289"/>
      <c r="AI669" s="289"/>
      <c r="AJ669" s="289"/>
      <c r="AK669" s="289"/>
      <c r="AL669" s="289"/>
      <c r="AM669" s="289"/>
      <c r="AN669" s="289"/>
      <c r="AO669" s="289"/>
      <c r="AP669" s="289"/>
      <c r="AQ669" s="289"/>
      <c r="AR669" s="289"/>
      <c r="AS669" s="289"/>
      <c r="AT669" s="289"/>
      <c r="AU669" s="289"/>
      <c r="AV669" s="289"/>
      <c r="AW669" s="289"/>
      <c r="AX669" s="289"/>
      <c r="AY669" s="289"/>
    </row>
    <row r="670" spans="1:51" ht="13.5" customHeight="1">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c r="AA670" s="289"/>
      <c r="AB670" s="289"/>
      <c r="AC670" s="289"/>
      <c r="AD670" s="289"/>
      <c r="AE670" s="289"/>
      <c r="AF670" s="289"/>
      <c r="AG670" s="289"/>
      <c r="AH670" s="289"/>
      <c r="AI670" s="289"/>
      <c r="AJ670" s="289"/>
      <c r="AK670" s="289"/>
      <c r="AL670" s="289"/>
      <c r="AM670" s="289"/>
      <c r="AN670" s="289"/>
      <c r="AO670" s="289"/>
      <c r="AP670" s="289"/>
      <c r="AQ670" s="289"/>
      <c r="AR670" s="289"/>
      <c r="AS670" s="289"/>
      <c r="AT670" s="289"/>
      <c r="AU670" s="289"/>
      <c r="AV670" s="289"/>
      <c r="AW670" s="289"/>
      <c r="AX670" s="289"/>
      <c r="AY670" s="289"/>
    </row>
    <row r="671" spans="1:51" ht="13.5" customHeight="1">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c r="AA671" s="289"/>
      <c r="AB671" s="289"/>
      <c r="AC671" s="289"/>
      <c r="AD671" s="289"/>
      <c r="AE671" s="289"/>
      <c r="AF671" s="289"/>
      <c r="AG671" s="289"/>
      <c r="AH671" s="289"/>
      <c r="AI671" s="289"/>
      <c r="AJ671" s="289"/>
      <c r="AK671" s="289"/>
      <c r="AL671" s="289"/>
      <c r="AM671" s="289"/>
      <c r="AN671" s="289"/>
      <c r="AO671" s="289"/>
      <c r="AP671" s="289"/>
      <c r="AQ671" s="289"/>
      <c r="AR671" s="289"/>
      <c r="AS671" s="289"/>
      <c r="AT671" s="289"/>
      <c r="AU671" s="289"/>
      <c r="AV671" s="289"/>
      <c r="AW671" s="289"/>
      <c r="AX671" s="289"/>
      <c r="AY671" s="289"/>
    </row>
    <row r="672" spans="1:51" ht="13.5" customHeight="1">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c r="AA672" s="289"/>
      <c r="AB672" s="289"/>
      <c r="AC672" s="289"/>
      <c r="AD672" s="289"/>
      <c r="AE672" s="289"/>
      <c r="AF672" s="289"/>
      <c r="AG672" s="289"/>
      <c r="AH672" s="289"/>
      <c r="AI672" s="289"/>
      <c r="AJ672" s="289"/>
      <c r="AK672" s="289"/>
      <c r="AL672" s="289"/>
      <c r="AM672" s="289"/>
      <c r="AN672" s="289"/>
      <c r="AO672" s="289"/>
      <c r="AP672" s="289"/>
      <c r="AQ672" s="289"/>
      <c r="AR672" s="289"/>
      <c r="AS672" s="289"/>
      <c r="AT672" s="289"/>
      <c r="AU672" s="289"/>
      <c r="AV672" s="289"/>
      <c r="AW672" s="289"/>
      <c r="AX672" s="289"/>
      <c r="AY672" s="289"/>
    </row>
    <row r="673" spans="1:51" ht="13.5" customHeight="1">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c r="AA673" s="289"/>
      <c r="AB673" s="289"/>
      <c r="AC673" s="289"/>
      <c r="AD673" s="289"/>
      <c r="AE673" s="289"/>
      <c r="AF673" s="289"/>
      <c r="AG673" s="289"/>
      <c r="AH673" s="289"/>
      <c r="AI673" s="289"/>
      <c r="AJ673" s="289"/>
      <c r="AK673" s="289"/>
      <c r="AL673" s="289"/>
      <c r="AM673" s="289"/>
      <c r="AN673" s="289"/>
      <c r="AO673" s="289"/>
      <c r="AP673" s="289"/>
      <c r="AQ673" s="289"/>
      <c r="AR673" s="289"/>
      <c r="AS673" s="289"/>
      <c r="AT673" s="289"/>
      <c r="AU673" s="289"/>
      <c r="AV673" s="289"/>
      <c r="AW673" s="289"/>
      <c r="AX673" s="289"/>
      <c r="AY673" s="289"/>
    </row>
    <row r="674" spans="1:51" ht="13.5" customHeight="1">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c r="AA674" s="289"/>
      <c r="AB674" s="289"/>
      <c r="AC674" s="289"/>
      <c r="AD674" s="289"/>
      <c r="AE674" s="289"/>
      <c r="AF674" s="289"/>
      <c r="AG674" s="289"/>
      <c r="AH674" s="289"/>
      <c r="AI674" s="289"/>
      <c r="AJ674" s="289"/>
      <c r="AK674" s="289"/>
      <c r="AL674" s="289"/>
      <c r="AM674" s="289"/>
      <c r="AN674" s="289"/>
      <c r="AO674" s="289"/>
      <c r="AP674" s="289"/>
      <c r="AQ674" s="289"/>
      <c r="AR674" s="289"/>
      <c r="AS674" s="289"/>
      <c r="AT674" s="289"/>
      <c r="AU674" s="289"/>
      <c r="AV674" s="289"/>
      <c r="AW674" s="289"/>
      <c r="AX674" s="289"/>
      <c r="AY674" s="289"/>
    </row>
    <row r="675" spans="1:51" ht="13.5" customHeight="1">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c r="AA675" s="289"/>
      <c r="AB675" s="289"/>
      <c r="AC675" s="289"/>
      <c r="AD675" s="289"/>
      <c r="AE675" s="289"/>
      <c r="AF675" s="289"/>
      <c r="AG675" s="289"/>
      <c r="AH675" s="289"/>
      <c r="AI675" s="289"/>
      <c r="AJ675" s="289"/>
      <c r="AK675" s="289"/>
      <c r="AL675" s="289"/>
      <c r="AM675" s="289"/>
      <c r="AN675" s="289"/>
      <c r="AO675" s="289"/>
      <c r="AP675" s="289"/>
      <c r="AQ675" s="289"/>
      <c r="AR675" s="289"/>
      <c r="AS675" s="289"/>
      <c r="AT675" s="289"/>
      <c r="AU675" s="289"/>
      <c r="AV675" s="289"/>
      <c r="AW675" s="289"/>
      <c r="AX675" s="289"/>
      <c r="AY675" s="289"/>
    </row>
    <row r="676" spans="1:51" ht="13.5" customHeight="1">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c r="AA676" s="289"/>
      <c r="AB676" s="289"/>
      <c r="AC676" s="289"/>
      <c r="AD676" s="289"/>
      <c r="AE676" s="289"/>
      <c r="AF676" s="289"/>
      <c r="AG676" s="289"/>
      <c r="AH676" s="289"/>
      <c r="AI676" s="289"/>
      <c r="AJ676" s="289"/>
      <c r="AK676" s="289"/>
      <c r="AL676" s="289"/>
      <c r="AM676" s="289"/>
      <c r="AN676" s="289"/>
      <c r="AO676" s="289"/>
      <c r="AP676" s="289"/>
      <c r="AQ676" s="289"/>
      <c r="AR676" s="289"/>
      <c r="AS676" s="289"/>
      <c r="AT676" s="289"/>
      <c r="AU676" s="289"/>
      <c r="AV676" s="289"/>
      <c r="AW676" s="289"/>
      <c r="AX676" s="289"/>
      <c r="AY676" s="289"/>
    </row>
    <row r="677" spans="1:51" ht="13.5" customHeight="1">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c r="AA677" s="289"/>
      <c r="AB677" s="289"/>
      <c r="AC677" s="289"/>
      <c r="AD677" s="289"/>
      <c r="AE677" s="289"/>
      <c r="AF677" s="289"/>
      <c r="AG677" s="289"/>
      <c r="AH677" s="289"/>
      <c r="AI677" s="289"/>
      <c r="AJ677" s="289"/>
      <c r="AK677" s="289"/>
      <c r="AL677" s="289"/>
      <c r="AM677" s="289"/>
      <c r="AN677" s="289"/>
      <c r="AO677" s="289"/>
      <c r="AP677" s="289"/>
      <c r="AQ677" s="289"/>
      <c r="AR677" s="289"/>
      <c r="AS677" s="289"/>
      <c r="AT677" s="289"/>
      <c r="AU677" s="289"/>
      <c r="AV677" s="289"/>
      <c r="AW677" s="289"/>
      <c r="AX677" s="289"/>
      <c r="AY677" s="289"/>
    </row>
    <row r="678" spans="1:51" ht="13.5" customHeight="1">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c r="AA678" s="289"/>
      <c r="AB678" s="289"/>
      <c r="AC678" s="289"/>
      <c r="AD678" s="289"/>
      <c r="AE678" s="289"/>
      <c r="AF678" s="289"/>
      <c r="AG678" s="289"/>
      <c r="AH678" s="289"/>
      <c r="AI678" s="289"/>
      <c r="AJ678" s="289"/>
      <c r="AK678" s="289"/>
      <c r="AL678" s="289"/>
      <c r="AM678" s="289"/>
      <c r="AN678" s="289"/>
      <c r="AO678" s="289"/>
      <c r="AP678" s="289"/>
      <c r="AQ678" s="289"/>
      <c r="AR678" s="289"/>
      <c r="AS678" s="289"/>
      <c r="AT678" s="289"/>
      <c r="AU678" s="289"/>
      <c r="AV678" s="289"/>
      <c r="AW678" s="289"/>
      <c r="AX678" s="289"/>
      <c r="AY678" s="289"/>
    </row>
    <row r="679" spans="1:51" ht="13.5" customHeight="1">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c r="AA679" s="289"/>
      <c r="AB679" s="289"/>
      <c r="AC679" s="289"/>
      <c r="AD679" s="289"/>
      <c r="AE679" s="289"/>
      <c r="AF679" s="289"/>
      <c r="AG679" s="289"/>
      <c r="AH679" s="289"/>
      <c r="AI679" s="289"/>
      <c r="AJ679" s="289"/>
      <c r="AK679" s="289"/>
      <c r="AL679" s="289"/>
      <c r="AM679" s="289"/>
      <c r="AN679" s="289"/>
      <c r="AO679" s="289"/>
      <c r="AP679" s="289"/>
      <c r="AQ679" s="289"/>
      <c r="AR679" s="289"/>
      <c r="AS679" s="289"/>
      <c r="AT679" s="289"/>
      <c r="AU679" s="289"/>
      <c r="AV679" s="289"/>
      <c r="AW679" s="289"/>
      <c r="AX679" s="289"/>
      <c r="AY679" s="289"/>
    </row>
    <row r="680" spans="1:51" ht="13.5" customHeight="1">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c r="AA680" s="289"/>
      <c r="AB680" s="289"/>
      <c r="AC680" s="289"/>
      <c r="AD680" s="289"/>
      <c r="AE680" s="289"/>
      <c r="AF680" s="289"/>
      <c r="AG680" s="289"/>
      <c r="AH680" s="289"/>
      <c r="AI680" s="289"/>
      <c r="AJ680" s="289"/>
      <c r="AK680" s="289"/>
      <c r="AL680" s="289"/>
      <c r="AM680" s="289"/>
      <c r="AN680" s="289"/>
      <c r="AO680" s="289"/>
      <c r="AP680" s="289"/>
      <c r="AQ680" s="289"/>
      <c r="AR680" s="289"/>
      <c r="AS680" s="289"/>
      <c r="AT680" s="289"/>
      <c r="AU680" s="289"/>
      <c r="AV680" s="289"/>
      <c r="AW680" s="289"/>
      <c r="AX680" s="289"/>
      <c r="AY680" s="289"/>
    </row>
    <row r="681" spans="1:51" ht="13.5" customHeight="1">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c r="AA681" s="289"/>
      <c r="AB681" s="289"/>
      <c r="AC681" s="289"/>
      <c r="AD681" s="289"/>
      <c r="AE681" s="289"/>
      <c r="AF681" s="289"/>
      <c r="AG681" s="289"/>
      <c r="AH681" s="289"/>
      <c r="AI681" s="289"/>
      <c r="AJ681" s="289"/>
      <c r="AK681" s="289"/>
      <c r="AL681" s="289"/>
      <c r="AM681" s="289"/>
      <c r="AN681" s="289"/>
      <c r="AO681" s="289"/>
      <c r="AP681" s="289"/>
      <c r="AQ681" s="289"/>
      <c r="AR681" s="289"/>
      <c r="AS681" s="289"/>
      <c r="AT681" s="289"/>
      <c r="AU681" s="289"/>
      <c r="AV681" s="289"/>
      <c r="AW681" s="289"/>
      <c r="AX681" s="289"/>
      <c r="AY681" s="289"/>
    </row>
    <row r="682" spans="1:51" ht="13.5" customHeight="1">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c r="AA682" s="289"/>
      <c r="AB682" s="289"/>
      <c r="AC682" s="289"/>
      <c r="AD682" s="289"/>
      <c r="AE682" s="289"/>
      <c r="AF682" s="289"/>
      <c r="AG682" s="289"/>
      <c r="AH682" s="289"/>
      <c r="AI682" s="289"/>
      <c r="AJ682" s="289"/>
      <c r="AK682" s="289"/>
      <c r="AL682" s="289"/>
      <c r="AM682" s="289"/>
      <c r="AN682" s="289"/>
      <c r="AO682" s="289"/>
      <c r="AP682" s="289"/>
      <c r="AQ682" s="289"/>
      <c r="AR682" s="289"/>
      <c r="AS682" s="289"/>
      <c r="AT682" s="289"/>
      <c r="AU682" s="289"/>
      <c r="AV682" s="289"/>
      <c r="AW682" s="289"/>
      <c r="AX682" s="289"/>
      <c r="AY682" s="289"/>
    </row>
    <row r="683" spans="1:51" ht="13.5" customHeight="1">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c r="AA683" s="289"/>
      <c r="AB683" s="289"/>
      <c r="AC683" s="289"/>
      <c r="AD683" s="289"/>
      <c r="AE683" s="289"/>
      <c r="AF683" s="289"/>
      <c r="AG683" s="289"/>
      <c r="AH683" s="289"/>
      <c r="AI683" s="289"/>
      <c r="AJ683" s="289"/>
      <c r="AK683" s="289"/>
      <c r="AL683" s="289"/>
      <c r="AM683" s="289"/>
      <c r="AN683" s="289"/>
      <c r="AO683" s="289"/>
      <c r="AP683" s="289"/>
      <c r="AQ683" s="289"/>
      <c r="AR683" s="289"/>
      <c r="AS683" s="289"/>
      <c r="AT683" s="289"/>
      <c r="AU683" s="289"/>
      <c r="AV683" s="289"/>
      <c r="AW683" s="289"/>
      <c r="AX683" s="289"/>
      <c r="AY683" s="289"/>
    </row>
    <row r="684" spans="1:51" ht="13.5" customHeight="1">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c r="AA684" s="289"/>
      <c r="AB684" s="289"/>
      <c r="AC684" s="289"/>
      <c r="AD684" s="289"/>
      <c r="AE684" s="289"/>
      <c r="AF684" s="289"/>
      <c r="AG684" s="289"/>
      <c r="AH684" s="289"/>
      <c r="AI684" s="289"/>
      <c r="AJ684" s="289"/>
      <c r="AK684" s="289"/>
      <c r="AL684" s="289"/>
      <c r="AM684" s="289"/>
      <c r="AN684" s="289"/>
      <c r="AO684" s="289"/>
      <c r="AP684" s="289"/>
      <c r="AQ684" s="289"/>
      <c r="AR684" s="289"/>
      <c r="AS684" s="289"/>
      <c r="AT684" s="289"/>
      <c r="AU684" s="289"/>
      <c r="AV684" s="289"/>
      <c r="AW684" s="289"/>
      <c r="AX684" s="289"/>
      <c r="AY684" s="289"/>
    </row>
    <row r="685" spans="1:51" ht="13.5" customHeight="1">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c r="AA685" s="289"/>
      <c r="AB685" s="289"/>
      <c r="AC685" s="289"/>
      <c r="AD685" s="289"/>
      <c r="AE685" s="289"/>
      <c r="AF685" s="289"/>
      <c r="AG685" s="289"/>
      <c r="AH685" s="289"/>
      <c r="AI685" s="289"/>
      <c r="AJ685" s="289"/>
      <c r="AK685" s="289"/>
      <c r="AL685" s="289"/>
      <c r="AM685" s="289"/>
      <c r="AN685" s="289"/>
      <c r="AO685" s="289"/>
      <c r="AP685" s="289"/>
      <c r="AQ685" s="289"/>
      <c r="AR685" s="289"/>
      <c r="AS685" s="289"/>
      <c r="AT685" s="289"/>
      <c r="AU685" s="289"/>
      <c r="AV685" s="289"/>
      <c r="AW685" s="289"/>
      <c r="AX685" s="289"/>
      <c r="AY685" s="289"/>
    </row>
    <row r="686" spans="1:51" ht="13.5" customHeight="1">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c r="AA686" s="289"/>
      <c r="AB686" s="289"/>
      <c r="AC686" s="289"/>
      <c r="AD686" s="289"/>
      <c r="AE686" s="289"/>
      <c r="AF686" s="289"/>
      <c r="AG686" s="289"/>
      <c r="AH686" s="289"/>
      <c r="AI686" s="289"/>
      <c r="AJ686" s="289"/>
      <c r="AK686" s="289"/>
      <c r="AL686" s="289"/>
      <c r="AM686" s="289"/>
      <c r="AN686" s="289"/>
      <c r="AO686" s="289"/>
      <c r="AP686" s="289"/>
      <c r="AQ686" s="289"/>
      <c r="AR686" s="289"/>
      <c r="AS686" s="289"/>
      <c r="AT686" s="289"/>
      <c r="AU686" s="289"/>
      <c r="AV686" s="289"/>
      <c r="AW686" s="289"/>
      <c r="AX686" s="289"/>
      <c r="AY686" s="289"/>
    </row>
    <row r="687" spans="1:51" ht="13.5" customHeight="1">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c r="AA687" s="289"/>
      <c r="AB687" s="289"/>
      <c r="AC687" s="289"/>
      <c r="AD687" s="289"/>
      <c r="AE687" s="289"/>
      <c r="AF687" s="289"/>
      <c r="AG687" s="289"/>
      <c r="AH687" s="289"/>
      <c r="AI687" s="289"/>
      <c r="AJ687" s="289"/>
      <c r="AK687" s="289"/>
      <c r="AL687" s="289"/>
      <c r="AM687" s="289"/>
      <c r="AN687" s="289"/>
      <c r="AO687" s="289"/>
      <c r="AP687" s="289"/>
      <c r="AQ687" s="289"/>
      <c r="AR687" s="289"/>
      <c r="AS687" s="289"/>
      <c r="AT687" s="289"/>
      <c r="AU687" s="289"/>
      <c r="AV687" s="289"/>
      <c r="AW687" s="289"/>
      <c r="AX687" s="289"/>
      <c r="AY687" s="289"/>
    </row>
    <row r="688" spans="1:51" ht="13.5" customHeight="1">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c r="AA688" s="289"/>
      <c r="AB688" s="289"/>
      <c r="AC688" s="289"/>
      <c r="AD688" s="289"/>
      <c r="AE688" s="289"/>
      <c r="AF688" s="289"/>
      <c r="AG688" s="289"/>
      <c r="AH688" s="289"/>
      <c r="AI688" s="289"/>
      <c r="AJ688" s="289"/>
      <c r="AK688" s="289"/>
      <c r="AL688" s="289"/>
      <c r="AM688" s="289"/>
      <c r="AN688" s="289"/>
      <c r="AO688" s="289"/>
      <c r="AP688" s="289"/>
      <c r="AQ688" s="289"/>
      <c r="AR688" s="289"/>
      <c r="AS688" s="289"/>
      <c r="AT688" s="289"/>
      <c r="AU688" s="289"/>
      <c r="AV688" s="289"/>
      <c r="AW688" s="289"/>
      <c r="AX688" s="289"/>
      <c r="AY688" s="289"/>
    </row>
    <row r="689" spans="1:51" ht="13.5" customHeight="1">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c r="AA689" s="289"/>
      <c r="AB689" s="289"/>
      <c r="AC689" s="289"/>
      <c r="AD689" s="289"/>
      <c r="AE689" s="289"/>
      <c r="AF689" s="289"/>
      <c r="AG689" s="289"/>
      <c r="AH689" s="289"/>
      <c r="AI689" s="289"/>
      <c r="AJ689" s="289"/>
      <c r="AK689" s="289"/>
      <c r="AL689" s="289"/>
      <c r="AM689" s="289"/>
      <c r="AN689" s="289"/>
      <c r="AO689" s="289"/>
      <c r="AP689" s="289"/>
      <c r="AQ689" s="289"/>
      <c r="AR689" s="289"/>
      <c r="AS689" s="289"/>
      <c r="AT689" s="289"/>
      <c r="AU689" s="289"/>
      <c r="AV689" s="289"/>
      <c r="AW689" s="289"/>
      <c r="AX689" s="289"/>
      <c r="AY689" s="289"/>
    </row>
    <row r="690" spans="1:51" ht="13.5" customHeight="1">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c r="AA690" s="289"/>
      <c r="AB690" s="289"/>
      <c r="AC690" s="289"/>
      <c r="AD690" s="289"/>
      <c r="AE690" s="289"/>
      <c r="AF690" s="289"/>
      <c r="AG690" s="289"/>
      <c r="AH690" s="289"/>
      <c r="AI690" s="289"/>
      <c r="AJ690" s="289"/>
      <c r="AK690" s="289"/>
      <c r="AL690" s="289"/>
      <c r="AM690" s="289"/>
      <c r="AN690" s="289"/>
      <c r="AO690" s="289"/>
      <c r="AP690" s="289"/>
      <c r="AQ690" s="289"/>
      <c r="AR690" s="289"/>
      <c r="AS690" s="289"/>
      <c r="AT690" s="289"/>
      <c r="AU690" s="289"/>
      <c r="AV690" s="289"/>
      <c r="AW690" s="289"/>
      <c r="AX690" s="289"/>
      <c r="AY690" s="289"/>
    </row>
    <row r="691" spans="1:51" ht="13.5" customHeight="1">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c r="AA691" s="289"/>
      <c r="AB691" s="289"/>
      <c r="AC691" s="289"/>
      <c r="AD691" s="289"/>
      <c r="AE691" s="289"/>
      <c r="AF691" s="289"/>
      <c r="AG691" s="289"/>
      <c r="AH691" s="289"/>
      <c r="AI691" s="289"/>
      <c r="AJ691" s="289"/>
      <c r="AK691" s="289"/>
      <c r="AL691" s="289"/>
      <c r="AM691" s="289"/>
      <c r="AN691" s="289"/>
      <c r="AO691" s="289"/>
      <c r="AP691" s="289"/>
      <c r="AQ691" s="289"/>
      <c r="AR691" s="289"/>
      <c r="AS691" s="289"/>
      <c r="AT691" s="289"/>
      <c r="AU691" s="289"/>
      <c r="AV691" s="289"/>
      <c r="AW691" s="289"/>
      <c r="AX691" s="289"/>
      <c r="AY691" s="289"/>
    </row>
    <row r="692" spans="1:51" ht="13.5" customHeight="1">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c r="AA692" s="289"/>
      <c r="AB692" s="289"/>
      <c r="AC692" s="289"/>
      <c r="AD692" s="289"/>
      <c r="AE692" s="289"/>
      <c r="AF692" s="289"/>
      <c r="AG692" s="289"/>
      <c r="AH692" s="289"/>
      <c r="AI692" s="289"/>
      <c r="AJ692" s="289"/>
      <c r="AK692" s="289"/>
      <c r="AL692" s="289"/>
      <c r="AM692" s="289"/>
      <c r="AN692" s="289"/>
      <c r="AO692" s="289"/>
      <c r="AP692" s="289"/>
      <c r="AQ692" s="289"/>
      <c r="AR692" s="289"/>
      <c r="AS692" s="289"/>
      <c r="AT692" s="289"/>
      <c r="AU692" s="289"/>
      <c r="AV692" s="289"/>
      <c r="AW692" s="289"/>
      <c r="AX692" s="289"/>
      <c r="AY692" s="289"/>
    </row>
    <row r="693" spans="1:51" ht="13.5" customHeight="1">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c r="AA693" s="289"/>
      <c r="AB693" s="289"/>
      <c r="AC693" s="289"/>
      <c r="AD693" s="289"/>
      <c r="AE693" s="289"/>
      <c r="AF693" s="289"/>
      <c r="AG693" s="289"/>
      <c r="AH693" s="289"/>
      <c r="AI693" s="289"/>
      <c r="AJ693" s="289"/>
      <c r="AK693" s="289"/>
      <c r="AL693" s="289"/>
      <c r="AM693" s="289"/>
      <c r="AN693" s="289"/>
      <c r="AO693" s="289"/>
      <c r="AP693" s="289"/>
      <c r="AQ693" s="289"/>
      <c r="AR693" s="289"/>
      <c r="AS693" s="289"/>
      <c r="AT693" s="289"/>
      <c r="AU693" s="289"/>
      <c r="AV693" s="289"/>
      <c r="AW693" s="289"/>
      <c r="AX693" s="289"/>
      <c r="AY693" s="289"/>
    </row>
    <row r="694" spans="1:51" ht="13.5" customHeight="1">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c r="AA694" s="289"/>
      <c r="AB694" s="289"/>
      <c r="AC694" s="289"/>
      <c r="AD694" s="289"/>
      <c r="AE694" s="289"/>
      <c r="AF694" s="289"/>
      <c r="AG694" s="289"/>
      <c r="AH694" s="289"/>
      <c r="AI694" s="289"/>
      <c r="AJ694" s="289"/>
      <c r="AK694" s="289"/>
      <c r="AL694" s="289"/>
      <c r="AM694" s="289"/>
      <c r="AN694" s="289"/>
      <c r="AO694" s="289"/>
      <c r="AP694" s="289"/>
      <c r="AQ694" s="289"/>
      <c r="AR694" s="289"/>
      <c r="AS694" s="289"/>
      <c r="AT694" s="289"/>
      <c r="AU694" s="289"/>
      <c r="AV694" s="289"/>
      <c r="AW694" s="289"/>
      <c r="AX694" s="289"/>
      <c r="AY694" s="289"/>
    </row>
    <row r="695" spans="1:51" ht="13.5" customHeight="1">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c r="AA695" s="289"/>
      <c r="AB695" s="289"/>
      <c r="AC695" s="289"/>
      <c r="AD695" s="289"/>
      <c r="AE695" s="289"/>
      <c r="AF695" s="289"/>
      <c r="AG695" s="289"/>
      <c r="AH695" s="289"/>
      <c r="AI695" s="289"/>
      <c r="AJ695" s="289"/>
      <c r="AK695" s="289"/>
      <c r="AL695" s="289"/>
      <c r="AM695" s="289"/>
      <c r="AN695" s="289"/>
      <c r="AO695" s="289"/>
      <c r="AP695" s="289"/>
      <c r="AQ695" s="289"/>
      <c r="AR695" s="289"/>
      <c r="AS695" s="289"/>
      <c r="AT695" s="289"/>
      <c r="AU695" s="289"/>
      <c r="AV695" s="289"/>
      <c r="AW695" s="289"/>
      <c r="AX695" s="289"/>
      <c r="AY695" s="289"/>
    </row>
    <row r="696" spans="1:51" ht="13.5" customHeight="1">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c r="AA696" s="289"/>
      <c r="AB696" s="289"/>
      <c r="AC696" s="289"/>
      <c r="AD696" s="289"/>
      <c r="AE696" s="289"/>
      <c r="AF696" s="289"/>
      <c r="AG696" s="289"/>
      <c r="AH696" s="289"/>
      <c r="AI696" s="289"/>
      <c r="AJ696" s="289"/>
      <c r="AK696" s="289"/>
      <c r="AL696" s="289"/>
      <c r="AM696" s="289"/>
      <c r="AN696" s="289"/>
      <c r="AO696" s="289"/>
      <c r="AP696" s="289"/>
      <c r="AQ696" s="289"/>
      <c r="AR696" s="289"/>
      <c r="AS696" s="289"/>
      <c r="AT696" s="289"/>
      <c r="AU696" s="289"/>
      <c r="AV696" s="289"/>
      <c r="AW696" s="289"/>
      <c r="AX696" s="289"/>
      <c r="AY696" s="289"/>
    </row>
    <row r="697" spans="1:51" ht="13.5" customHeight="1">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c r="AA697" s="289"/>
      <c r="AB697" s="289"/>
      <c r="AC697" s="289"/>
      <c r="AD697" s="289"/>
      <c r="AE697" s="289"/>
      <c r="AF697" s="289"/>
      <c r="AG697" s="289"/>
      <c r="AH697" s="289"/>
      <c r="AI697" s="289"/>
      <c r="AJ697" s="289"/>
      <c r="AK697" s="289"/>
      <c r="AL697" s="289"/>
      <c r="AM697" s="289"/>
      <c r="AN697" s="289"/>
      <c r="AO697" s="289"/>
      <c r="AP697" s="289"/>
      <c r="AQ697" s="289"/>
      <c r="AR697" s="289"/>
      <c r="AS697" s="289"/>
      <c r="AT697" s="289"/>
      <c r="AU697" s="289"/>
      <c r="AV697" s="289"/>
      <c r="AW697" s="289"/>
      <c r="AX697" s="289"/>
      <c r="AY697" s="289"/>
    </row>
    <row r="698" spans="1:51" ht="13.5" customHeight="1">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c r="AA698" s="289"/>
      <c r="AB698" s="289"/>
      <c r="AC698" s="289"/>
      <c r="AD698" s="289"/>
      <c r="AE698" s="289"/>
      <c r="AF698" s="289"/>
      <c r="AG698" s="289"/>
      <c r="AH698" s="289"/>
      <c r="AI698" s="289"/>
      <c r="AJ698" s="289"/>
      <c r="AK698" s="289"/>
      <c r="AL698" s="289"/>
      <c r="AM698" s="289"/>
      <c r="AN698" s="289"/>
      <c r="AO698" s="289"/>
      <c r="AP698" s="289"/>
      <c r="AQ698" s="289"/>
      <c r="AR698" s="289"/>
      <c r="AS698" s="289"/>
      <c r="AT698" s="289"/>
      <c r="AU698" s="289"/>
      <c r="AV698" s="289"/>
      <c r="AW698" s="289"/>
      <c r="AX698" s="289"/>
      <c r="AY698" s="289"/>
    </row>
    <row r="699" spans="1:51" ht="13.5" customHeight="1">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c r="AA699" s="289"/>
      <c r="AB699" s="289"/>
      <c r="AC699" s="289"/>
      <c r="AD699" s="289"/>
      <c r="AE699" s="289"/>
      <c r="AF699" s="289"/>
      <c r="AG699" s="289"/>
      <c r="AH699" s="289"/>
      <c r="AI699" s="289"/>
      <c r="AJ699" s="289"/>
      <c r="AK699" s="289"/>
      <c r="AL699" s="289"/>
      <c r="AM699" s="289"/>
      <c r="AN699" s="289"/>
      <c r="AO699" s="289"/>
      <c r="AP699" s="289"/>
      <c r="AQ699" s="289"/>
      <c r="AR699" s="289"/>
      <c r="AS699" s="289"/>
      <c r="AT699" s="289"/>
      <c r="AU699" s="289"/>
      <c r="AV699" s="289"/>
      <c r="AW699" s="289"/>
      <c r="AX699" s="289"/>
      <c r="AY699" s="289"/>
    </row>
    <row r="700" spans="1:51" ht="13.5" customHeight="1">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c r="AA700" s="289"/>
      <c r="AB700" s="289"/>
      <c r="AC700" s="289"/>
      <c r="AD700" s="289"/>
      <c r="AE700" s="289"/>
      <c r="AF700" s="289"/>
      <c r="AG700" s="289"/>
      <c r="AH700" s="289"/>
      <c r="AI700" s="289"/>
      <c r="AJ700" s="289"/>
      <c r="AK700" s="289"/>
      <c r="AL700" s="289"/>
      <c r="AM700" s="289"/>
      <c r="AN700" s="289"/>
      <c r="AO700" s="289"/>
      <c r="AP700" s="289"/>
      <c r="AQ700" s="289"/>
      <c r="AR700" s="289"/>
      <c r="AS700" s="289"/>
      <c r="AT700" s="289"/>
      <c r="AU700" s="289"/>
      <c r="AV700" s="289"/>
      <c r="AW700" s="289"/>
      <c r="AX700" s="289"/>
      <c r="AY700" s="289"/>
    </row>
    <row r="701" spans="1:51" ht="13.5" customHeight="1">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c r="AA701" s="289"/>
      <c r="AB701" s="289"/>
      <c r="AC701" s="289"/>
      <c r="AD701" s="289"/>
      <c r="AE701" s="289"/>
      <c r="AF701" s="289"/>
      <c r="AG701" s="289"/>
      <c r="AH701" s="289"/>
      <c r="AI701" s="289"/>
      <c r="AJ701" s="289"/>
      <c r="AK701" s="289"/>
      <c r="AL701" s="289"/>
      <c r="AM701" s="289"/>
      <c r="AN701" s="289"/>
      <c r="AO701" s="289"/>
      <c r="AP701" s="289"/>
      <c r="AQ701" s="289"/>
      <c r="AR701" s="289"/>
      <c r="AS701" s="289"/>
      <c r="AT701" s="289"/>
      <c r="AU701" s="289"/>
      <c r="AV701" s="289"/>
      <c r="AW701" s="289"/>
      <c r="AX701" s="289"/>
      <c r="AY701" s="289"/>
    </row>
    <row r="702" spans="1:51" ht="13.5" customHeight="1">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c r="AA702" s="289"/>
      <c r="AB702" s="289"/>
      <c r="AC702" s="289"/>
      <c r="AD702" s="289"/>
      <c r="AE702" s="289"/>
      <c r="AF702" s="289"/>
      <c r="AG702" s="289"/>
      <c r="AH702" s="289"/>
      <c r="AI702" s="289"/>
      <c r="AJ702" s="289"/>
      <c r="AK702" s="289"/>
      <c r="AL702" s="289"/>
      <c r="AM702" s="289"/>
      <c r="AN702" s="289"/>
      <c r="AO702" s="289"/>
      <c r="AP702" s="289"/>
      <c r="AQ702" s="289"/>
      <c r="AR702" s="289"/>
      <c r="AS702" s="289"/>
      <c r="AT702" s="289"/>
      <c r="AU702" s="289"/>
      <c r="AV702" s="289"/>
      <c r="AW702" s="289"/>
      <c r="AX702" s="289"/>
      <c r="AY702" s="289"/>
    </row>
    <row r="703" spans="1:51" ht="13.5" customHeight="1">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c r="AA703" s="289"/>
      <c r="AB703" s="289"/>
      <c r="AC703" s="289"/>
      <c r="AD703" s="289"/>
      <c r="AE703" s="289"/>
      <c r="AF703" s="289"/>
      <c r="AG703" s="289"/>
      <c r="AH703" s="289"/>
      <c r="AI703" s="289"/>
      <c r="AJ703" s="289"/>
      <c r="AK703" s="289"/>
      <c r="AL703" s="289"/>
      <c r="AM703" s="289"/>
      <c r="AN703" s="289"/>
      <c r="AO703" s="289"/>
      <c r="AP703" s="289"/>
      <c r="AQ703" s="289"/>
      <c r="AR703" s="289"/>
      <c r="AS703" s="289"/>
      <c r="AT703" s="289"/>
      <c r="AU703" s="289"/>
      <c r="AV703" s="289"/>
      <c r="AW703" s="289"/>
      <c r="AX703" s="289"/>
      <c r="AY703" s="289"/>
    </row>
    <row r="704" spans="1:51" ht="13.5" customHeight="1">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c r="AA704" s="289"/>
      <c r="AB704" s="289"/>
      <c r="AC704" s="289"/>
      <c r="AD704" s="289"/>
      <c r="AE704" s="289"/>
      <c r="AF704" s="289"/>
      <c r="AG704" s="289"/>
      <c r="AH704" s="289"/>
      <c r="AI704" s="289"/>
      <c r="AJ704" s="289"/>
      <c r="AK704" s="289"/>
      <c r="AL704" s="289"/>
      <c r="AM704" s="289"/>
      <c r="AN704" s="289"/>
      <c r="AO704" s="289"/>
      <c r="AP704" s="289"/>
      <c r="AQ704" s="289"/>
      <c r="AR704" s="289"/>
      <c r="AS704" s="289"/>
      <c r="AT704" s="289"/>
      <c r="AU704" s="289"/>
      <c r="AV704" s="289"/>
      <c r="AW704" s="289"/>
      <c r="AX704" s="289"/>
      <c r="AY704" s="289"/>
    </row>
    <row r="705" spans="1:51" ht="13.5" customHeight="1">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c r="AA705" s="289"/>
      <c r="AB705" s="289"/>
      <c r="AC705" s="289"/>
      <c r="AD705" s="289"/>
      <c r="AE705" s="289"/>
      <c r="AF705" s="289"/>
      <c r="AG705" s="289"/>
      <c r="AH705" s="289"/>
      <c r="AI705" s="289"/>
      <c r="AJ705" s="289"/>
      <c r="AK705" s="289"/>
      <c r="AL705" s="289"/>
      <c r="AM705" s="289"/>
      <c r="AN705" s="289"/>
      <c r="AO705" s="289"/>
      <c r="AP705" s="289"/>
      <c r="AQ705" s="289"/>
      <c r="AR705" s="289"/>
      <c r="AS705" s="289"/>
      <c r="AT705" s="289"/>
      <c r="AU705" s="289"/>
      <c r="AV705" s="289"/>
      <c r="AW705" s="289"/>
      <c r="AX705" s="289"/>
      <c r="AY705" s="289"/>
    </row>
    <row r="706" spans="1:51" ht="13.5" customHeight="1">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c r="AA706" s="289"/>
      <c r="AB706" s="289"/>
      <c r="AC706" s="289"/>
      <c r="AD706" s="289"/>
      <c r="AE706" s="289"/>
      <c r="AF706" s="289"/>
      <c r="AG706" s="289"/>
      <c r="AH706" s="289"/>
      <c r="AI706" s="289"/>
      <c r="AJ706" s="289"/>
      <c r="AK706" s="289"/>
      <c r="AL706" s="289"/>
      <c r="AM706" s="289"/>
      <c r="AN706" s="289"/>
      <c r="AO706" s="289"/>
      <c r="AP706" s="289"/>
      <c r="AQ706" s="289"/>
      <c r="AR706" s="289"/>
      <c r="AS706" s="289"/>
      <c r="AT706" s="289"/>
      <c r="AU706" s="289"/>
      <c r="AV706" s="289"/>
      <c r="AW706" s="289"/>
      <c r="AX706" s="289"/>
      <c r="AY706" s="289"/>
    </row>
    <row r="707" spans="1:51" ht="13.5" customHeight="1">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c r="AA707" s="289"/>
      <c r="AB707" s="289"/>
      <c r="AC707" s="289"/>
      <c r="AD707" s="289"/>
      <c r="AE707" s="289"/>
      <c r="AF707" s="289"/>
      <c r="AG707" s="289"/>
      <c r="AH707" s="289"/>
      <c r="AI707" s="289"/>
      <c r="AJ707" s="289"/>
      <c r="AK707" s="289"/>
      <c r="AL707" s="289"/>
      <c r="AM707" s="289"/>
      <c r="AN707" s="289"/>
      <c r="AO707" s="289"/>
      <c r="AP707" s="289"/>
      <c r="AQ707" s="289"/>
      <c r="AR707" s="289"/>
      <c r="AS707" s="289"/>
      <c r="AT707" s="289"/>
      <c r="AU707" s="289"/>
      <c r="AV707" s="289"/>
      <c r="AW707" s="289"/>
      <c r="AX707" s="289"/>
      <c r="AY707" s="289"/>
    </row>
    <row r="708" spans="1:51" ht="13.5" customHeight="1">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c r="AA708" s="289"/>
      <c r="AB708" s="289"/>
      <c r="AC708" s="289"/>
      <c r="AD708" s="289"/>
      <c r="AE708" s="289"/>
      <c r="AF708" s="289"/>
      <c r="AG708" s="289"/>
      <c r="AH708" s="289"/>
      <c r="AI708" s="289"/>
      <c r="AJ708" s="289"/>
      <c r="AK708" s="289"/>
      <c r="AL708" s="289"/>
      <c r="AM708" s="289"/>
      <c r="AN708" s="289"/>
      <c r="AO708" s="289"/>
      <c r="AP708" s="289"/>
      <c r="AQ708" s="289"/>
      <c r="AR708" s="289"/>
      <c r="AS708" s="289"/>
      <c r="AT708" s="289"/>
      <c r="AU708" s="289"/>
      <c r="AV708" s="289"/>
      <c r="AW708" s="289"/>
      <c r="AX708" s="289"/>
      <c r="AY708" s="289"/>
    </row>
    <row r="709" spans="1:51" ht="13.5" customHeight="1">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c r="AA709" s="289"/>
      <c r="AB709" s="289"/>
      <c r="AC709" s="289"/>
      <c r="AD709" s="289"/>
      <c r="AE709" s="289"/>
      <c r="AF709" s="289"/>
      <c r="AG709" s="289"/>
      <c r="AH709" s="289"/>
      <c r="AI709" s="289"/>
      <c r="AJ709" s="289"/>
      <c r="AK709" s="289"/>
      <c r="AL709" s="289"/>
      <c r="AM709" s="289"/>
      <c r="AN709" s="289"/>
      <c r="AO709" s="289"/>
      <c r="AP709" s="289"/>
      <c r="AQ709" s="289"/>
      <c r="AR709" s="289"/>
      <c r="AS709" s="289"/>
      <c r="AT709" s="289"/>
      <c r="AU709" s="289"/>
      <c r="AV709" s="289"/>
      <c r="AW709" s="289"/>
      <c r="AX709" s="289"/>
      <c r="AY709" s="289"/>
    </row>
    <row r="710" spans="1:51" ht="13.5" customHeight="1">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c r="AA710" s="289"/>
      <c r="AB710" s="289"/>
      <c r="AC710" s="289"/>
      <c r="AD710" s="289"/>
      <c r="AE710" s="289"/>
      <c r="AF710" s="289"/>
      <c r="AG710" s="289"/>
      <c r="AH710" s="289"/>
      <c r="AI710" s="289"/>
      <c r="AJ710" s="289"/>
      <c r="AK710" s="289"/>
      <c r="AL710" s="289"/>
      <c r="AM710" s="289"/>
      <c r="AN710" s="289"/>
      <c r="AO710" s="289"/>
      <c r="AP710" s="289"/>
      <c r="AQ710" s="289"/>
      <c r="AR710" s="289"/>
      <c r="AS710" s="289"/>
      <c r="AT710" s="289"/>
      <c r="AU710" s="289"/>
      <c r="AV710" s="289"/>
      <c r="AW710" s="289"/>
      <c r="AX710" s="289"/>
      <c r="AY710" s="289"/>
    </row>
    <row r="711" spans="1:51" ht="13.5" customHeight="1">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c r="AA711" s="289"/>
      <c r="AB711" s="289"/>
      <c r="AC711" s="289"/>
      <c r="AD711" s="289"/>
      <c r="AE711" s="289"/>
      <c r="AF711" s="289"/>
      <c r="AG711" s="289"/>
      <c r="AH711" s="289"/>
      <c r="AI711" s="289"/>
      <c r="AJ711" s="289"/>
      <c r="AK711" s="289"/>
      <c r="AL711" s="289"/>
      <c r="AM711" s="289"/>
      <c r="AN711" s="289"/>
      <c r="AO711" s="289"/>
      <c r="AP711" s="289"/>
      <c r="AQ711" s="289"/>
      <c r="AR711" s="289"/>
      <c r="AS711" s="289"/>
      <c r="AT711" s="289"/>
      <c r="AU711" s="289"/>
      <c r="AV711" s="289"/>
      <c r="AW711" s="289"/>
      <c r="AX711" s="289"/>
      <c r="AY711" s="289"/>
    </row>
    <row r="712" spans="1:51" ht="13.5" customHeight="1">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c r="AA712" s="289"/>
      <c r="AB712" s="289"/>
      <c r="AC712" s="289"/>
      <c r="AD712" s="289"/>
      <c r="AE712" s="289"/>
      <c r="AF712" s="289"/>
      <c r="AG712" s="289"/>
      <c r="AH712" s="289"/>
      <c r="AI712" s="289"/>
      <c r="AJ712" s="289"/>
      <c r="AK712" s="289"/>
      <c r="AL712" s="289"/>
      <c r="AM712" s="289"/>
      <c r="AN712" s="289"/>
      <c r="AO712" s="289"/>
      <c r="AP712" s="289"/>
      <c r="AQ712" s="289"/>
      <c r="AR712" s="289"/>
      <c r="AS712" s="289"/>
      <c r="AT712" s="289"/>
      <c r="AU712" s="289"/>
      <c r="AV712" s="289"/>
      <c r="AW712" s="289"/>
      <c r="AX712" s="289"/>
      <c r="AY712" s="289"/>
    </row>
    <row r="713" spans="1:51" ht="13.5" customHeight="1">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c r="AA713" s="289"/>
      <c r="AB713" s="289"/>
      <c r="AC713" s="289"/>
      <c r="AD713" s="289"/>
      <c r="AE713" s="289"/>
      <c r="AF713" s="289"/>
      <c r="AG713" s="289"/>
      <c r="AH713" s="289"/>
      <c r="AI713" s="289"/>
      <c r="AJ713" s="289"/>
      <c r="AK713" s="289"/>
      <c r="AL713" s="289"/>
      <c r="AM713" s="289"/>
      <c r="AN713" s="289"/>
      <c r="AO713" s="289"/>
      <c r="AP713" s="289"/>
      <c r="AQ713" s="289"/>
      <c r="AR713" s="289"/>
      <c r="AS713" s="289"/>
      <c r="AT713" s="289"/>
      <c r="AU713" s="289"/>
      <c r="AV713" s="289"/>
      <c r="AW713" s="289"/>
      <c r="AX713" s="289"/>
      <c r="AY713" s="289"/>
    </row>
    <row r="714" spans="1:51" ht="13.5" customHeight="1">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c r="AA714" s="289"/>
      <c r="AB714" s="289"/>
      <c r="AC714" s="289"/>
      <c r="AD714" s="289"/>
      <c r="AE714" s="289"/>
      <c r="AF714" s="289"/>
      <c r="AG714" s="289"/>
      <c r="AH714" s="289"/>
      <c r="AI714" s="289"/>
      <c r="AJ714" s="289"/>
      <c r="AK714" s="289"/>
      <c r="AL714" s="289"/>
      <c r="AM714" s="289"/>
      <c r="AN714" s="289"/>
      <c r="AO714" s="289"/>
      <c r="AP714" s="289"/>
      <c r="AQ714" s="289"/>
      <c r="AR714" s="289"/>
      <c r="AS714" s="289"/>
      <c r="AT714" s="289"/>
      <c r="AU714" s="289"/>
      <c r="AV714" s="289"/>
      <c r="AW714" s="289"/>
      <c r="AX714" s="289"/>
      <c r="AY714" s="289"/>
    </row>
    <row r="715" spans="1:51" ht="13.5" customHeight="1">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c r="AA715" s="289"/>
      <c r="AB715" s="289"/>
      <c r="AC715" s="289"/>
      <c r="AD715" s="289"/>
      <c r="AE715" s="289"/>
      <c r="AF715" s="289"/>
      <c r="AG715" s="289"/>
      <c r="AH715" s="289"/>
      <c r="AI715" s="289"/>
      <c r="AJ715" s="289"/>
      <c r="AK715" s="289"/>
      <c r="AL715" s="289"/>
      <c r="AM715" s="289"/>
      <c r="AN715" s="289"/>
      <c r="AO715" s="289"/>
      <c r="AP715" s="289"/>
      <c r="AQ715" s="289"/>
      <c r="AR715" s="289"/>
      <c r="AS715" s="289"/>
      <c r="AT715" s="289"/>
      <c r="AU715" s="289"/>
      <c r="AV715" s="289"/>
      <c r="AW715" s="289"/>
      <c r="AX715" s="289"/>
      <c r="AY715" s="289"/>
    </row>
    <row r="716" spans="1:51" ht="13.5" customHeight="1">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c r="AA716" s="289"/>
      <c r="AB716" s="289"/>
      <c r="AC716" s="289"/>
      <c r="AD716" s="289"/>
      <c r="AE716" s="289"/>
      <c r="AF716" s="289"/>
      <c r="AG716" s="289"/>
      <c r="AH716" s="289"/>
      <c r="AI716" s="289"/>
      <c r="AJ716" s="289"/>
      <c r="AK716" s="289"/>
      <c r="AL716" s="289"/>
      <c r="AM716" s="289"/>
      <c r="AN716" s="289"/>
      <c r="AO716" s="289"/>
      <c r="AP716" s="289"/>
      <c r="AQ716" s="289"/>
      <c r="AR716" s="289"/>
      <c r="AS716" s="289"/>
      <c r="AT716" s="289"/>
      <c r="AU716" s="289"/>
      <c r="AV716" s="289"/>
      <c r="AW716" s="289"/>
      <c r="AX716" s="289"/>
      <c r="AY716" s="289"/>
    </row>
    <row r="717" spans="1:51" ht="13.5" customHeight="1">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c r="AA717" s="289"/>
      <c r="AB717" s="289"/>
      <c r="AC717" s="289"/>
      <c r="AD717" s="289"/>
      <c r="AE717" s="289"/>
      <c r="AF717" s="289"/>
      <c r="AG717" s="289"/>
      <c r="AH717" s="289"/>
      <c r="AI717" s="289"/>
      <c r="AJ717" s="289"/>
      <c r="AK717" s="289"/>
      <c r="AL717" s="289"/>
      <c r="AM717" s="289"/>
      <c r="AN717" s="289"/>
      <c r="AO717" s="289"/>
      <c r="AP717" s="289"/>
      <c r="AQ717" s="289"/>
      <c r="AR717" s="289"/>
      <c r="AS717" s="289"/>
      <c r="AT717" s="289"/>
      <c r="AU717" s="289"/>
      <c r="AV717" s="289"/>
      <c r="AW717" s="289"/>
      <c r="AX717" s="289"/>
      <c r="AY717" s="289"/>
    </row>
    <row r="718" spans="1:51" ht="13.5" customHeight="1">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c r="AA718" s="289"/>
      <c r="AB718" s="289"/>
      <c r="AC718" s="289"/>
      <c r="AD718" s="289"/>
      <c r="AE718" s="289"/>
      <c r="AF718" s="289"/>
      <c r="AG718" s="289"/>
      <c r="AH718" s="289"/>
      <c r="AI718" s="289"/>
      <c r="AJ718" s="289"/>
      <c r="AK718" s="289"/>
      <c r="AL718" s="289"/>
      <c r="AM718" s="289"/>
      <c r="AN718" s="289"/>
      <c r="AO718" s="289"/>
      <c r="AP718" s="289"/>
      <c r="AQ718" s="289"/>
      <c r="AR718" s="289"/>
      <c r="AS718" s="289"/>
      <c r="AT718" s="289"/>
      <c r="AU718" s="289"/>
      <c r="AV718" s="289"/>
      <c r="AW718" s="289"/>
      <c r="AX718" s="289"/>
      <c r="AY718" s="289"/>
    </row>
    <row r="719" spans="1:51" ht="13.5" customHeight="1">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c r="AA719" s="289"/>
      <c r="AB719" s="289"/>
      <c r="AC719" s="289"/>
      <c r="AD719" s="289"/>
      <c r="AE719" s="289"/>
      <c r="AF719" s="289"/>
      <c r="AG719" s="289"/>
      <c r="AH719" s="289"/>
      <c r="AI719" s="289"/>
      <c r="AJ719" s="289"/>
      <c r="AK719" s="289"/>
      <c r="AL719" s="289"/>
      <c r="AM719" s="289"/>
      <c r="AN719" s="289"/>
      <c r="AO719" s="289"/>
      <c r="AP719" s="289"/>
      <c r="AQ719" s="289"/>
      <c r="AR719" s="289"/>
      <c r="AS719" s="289"/>
      <c r="AT719" s="289"/>
      <c r="AU719" s="289"/>
      <c r="AV719" s="289"/>
      <c r="AW719" s="289"/>
      <c r="AX719" s="289"/>
      <c r="AY719" s="289"/>
    </row>
    <row r="720" spans="1:51" ht="13.5" customHeight="1">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c r="AA720" s="289"/>
      <c r="AB720" s="289"/>
      <c r="AC720" s="289"/>
      <c r="AD720" s="289"/>
      <c r="AE720" s="289"/>
      <c r="AF720" s="289"/>
      <c r="AG720" s="289"/>
      <c r="AH720" s="289"/>
      <c r="AI720" s="289"/>
      <c r="AJ720" s="289"/>
      <c r="AK720" s="289"/>
      <c r="AL720" s="289"/>
      <c r="AM720" s="289"/>
      <c r="AN720" s="289"/>
      <c r="AO720" s="289"/>
      <c r="AP720" s="289"/>
      <c r="AQ720" s="289"/>
      <c r="AR720" s="289"/>
      <c r="AS720" s="289"/>
      <c r="AT720" s="289"/>
      <c r="AU720" s="289"/>
      <c r="AV720" s="289"/>
      <c r="AW720" s="289"/>
      <c r="AX720" s="289"/>
      <c r="AY720" s="289"/>
    </row>
    <row r="721" spans="1:51" ht="13.5" customHeight="1">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c r="AA721" s="289"/>
      <c r="AB721" s="289"/>
      <c r="AC721" s="289"/>
      <c r="AD721" s="289"/>
      <c r="AE721" s="289"/>
      <c r="AF721" s="289"/>
      <c r="AG721" s="289"/>
      <c r="AH721" s="289"/>
      <c r="AI721" s="289"/>
      <c r="AJ721" s="289"/>
      <c r="AK721" s="289"/>
      <c r="AL721" s="289"/>
      <c r="AM721" s="289"/>
      <c r="AN721" s="289"/>
      <c r="AO721" s="289"/>
      <c r="AP721" s="289"/>
      <c r="AQ721" s="289"/>
      <c r="AR721" s="289"/>
      <c r="AS721" s="289"/>
      <c r="AT721" s="289"/>
      <c r="AU721" s="289"/>
      <c r="AV721" s="289"/>
      <c r="AW721" s="289"/>
      <c r="AX721" s="289"/>
      <c r="AY721" s="289"/>
    </row>
    <row r="722" spans="1:51" ht="13.5" customHeight="1">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c r="AA722" s="289"/>
      <c r="AB722" s="289"/>
      <c r="AC722" s="289"/>
      <c r="AD722" s="289"/>
      <c r="AE722" s="289"/>
      <c r="AF722" s="289"/>
      <c r="AG722" s="289"/>
      <c r="AH722" s="289"/>
      <c r="AI722" s="289"/>
      <c r="AJ722" s="289"/>
      <c r="AK722" s="289"/>
      <c r="AL722" s="289"/>
      <c r="AM722" s="289"/>
      <c r="AN722" s="289"/>
      <c r="AO722" s="289"/>
      <c r="AP722" s="289"/>
      <c r="AQ722" s="289"/>
      <c r="AR722" s="289"/>
      <c r="AS722" s="289"/>
      <c r="AT722" s="289"/>
      <c r="AU722" s="289"/>
      <c r="AV722" s="289"/>
      <c r="AW722" s="289"/>
      <c r="AX722" s="289"/>
      <c r="AY722" s="289"/>
    </row>
    <row r="723" spans="1:51" ht="13.5" customHeight="1">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c r="AA723" s="289"/>
      <c r="AB723" s="289"/>
      <c r="AC723" s="289"/>
      <c r="AD723" s="289"/>
      <c r="AE723" s="289"/>
      <c r="AF723" s="289"/>
      <c r="AG723" s="289"/>
      <c r="AH723" s="289"/>
      <c r="AI723" s="289"/>
      <c r="AJ723" s="289"/>
      <c r="AK723" s="289"/>
      <c r="AL723" s="289"/>
      <c r="AM723" s="289"/>
      <c r="AN723" s="289"/>
      <c r="AO723" s="289"/>
      <c r="AP723" s="289"/>
      <c r="AQ723" s="289"/>
      <c r="AR723" s="289"/>
      <c r="AS723" s="289"/>
      <c r="AT723" s="289"/>
      <c r="AU723" s="289"/>
      <c r="AV723" s="289"/>
      <c r="AW723" s="289"/>
      <c r="AX723" s="289"/>
      <c r="AY723" s="289"/>
    </row>
    <row r="724" spans="1:51" ht="13.5" customHeight="1">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c r="AA724" s="289"/>
      <c r="AB724" s="289"/>
      <c r="AC724" s="289"/>
      <c r="AD724" s="289"/>
      <c r="AE724" s="289"/>
      <c r="AF724" s="289"/>
      <c r="AG724" s="289"/>
      <c r="AH724" s="289"/>
      <c r="AI724" s="289"/>
      <c r="AJ724" s="289"/>
      <c r="AK724" s="289"/>
      <c r="AL724" s="289"/>
      <c r="AM724" s="289"/>
      <c r="AN724" s="289"/>
      <c r="AO724" s="289"/>
      <c r="AP724" s="289"/>
      <c r="AQ724" s="289"/>
      <c r="AR724" s="289"/>
      <c r="AS724" s="289"/>
      <c r="AT724" s="289"/>
      <c r="AU724" s="289"/>
      <c r="AV724" s="289"/>
      <c r="AW724" s="289"/>
      <c r="AX724" s="289"/>
      <c r="AY724" s="289"/>
    </row>
    <row r="725" spans="1:51" ht="13.5" customHeight="1">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c r="AA725" s="289"/>
      <c r="AB725" s="289"/>
      <c r="AC725" s="289"/>
      <c r="AD725" s="289"/>
      <c r="AE725" s="289"/>
      <c r="AF725" s="289"/>
      <c r="AG725" s="289"/>
      <c r="AH725" s="289"/>
      <c r="AI725" s="289"/>
      <c r="AJ725" s="289"/>
      <c r="AK725" s="289"/>
      <c r="AL725" s="289"/>
      <c r="AM725" s="289"/>
      <c r="AN725" s="289"/>
      <c r="AO725" s="289"/>
      <c r="AP725" s="289"/>
      <c r="AQ725" s="289"/>
      <c r="AR725" s="289"/>
      <c r="AS725" s="289"/>
      <c r="AT725" s="289"/>
      <c r="AU725" s="289"/>
      <c r="AV725" s="289"/>
      <c r="AW725" s="289"/>
      <c r="AX725" s="289"/>
      <c r="AY725" s="289"/>
    </row>
    <row r="726" spans="1:51" ht="13.5" customHeight="1">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c r="AA726" s="289"/>
      <c r="AB726" s="289"/>
      <c r="AC726" s="289"/>
      <c r="AD726" s="289"/>
      <c r="AE726" s="289"/>
      <c r="AF726" s="289"/>
      <c r="AG726" s="289"/>
      <c r="AH726" s="289"/>
      <c r="AI726" s="289"/>
      <c r="AJ726" s="289"/>
      <c r="AK726" s="289"/>
      <c r="AL726" s="289"/>
      <c r="AM726" s="289"/>
      <c r="AN726" s="289"/>
      <c r="AO726" s="289"/>
      <c r="AP726" s="289"/>
      <c r="AQ726" s="289"/>
      <c r="AR726" s="289"/>
      <c r="AS726" s="289"/>
      <c r="AT726" s="289"/>
      <c r="AU726" s="289"/>
      <c r="AV726" s="289"/>
      <c r="AW726" s="289"/>
      <c r="AX726" s="289"/>
      <c r="AY726" s="289"/>
    </row>
    <row r="727" spans="1:51" ht="13.5" customHeight="1">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c r="AA727" s="289"/>
      <c r="AB727" s="289"/>
      <c r="AC727" s="289"/>
      <c r="AD727" s="289"/>
      <c r="AE727" s="289"/>
      <c r="AF727" s="289"/>
      <c r="AG727" s="289"/>
      <c r="AH727" s="289"/>
      <c r="AI727" s="289"/>
      <c r="AJ727" s="289"/>
      <c r="AK727" s="289"/>
      <c r="AL727" s="289"/>
      <c r="AM727" s="289"/>
      <c r="AN727" s="289"/>
      <c r="AO727" s="289"/>
      <c r="AP727" s="289"/>
      <c r="AQ727" s="289"/>
      <c r="AR727" s="289"/>
      <c r="AS727" s="289"/>
      <c r="AT727" s="289"/>
      <c r="AU727" s="289"/>
      <c r="AV727" s="289"/>
      <c r="AW727" s="289"/>
      <c r="AX727" s="289"/>
      <c r="AY727" s="289"/>
    </row>
    <row r="728" spans="1:51" ht="13.5" customHeight="1">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c r="AA728" s="289"/>
      <c r="AB728" s="289"/>
      <c r="AC728" s="289"/>
      <c r="AD728" s="289"/>
      <c r="AE728" s="289"/>
      <c r="AF728" s="289"/>
      <c r="AG728" s="289"/>
      <c r="AH728" s="289"/>
      <c r="AI728" s="289"/>
      <c r="AJ728" s="289"/>
      <c r="AK728" s="289"/>
      <c r="AL728" s="289"/>
      <c r="AM728" s="289"/>
      <c r="AN728" s="289"/>
      <c r="AO728" s="289"/>
      <c r="AP728" s="289"/>
      <c r="AQ728" s="289"/>
      <c r="AR728" s="289"/>
      <c r="AS728" s="289"/>
      <c r="AT728" s="289"/>
      <c r="AU728" s="289"/>
      <c r="AV728" s="289"/>
      <c r="AW728" s="289"/>
      <c r="AX728" s="289"/>
      <c r="AY728" s="289"/>
    </row>
    <row r="729" spans="1:51" ht="13.5" customHeight="1">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c r="AA729" s="289"/>
      <c r="AB729" s="289"/>
      <c r="AC729" s="289"/>
      <c r="AD729" s="289"/>
      <c r="AE729" s="289"/>
      <c r="AF729" s="289"/>
      <c r="AG729" s="289"/>
      <c r="AH729" s="289"/>
      <c r="AI729" s="289"/>
      <c r="AJ729" s="289"/>
      <c r="AK729" s="289"/>
      <c r="AL729" s="289"/>
      <c r="AM729" s="289"/>
      <c r="AN729" s="289"/>
      <c r="AO729" s="289"/>
      <c r="AP729" s="289"/>
      <c r="AQ729" s="289"/>
      <c r="AR729" s="289"/>
      <c r="AS729" s="289"/>
      <c r="AT729" s="289"/>
      <c r="AU729" s="289"/>
      <c r="AV729" s="289"/>
      <c r="AW729" s="289"/>
      <c r="AX729" s="289"/>
      <c r="AY729" s="289"/>
    </row>
    <row r="730" spans="1:51" ht="13.5" customHeight="1">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c r="AA730" s="289"/>
      <c r="AB730" s="289"/>
      <c r="AC730" s="289"/>
      <c r="AD730" s="289"/>
      <c r="AE730" s="289"/>
      <c r="AF730" s="289"/>
      <c r="AG730" s="289"/>
      <c r="AH730" s="289"/>
      <c r="AI730" s="289"/>
      <c r="AJ730" s="289"/>
      <c r="AK730" s="289"/>
      <c r="AL730" s="289"/>
      <c r="AM730" s="289"/>
      <c r="AN730" s="289"/>
      <c r="AO730" s="289"/>
      <c r="AP730" s="289"/>
      <c r="AQ730" s="289"/>
      <c r="AR730" s="289"/>
      <c r="AS730" s="289"/>
      <c r="AT730" s="289"/>
      <c r="AU730" s="289"/>
      <c r="AV730" s="289"/>
      <c r="AW730" s="289"/>
      <c r="AX730" s="289"/>
      <c r="AY730" s="289"/>
    </row>
    <row r="731" spans="1:51" ht="13.5" customHeight="1">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c r="AA731" s="289"/>
      <c r="AB731" s="289"/>
      <c r="AC731" s="289"/>
      <c r="AD731" s="289"/>
      <c r="AE731" s="289"/>
      <c r="AF731" s="289"/>
      <c r="AG731" s="289"/>
      <c r="AH731" s="289"/>
      <c r="AI731" s="289"/>
      <c r="AJ731" s="289"/>
      <c r="AK731" s="289"/>
      <c r="AL731" s="289"/>
      <c r="AM731" s="289"/>
      <c r="AN731" s="289"/>
      <c r="AO731" s="289"/>
      <c r="AP731" s="289"/>
      <c r="AQ731" s="289"/>
      <c r="AR731" s="289"/>
      <c r="AS731" s="289"/>
      <c r="AT731" s="289"/>
      <c r="AU731" s="289"/>
      <c r="AV731" s="289"/>
      <c r="AW731" s="289"/>
      <c r="AX731" s="289"/>
      <c r="AY731" s="289"/>
    </row>
    <row r="732" spans="1:51" ht="13.5" customHeight="1">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c r="AA732" s="289"/>
      <c r="AB732" s="289"/>
      <c r="AC732" s="289"/>
      <c r="AD732" s="289"/>
      <c r="AE732" s="289"/>
      <c r="AF732" s="289"/>
      <c r="AG732" s="289"/>
      <c r="AH732" s="289"/>
      <c r="AI732" s="289"/>
      <c r="AJ732" s="289"/>
      <c r="AK732" s="289"/>
      <c r="AL732" s="289"/>
      <c r="AM732" s="289"/>
      <c r="AN732" s="289"/>
      <c r="AO732" s="289"/>
      <c r="AP732" s="289"/>
      <c r="AQ732" s="289"/>
      <c r="AR732" s="289"/>
      <c r="AS732" s="289"/>
      <c r="AT732" s="289"/>
      <c r="AU732" s="289"/>
      <c r="AV732" s="289"/>
      <c r="AW732" s="289"/>
      <c r="AX732" s="289"/>
      <c r="AY732" s="289"/>
    </row>
    <row r="733" spans="1:51" ht="13.5" customHeight="1">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c r="AA733" s="289"/>
      <c r="AB733" s="289"/>
      <c r="AC733" s="289"/>
      <c r="AD733" s="289"/>
      <c r="AE733" s="289"/>
      <c r="AF733" s="289"/>
      <c r="AG733" s="289"/>
      <c r="AH733" s="289"/>
      <c r="AI733" s="289"/>
      <c r="AJ733" s="289"/>
      <c r="AK733" s="289"/>
      <c r="AL733" s="289"/>
      <c r="AM733" s="289"/>
      <c r="AN733" s="289"/>
      <c r="AO733" s="289"/>
      <c r="AP733" s="289"/>
      <c r="AQ733" s="289"/>
      <c r="AR733" s="289"/>
      <c r="AS733" s="289"/>
      <c r="AT733" s="289"/>
      <c r="AU733" s="289"/>
      <c r="AV733" s="289"/>
      <c r="AW733" s="289"/>
      <c r="AX733" s="289"/>
      <c r="AY733" s="289"/>
    </row>
    <row r="734" spans="1:51" ht="13.5" customHeight="1">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c r="AA734" s="289"/>
      <c r="AB734" s="289"/>
      <c r="AC734" s="289"/>
      <c r="AD734" s="289"/>
      <c r="AE734" s="289"/>
      <c r="AF734" s="289"/>
      <c r="AG734" s="289"/>
      <c r="AH734" s="289"/>
      <c r="AI734" s="289"/>
      <c r="AJ734" s="289"/>
      <c r="AK734" s="289"/>
      <c r="AL734" s="289"/>
      <c r="AM734" s="289"/>
      <c r="AN734" s="289"/>
      <c r="AO734" s="289"/>
      <c r="AP734" s="289"/>
      <c r="AQ734" s="289"/>
      <c r="AR734" s="289"/>
      <c r="AS734" s="289"/>
      <c r="AT734" s="289"/>
      <c r="AU734" s="289"/>
      <c r="AV734" s="289"/>
      <c r="AW734" s="289"/>
      <c r="AX734" s="289"/>
      <c r="AY734" s="289"/>
    </row>
    <row r="735" spans="1:51" ht="13.5" customHeight="1">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c r="AA735" s="289"/>
      <c r="AB735" s="289"/>
      <c r="AC735" s="289"/>
      <c r="AD735" s="289"/>
      <c r="AE735" s="289"/>
      <c r="AF735" s="289"/>
      <c r="AG735" s="289"/>
      <c r="AH735" s="289"/>
      <c r="AI735" s="289"/>
      <c r="AJ735" s="289"/>
      <c r="AK735" s="289"/>
      <c r="AL735" s="289"/>
      <c r="AM735" s="289"/>
      <c r="AN735" s="289"/>
      <c r="AO735" s="289"/>
      <c r="AP735" s="289"/>
      <c r="AQ735" s="289"/>
      <c r="AR735" s="289"/>
      <c r="AS735" s="289"/>
      <c r="AT735" s="289"/>
      <c r="AU735" s="289"/>
      <c r="AV735" s="289"/>
      <c r="AW735" s="289"/>
      <c r="AX735" s="289"/>
      <c r="AY735" s="289"/>
    </row>
    <row r="736" spans="1:51" ht="13.5" customHeight="1">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c r="AA736" s="289"/>
      <c r="AB736" s="289"/>
      <c r="AC736" s="289"/>
      <c r="AD736" s="289"/>
      <c r="AE736" s="289"/>
      <c r="AF736" s="289"/>
      <c r="AG736" s="289"/>
      <c r="AH736" s="289"/>
      <c r="AI736" s="289"/>
      <c r="AJ736" s="289"/>
      <c r="AK736" s="289"/>
      <c r="AL736" s="289"/>
      <c r="AM736" s="289"/>
      <c r="AN736" s="289"/>
      <c r="AO736" s="289"/>
      <c r="AP736" s="289"/>
      <c r="AQ736" s="289"/>
      <c r="AR736" s="289"/>
      <c r="AS736" s="289"/>
      <c r="AT736" s="289"/>
      <c r="AU736" s="289"/>
      <c r="AV736" s="289"/>
      <c r="AW736" s="289"/>
      <c r="AX736" s="289"/>
      <c r="AY736" s="289"/>
    </row>
    <row r="737" spans="1:51" ht="13.5" customHeight="1">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c r="AA737" s="289"/>
      <c r="AB737" s="289"/>
      <c r="AC737" s="289"/>
      <c r="AD737" s="289"/>
      <c r="AE737" s="289"/>
      <c r="AF737" s="289"/>
      <c r="AG737" s="289"/>
      <c r="AH737" s="289"/>
      <c r="AI737" s="289"/>
      <c r="AJ737" s="289"/>
      <c r="AK737" s="289"/>
      <c r="AL737" s="289"/>
      <c r="AM737" s="289"/>
      <c r="AN737" s="289"/>
      <c r="AO737" s="289"/>
      <c r="AP737" s="289"/>
      <c r="AQ737" s="289"/>
      <c r="AR737" s="289"/>
      <c r="AS737" s="289"/>
      <c r="AT737" s="289"/>
      <c r="AU737" s="289"/>
      <c r="AV737" s="289"/>
      <c r="AW737" s="289"/>
      <c r="AX737" s="289"/>
      <c r="AY737" s="289"/>
    </row>
    <row r="738" spans="1:51" ht="13.5" customHeight="1">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c r="AA738" s="289"/>
      <c r="AB738" s="289"/>
      <c r="AC738" s="289"/>
      <c r="AD738" s="289"/>
      <c r="AE738" s="289"/>
      <c r="AF738" s="289"/>
      <c r="AG738" s="289"/>
      <c r="AH738" s="289"/>
      <c r="AI738" s="289"/>
      <c r="AJ738" s="289"/>
      <c r="AK738" s="289"/>
      <c r="AL738" s="289"/>
      <c r="AM738" s="289"/>
      <c r="AN738" s="289"/>
      <c r="AO738" s="289"/>
      <c r="AP738" s="289"/>
      <c r="AQ738" s="289"/>
      <c r="AR738" s="289"/>
      <c r="AS738" s="289"/>
      <c r="AT738" s="289"/>
      <c r="AU738" s="289"/>
      <c r="AV738" s="289"/>
      <c r="AW738" s="289"/>
      <c r="AX738" s="289"/>
      <c r="AY738" s="289"/>
    </row>
    <row r="739" spans="1:51" ht="13.5" customHeight="1">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c r="AA739" s="289"/>
      <c r="AB739" s="289"/>
      <c r="AC739" s="289"/>
      <c r="AD739" s="289"/>
      <c r="AE739" s="289"/>
      <c r="AF739" s="289"/>
      <c r="AG739" s="289"/>
      <c r="AH739" s="289"/>
      <c r="AI739" s="289"/>
      <c r="AJ739" s="289"/>
      <c r="AK739" s="289"/>
      <c r="AL739" s="289"/>
      <c r="AM739" s="289"/>
      <c r="AN739" s="289"/>
      <c r="AO739" s="289"/>
      <c r="AP739" s="289"/>
      <c r="AQ739" s="289"/>
      <c r="AR739" s="289"/>
      <c r="AS739" s="289"/>
      <c r="AT739" s="289"/>
      <c r="AU739" s="289"/>
      <c r="AV739" s="289"/>
      <c r="AW739" s="289"/>
      <c r="AX739" s="289"/>
      <c r="AY739" s="289"/>
    </row>
    <row r="740" spans="1:51" ht="13.5" customHeight="1">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c r="AA740" s="289"/>
      <c r="AB740" s="289"/>
      <c r="AC740" s="289"/>
      <c r="AD740" s="289"/>
      <c r="AE740" s="289"/>
      <c r="AF740" s="289"/>
      <c r="AG740" s="289"/>
      <c r="AH740" s="289"/>
      <c r="AI740" s="289"/>
      <c r="AJ740" s="289"/>
      <c r="AK740" s="289"/>
      <c r="AL740" s="289"/>
      <c r="AM740" s="289"/>
      <c r="AN740" s="289"/>
      <c r="AO740" s="289"/>
      <c r="AP740" s="289"/>
      <c r="AQ740" s="289"/>
      <c r="AR740" s="289"/>
      <c r="AS740" s="289"/>
      <c r="AT740" s="289"/>
      <c r="AU740" s="289"/>
      <c r="AV740" s="289"/>
      <c r="AW740" s="289"/>
      <c r="AX740" s="289"/>
      <c r="AY740" s="289"/>
    </row>
    <row r="741" spans="1:51" ht="13.5" customHeight="1">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c r="AA741" s="289"/>
      <c r="AB741" s="289"/>
      <c r="AC741" s="289"/>
      <c r="AD741" s="289"/>
      <c r="AE741" s="289"/>
      <c r="AF741" s="289"/>
      <c r="AG741" s="289"/>
      <c r="AH741" s="289"/>
      <c r="AI741" s="289"/>
      <c r="AJ741" s="289"/>
      <c r="AK741" s="289"/>
      <c r="AL741" s="289"/>
      <c r="AM741" s="289"/>
      <c r="AN741" s="289"/>
      <c r="AO741" s="289"/>
      <c r="AP741" s="289"/>
      <c r="AQ741" s="289"/>
      <c r="AR741" s="289"/>
      <c r="AS741" s="289"/>
      <c r="AT741" s="289"/>
      <c r="AU741" s="289"/>
      <c r="AV741" s="289"/>
      <c r="AW741" s="289"/>
      <c r="AX741" s="289"/>
      <c r="AY741" s="289"/>
    </row>
    <row r="742" spans="1:51" ht="13.5" customHeight="1">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c r="AA742" s="289"/>
      <c r="AB742" s="289"/>
      <c r="AC742" s="289"/>
      <c r="AD742" s="289"/>
      <c r="AE742" s="289"/>
      <c r="AF742" s="289"/>
      <c r="AG742" s="289"/>
      <c r="AH742" s="289"/>
      <c r="AI742" s="289"/>
      <c r="AJ742" s="289"/>
      <c r="AK742" s="289"/>
      <c r="AL742" s="289"/>
      <c r="AM742" s="289"/>
      <c r="AN742" s="289"/>
      <c r="AO742" s="289"/>
      <c r="AP742" s="289"/>
      <c r="AQ742" s="289"/>
      <c r="AR742" s="289"/>
      <c r="AS742" s="289"/>
      <c r="AT742" s="289"/>
      <c r="AU742" s="289"/>
      <c r="AV742" s="289"/>
      <c r="AW742" s="289"/>
      <c r="AX742" s="289"/>
      <c r="AY742" s="289"/>
    </row>
    <row r="743" spans="1:51" ht="13.5" customHeight="1">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c r="AA743" s="289"/>
      <c r="AB743" s="289"/>
      <c r="AC743" s="289"/>
      <c r="AD743" s="289"/>
      <c r="AE743" s="289"/>
      <c r="AF743" s="289"/>
      <c r="AG743" s="289"/>
      <c r="AH743" s="289"/>
      <c r="AI743" s="289"/>
      <c r="AJ743" s="289"/>
      <c r="AK743" s="289"/>
      <c r="AL743" s="289"/>
      <c r="AM743" s="289"/>
      <c r="AN743" s="289"/>
      <c r="AO743" s="289"/>
      <c r="AP743" s="289"/>
      <c r="AQ743" s="289"/>
      <c r="AR743" s="289"/>
      <c r="AS743" s="289"/>
      <c r="AT743" s="289"/>
      <c r="AU743" s="289"/>
      <c r="AV743" s="289"/>
      <c r="AW743" s="289"/>
      <c r="AX743" s="289"/>
      <c r="AY743" s="289"/>
    </row>
    <row r="744" spans="1:51" ht="13.5" customHeight="1">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c r="AA744" s="289"/>
      <c r="AB744" s="289"/>
      <c r="AC744" s="289"/>
      <c r="AD744" s="289"/>
      <c r="AE744" s="289"/>
      <c r="AF744" s="289"/>
      <c r="AG744" s="289"/>
      <c r="AH744" s="289"/>
      <c r="AI744" s="289"/>
      <c r="AJ744" s="289"/>
      <c r="AK744" s="289"/>
      <c r="AL744" s="289"/>
      <c r="AM744" s="289"/>
      <c r="AN744" s="289"/>
      <c r="AO744" s="289"/>
      <c r="AP744" s="289"/>
      <c r="AQ744" s="289"/>
      <c r="AR744" s="289"/>
      <c r="AS744" s="289"/>
      <c r="AT744" s="289"/>
      <c r="AU744" s="289"/>
      <c r="AV744" s="289"/>
      <c r="AW744" s="289"/>
      <c r="AX744" s="289"/>
      <c r="AY744" s="289"/>
    </row>
    <row r="745" spans="1:51" ht="13.5" customHeight="1">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c r="AA745" s="289"/>
      <c r="AB745" s="289"/>
      <c r="AC745" s="289"/>
      <c r="AD745" s="289"/>
      <c r="AE745" s="289"/>
      <c r="AF745" s="289"/>
      <c r="AG745" s="289"/>
      <c r="AH745" s="289"/>
      <c r="AI745" s="289"/>
      <c r="AJ745" s="289"/>
      <c r="AK745" s="289"/>
      <c r="AL745" s="289"/>
      <c r="AM745" s="289"/>
      <c r="AN745" s="289"/>
      <c r="AO745" s="289"/>
      <c r="AP745" s="289"/>
      <c r="AQ745" s="289"/>
      <c r="AR745" s="289"/>
      <c r="AS745" s="289"/>
      <c r="AT745" s="289"/>
      <c r="AU745" s="289"/>
      <c r="AV745" s="289"/>
      <c r="AW745" s="289"/>
      <c r="AX745" s="289"/>
      <c r="AY745" s="289"/>
    </row>
    <row r="746" spans="1:51" ht="13.5" customHeight="1">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c r="AA746" s="289"/>
      <c r="AB746" s="289"/>
      <c r="AC746" s="289"/>
      <c r="AD746" s="289"/>
      <c r="AE746" s="289"/>
      <c r="AF746" s="289"/>
      <c r="AG746" s="289"/>
      <c r="AH746" s="289"/>
      <c r="AI746" s="289"/>
      <c r="AJ746" s="289"/>
      <c r="AK746" s="289"/>
      <c r="AL746" s="289"/>
      <c r="AM746" s="289"/>
      <c r="AN746" s="289"/>
      <c r="AO746" s="289"/>
      <c r="AP746" s="289"/>
      <c r="AQ746" s="289"/>
      <c r="AR746" s="289"/>
      <c r="AS746" s="289"/>
      <c r="AT746" s="289"/>
      <c r="AU746" s="289"/>
      <c r="AV746" s="289"/>
      <c r="AW746" s="289"/>
      <c r="AX746" s="289"/>
      <c r="AY746" s="289"/>
    </row>
    <row r="747" spans="1:51" ht="13.5" customHeight="1">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c r="AA747" s="289"/>
      <c r="AB747" s="289"/>
      <c r="AC747" s="289"/>
      <c r="AD747" s="289"/>
      <c r="AE747" s="289"/>
      <c r="AF747" s="289"/>
      <c r="AG747" s="289"/>
      <c r="AH747" s="289"/>
      <c r="AI747" s="289"/>
      <c r="AJ747" s="289"/>
      <c r="AK747" s="289"/>
      <c r="AL747" s="289"/>
      <c r="AM747" s="289"/>
      <c r="AN747" s="289"/>
      <c r="AO747" s="289"/>
      <c r="AP747" s="289"/>
      <c r="AQ747" s="289"/>
      <c r="AR747" s="289"/>
      <c r="AS747" s="289"/>
      <c r="AT747" s="289"/>
      <c r="AU747" s="289"/>
      <c r="AV747" s="289"/>
      <c r="AW747" s="289"/>
      <c r="AX747" s="289"/>
      <c r="AY747" s="289"/>
    </row>
    <row r="748" spans="1:51" ht="13.5" customHeight="1">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c r="AA748" s="289"/>
      <c r="AB748" s="289"/>
      <c r="AC748" s="289"/>
      <c r="AD748" s="289"/>
      <c r="AE748" s="289"/>
      <c r="AF748" s="289"/>
      <c r="AG748" s="289"/>
      <c r="AH748" s="289"/>
      <c r="AI748" s="289"/>
      <c r="AJ748" s="289"/>
      <c r="AK748" s="289"/>
      <c r="AL748" s="289"/>
      <c r="AM748" s="289"/>
      <c r="AN748" s="289"/>
      <c r="AO748" s="289"/>
      <c r="AP748" s="289"/>
      <c r="AQ748" s="289"/>
      <c r="AR748" s="289"/>
      <c r="AS748" s="289"/>
      <c r="AT748" s="289"/>
      <c r="AU748" s="289"/>
      <c r="AV748" s="289"/>
      <c r="AW748" s="289"/>
      <c r="AX748" s="289"/>
      <c r="AY748" s="289"/>
    </row>
    <row r="749" spans="1:51" ht="13.5" customHeight="1">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c r="AA749" s="289"/>
      <c r="AB749" s="289"/>
      <c r="AC749" s="289"/>
      <c r="AD749" s="289"/>
      <c r="AE749" s="289"/>
      <c r="AF749" s="289"/>
      <c r="AG749" s="289"/>
      <c r="AH749" s="289"/>
      <c r="AI749" s="289"/>
      <c r="AJ749" s="289"/>
      <c r="AK749" s="289"/>
      <c r="AL749" s="289"/>
      <c r="AM749" s="289"/>
      <c r="AN749" s="289"/>
      <c r="AO749" s="289"/>
      <c r="AP749" s="289"/>
      <c r="AQ749" s="289"/>
      <c r="AR749" s="289"/>
      <c r="AS749" s="289"/>
      <c r="AT749" s="289"/>
      <c r="AU749" s="289"/>
      <c r="AV749" s="289"/>
      <c r="AW749" s="289"/>
      <c r="AX749" s="289"/>
      <c r="AY749" s="289"/>
    </row>
    <row r="750" spans="1:51" ht="13.5" customHeight="1">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c r="AA750" s="289"/>
      <c r="AB750" s="289"/>
      <c r="AC750" s="289"/>
      <c r="AD750" s="289"/>
      <c r="AE750" s="289"/>
      <c r="AF750" s="289"/>
      <c r="AG750" s="289"/>
      <c r="AH750" s="289"/>
      <c r="AI750" s="289"/>
      <c r="AJ750" s="289"/>
      <c r="AK750" s="289"/>
      <c r="AL750" s="289"/>
      <c r="AM750" s="289"/>
      <c r="AN750" s="289"/>
      <c r="AO750" s="289"/>
      <c r="AP750" s="289"/>
      <c r="AQ750" s="289"/>
      <c r="AR750" s="289"/>
      <c r="AS750" s="289"/>
      <c r="AT750" s="289"/>
      <c r="AU750" s="289"/>
      <c r="AV750" s="289"/>
      <c r="AW750" s="289"/>
      <c r="AX750" s="289"/>
      <c r="AY750" s="289"/>
    </row>
    <row r="751" spans="1:51" ht="13.5" customHeight="1">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c r="AA751" s="289"/>
      <c r="AB751" s="289"/>
      <c r="AC751" s="289"/>
      <c r="AD751" s="289"/>
      <c r="AE751" s="289"/>
      <c r="AF751" s="289"/>
      <c r="AG751" s="289"/>
      <c r="AH751" s="289"/>
      <c r="AI751" s="289"/>
      <c r="AJ751" s="289"/>
      <c r="AK751" s="289"/>
      <c r="AL751" s="289"/>
      <c r="AM751" s="289"/>
      <c r="AN751" s="289"/>
      <c r="AO751" s="289"/>
      <c r="AP751" s="289"/>
      <c r="AQ751" s="289"/>
      <c r="AR751" s="289"/>
      <c r="AS751" s="289"/>
      <c r="AT751" s="289"/>
      <c r="AU751" s="289"/>
      <c r="AV751" s="289"/>
      <c r="AW751" s="289"/>
      <c r="AX751" s="289"/>
      <c r="AY751" s="289"/>
    </row>
    <row r="752" spans="1:51" ht="13.5" customHeight="1">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c r="AA752" s="289"/>
      <c r="AB752" s="289"/>
      <c r="AC752" s="289"/>
      <c r="AD752" s="289"/>
      <c r="AE752" s="289"/>
      <c r="AF752" s="289"/>
      <c r="AG752" s="289"/>
      <c r="AH752" s="289"/>
      <c r="AI752" s="289"/>
      <c r="AJ752" s="289"/>
      <c r="AK752" s="289"/>
      <c r="AL752" s="289"/>
      <c r="AM752" s="289"/>
      <c r="AN752" s="289"/>
      <c r="AO752" s="289"/>
      <c r="AP752" s="289"/>
      <c r="AQ752" s="289"/>
      <c r="AR752" s="289"/>
      <c r="AS752" s="289"/>
      <c r="AT752" s="289"/>
      <c r="AU752" s="289"/>
      <c r="AV752" s="289"/>
      <c r="AW752" s="289"/>
      <c r="AX752" s="289"/>
      <c r="AY752" s="289"/>
    </row>
    <row r="753" spans="1:51" ht="13.5" customHeight="1">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c r="AA753" s="289"/>
      <c r="AB753" s="289"/>
      <c r="AC753" s="289"/>
      <c r="AD753" s="289"/>
      <c r="AE753" s="289"/>
      <c r="AF753" s="289"/>
      <c r="AG753" s="289"/>
      <c r="AH753" s="289"/>
      <c r="AI753" s="289"/>
      <c r="AJ753" s="289"/>
      <c r="AK753" s="289"/>
      <c r="AL753" s="289"/>
      <c r="AM753" s="289"/>
      <c r="AN753" s="289"/>
      <c r="AO753" s="289"/>
      <c r="AP753" s="289"/>
      <c r="AQ753" s="289"/>
      <c r="AR753" s="289"/>
      <c r="AS753" s="289"/>
      <c r="AT753" s="289"/>
      <c r="AU753" s="289"/>
      <c r="AV753" s="289"/>
      <c r="AW753" s="289"/>
      <c r="AX753" s="289"/>
      <c r="AY753" s="289"/>
    </row>
    <row r="754" spans="1:51" ht="13.5" customHeight="1">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c r="AA754" s="289"/>
      <c r="AB754" s="289"/>
      <c r="AC754" s="289"/>
      <c r="AD754" s="289"/>
      <c r="AE754" s="289"/>
      <c r="AF754" s="289"/>
      <c r="AG754" s="289"/>
      <c r="AH754" s="289"/>
      <c r="AI754" s="289"/>
      <c r="AJ754" s="289"/>
      <c r="AK754" s="289"/>
      <c r="AL754" s="289"/>
      <c r="AM754" s="289"/>
      <c r="AN754" s="289"/>
      <c r="AO754" s="289"/>
      <c r="AP754" s="289"/>
      <c r="AQ754" s="289"/>
      <c r="AR754" s="289"/>
      <c r="AS754" s="289"/>
      <c r="AT754" s="289"/>
      <c r="AU754" s="289"/>
      <c r="AV754" s="289"/>
      <c r="AW754" s="289"/>
      <c r="AX754" s="289"/>
      <c r="AY754" s="289"/>
    </row>
    <row r="755" spans="1:51" ht="13.5" customHeight="1">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c r="AA755" s="289"/>
      <c r="AB755" s="289"/>
      <c r="AC755" s="289"/>
      <c r="AD755" s="289"/>
      <c r="AE755" s="289"/>
      <c r="AF755" s="289"/>
      <c r="AG755" s="289"/>
      <c r="AH755" s="289"/>
      <c r="AI755" s="289"/>
      <c r="AJ755" s="289"/>
      <c r="AK755" s="289"/>
      <c r="AL755" s="289"/>
      <c r="AM755" s="289"/>
      <c r="AN755" s="289"/>
      <c r="AO755" s="289"/>
      <c r="AP755" s="289"/>
      <c r="AQ755" s="289"/>
      <c r="AR755" s="289"/>
      <c r="AS755" s="289"/>
      <c r="AT755" s="289"/>
      <c r="AU755" s="289"/>
      <c r="AV755" s="289"/>
      <c r="AW755" s="289"/>
      <c r="AX755" s="289"/>
      <c r="AY755" s="289"/>
    </row>
    <row r="756" spans="1:51" ht="13.5" customHeight="1">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c r="AA756" s="289"/>
      <c r="AB756" s="289"/>
      <c r="AC756" s="289"/>
      <c r="AD756" s="289"/>
      <c r="AE756" s="289"/>
      <c r="AF756" s="289"/>
      <c r="AG756" s="289"/>
      <c r="AH756" s="289"/>
      <c r="AI756" s="289"/>
      <c r="AJ756" s="289"/>
      <c r="AK756" s="289"/>
      <c r="AL756" s="289"/>
      <c r="AM756" s="289"/>
      <c r="AN756" s="289"/>
      <c r="AO756" s="289"/>
      <c r="AP756" s="289"/>
      <c r="AQ756" s="289"/>
      <c r="AR756" s="289"/>
      <c r="AS756" s="289"/>
      <c r="AT756" s="289"/>
      <c r="AU756" s="289"/>
      <c r="AV756" s="289"/>
      <c r="AW756" s="289"/>
      <c r="AX756" s="289"/>
      <c r="AY756" s="289"/>
    </row>
    <row r="757" spans="1:51" ht="13.5" customHeight="1">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c r="AA757" s="289"/>
      <c r="AB757" s="289"/>
      <c r="AC757" s="289"/>
      <c r="AD757" s="289"/>
      <c r="AE757" s="289"/>
      <c r="AF757" s="289"/>
      <c r="AG757" s="289"/>
      <c r="AH757" s="289"/>
      <c r="AI757" s="289"/>
      <c r="AJ757" s="289"/>
      <c r="AK757" s="289"/>
      <c r="AL757" s="289"/>
      <c r="AM757" s="289"/>
      <c r="AN757" s="289"/>
      <c r="AO757" s="289"/>
      <c r="AP757" s="289"/>
      <c r="AQ757" s="289"/>
      <c r="AR757" s="289"/>
      <c r="AS757" s="289"/>
      <c r="AT757" s="289"/>
      <c r="AU757" s="289"/>
      <c r="AV757" s="289"/>
      <c r="AW757" s="289"/>
      <c r="AX757" s="289"/>
      <c r="AY757" s="289"/>
    </row>
    <row r="758" spans="1:51" ht="13.5" customHeight="1">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c r="AA758" s="289"/>
      <c r="AB758" s="289"/>
      <c r="AC758" s="289"/>
      <c r="AD758" s="289"/>
      <c r="AE758" s="289"/>
      <c r="AF758" s="289"/>
      <c r="AG758" s="289"/>
      <c r="AH758" s="289"/>
      <c r="AI758" s="289"/>
      <c r="AJ758" s="289"/>
      <c r="AK758" s="289"/>
      <c r="AL758" s="289"/>
      <c r="AM758" s="289"/>
      <c r="AN758" s="289"/>
      <c r="AO758" s="289"/>
      <c r="AP758" s="289"/>
      <c r="AQ758" s="289"/>
      <c r="AR758" s="289"/>
      <c r="AS758" s="289"/>
      <c r="AT758" s="289"/>
      <c r="AU758" s="289"/>
      <c r="AV758" s="289"/>
      <c r="AW758" s="289"/>
      <c r="AX758" s="289"/>
      <c r="AY758" s="289"/>
    </row>
    <row r="759" spans="1:51" ht="13.5" customHeight="1">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c r="AA759" s="289"/>
      <c r="AB759" s="289"/>
      <c r="AC759" s="289"/>
      <c r="AD759" s="289"/>
      <c r="AE759" s="289"/>
      <c r="AF759" s="289"/>
      <c r="AG759" s="289"/>
      <c r="AH759" s="289"/>
      <c r="AI759" s="289"/>
      <c r="AJ759" s="289"/>
      <c r="AK759" s="289"/>
      <c r="AL759" s="289"/>
      <c r="AM759" s="289"/>
      <c r="AN759" s="289"/>
      <c r="AO759" s="289"/>
      <c r="AP759" s="289"/>
      <c r="AQ759" s="289"/>
      <c r="AR759" s="289"/>
      <c r="AS759" s="289"/>
      <c r="AT759" s="289"/>
      <c r="AU759" s="289"/>
      <c r="AV759" s="289"/>
      <c r="AW759" s="289"/>
      <c r="AX759" s="289"/>
      <c r="AY759" s="289"/>
    </row>
    <row r="760" spans="1:51" ht="13.5" customHeight="1">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c r="AA760" s="289"/>
      <c r="AB760" s="289"/>
      <c r="AC760" s="289"/>
      <c r="AD760" s="289"/>
      <c r="AE760" s="289"/>
      <c r="AF760" s="289"/>
      <c r="AG760" s="289"/>
      <c r="AH760" s="289"/>
      <c r="AI760" s="289"/>
      <c r="AJ760" s="289"/>
      <c r="AK760" s="289"/>
      <c r="AL760" s="289"/>
      <c r="AM760" s="289"/>
      <c r="AN760" s="289"/>
      <c r="AO760" s="289"/>
      <c r="AP760" s="289"/>
      <c r="AQ760" s="289"/>
      <c r="AR760" s="289"/>
      <c r="AS760" s="289"/>
      <c r="AT760" s="289"/>
      <c r="AU760" s="289"/>
      <c r="AV760" s="289"/>
      <c r="AW760" s="289"/>
      <c r="AX760" s="289"/>
      <c r="AY760" s="289"/>
    </row>
    <row r="761" spans="1:51" ht="13.5" customHeight="1">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c r="AA761" s="289"/>
      <c r="AB761" s="289"/>
      <c r="AC761" s="289"/>
      <c r="AD761" s="289"/>
      <c r="AE761" s="289"/>
      <c r="AF761" s="289"/>
      <c r="AG761" s="289"/>
      <c r="AH761" s="289"/>
      <c r="AI761" s="289"/>
      <c r="AJ761" s="289"/>
      <c r="AK761" s="289"/>
      <c r="AL761" s="289"/>
      <c r="AM761" s="289"/>
      <c r="AN761" s="289"/>
      <c r="AO761" s="289"/>
      <c r="AP761" s="289"/>
      <c r="AQ761" s="289"/>
      <c r="AR761" s="289"/>
      <c r="AS761" s="289"/>
      <c r="AT761" s="289"/>
      <c r="AU761" s="289"/>
      <c r="AV761" s="289"/>
      <c r="AW761" s="289"/>
      <c r="AX761" s="289"/>
      <c r="AY761" s="289"/>
    </row>
    <row r="762" spans="1:51" ht="13.5" customHeight="1">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c r="AA762" s="289"/>
      <c r="AB762" s="289"/>
      <c r="AC762" s="289"/>
      <c r="AD762" s="289"/>
      <c r="AE762" s="289"/>
      <c r="AF762" s="289"/>
      <c r="AG762" s="289"/>
      <c r="AH762" s="289"/>
      <c r="AI762" s="289"/>
      <c r="AJ762" s="289"/>
      <c r="AK762" s="289"/>
      <c r="AL762" s="289"/>
      <c r="AM762" s="289"/>
      <c r="AN762" s="289"/>
      <c r="AO762" s="289"/>
      <c r="AP762" s="289"/>
      <c r="AQ762" s="289"/>
      <c r="AR762" s="289"/>
      <c r="AS762" s="289"/>
      <c r="AT762" s="289"/>
      <c r="AU762" s="289"/>
      <c r="AV762" s="289"/>
      <c r="AW762" s="289"/>
      <c r="AX762" s="289"/>
      <c r="AY762" s="289"/>
    </row>
    <row r="763" spans="1:51" ht="13.5" customHeight="1">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c r="AA763" s="289"/>
      <c r="AB763" s="289"/>
      <c r="AC763" s="289"/>
      <c r="AD763" s="289"/>
      <c r="AE763" s="289"/>
      <c r="AF763" s="289"/>
      <c r="AG763" s="289"/>
      <c r="AH763" s="289"/>
      <c r="AI763" s="289"/>
      <c r="AJ763" s="289"/>
      <c r="AK763" s="289"/>
      <c r="AL763" s="289"/>
      <c r="AM763" s="289"/>
      <c r="AN763" s="289"/>
      <c r="AO763" s="289"/>
      <c r="AP763" s="289"/>
      <c r="AQ763" s="289"/>
      <c r="AR763" s="289"/>
      <c r="AS763" s="289"/>
      <c r="AT763" s="289"/>
      <c r="AU763" s="289"/>
      <c r="AV763" s="289"/>
      <c r="AW763" s="289"/>
      <c r="AX763" s="289"/>
      <c r="AY763" s="289"/>
    </row>
    <row r="764" spans="1:51" ht="13.5" customHeight="1">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c r="AA764" s="289"/>
      <c r="AB764" s="289"/>
      <c r="AC764" s="289"/>
      <c r="AD764" s="289"/>
      <c r="AE764" s="289"/>
      <c r="AF764" s="289"/>
      <c r="AG764" s="289"/>
      <c r="AH764" s="289"/>
      <c r="AI764" s="289"/>
      <c r="AJ764" s="289"/>
      <c r="AK764" s="289"/>
      <c r="AL764" s="289"/>
      <c r="AM764" s="289"/>
      <c r="AN764" s="289"/>
      <c r="AO764" s="289"/>
      <c r="AP764" s="289"/>
      <c r="AQ764" s="289"/>
      <c r="AR764" s="289"/>
      <c r="AS764" s="289"/>
      <c r="AT764" s="289"/>
      <c r="AU764" s="289"/>
      <c r="AV764" s="289"/>
      <c r="AW764" s="289"/>
      <c r="AX764" s="289"/>
      <c r="AY764" s="289"/>
    </row>
    <row r="765" spans="1:51" ht="13.5" customHeight="1">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c r="AA765" s="289"/>
      <c r="AB765" s="289"/>
      <c r="AC765" s="289"/>
      <c r="AD765" s="289"/>
      <c r="AE765" s="289"/>
      <c r="AF765" s="289"/>
      <c r="AG765" s="289"/>
      <c r="AH765" s="289"/>
      <c r="AI765" s="289"/>
      <c r="AJ765" s="289"/>
      <c r="AK765" s="289"/>
      <c r="AL765" s="289"/>
      <c r="AM765" s="289"/>
      <c r="AN765" s="289"/>
      <c r="AO765" s="289"/>
      <c r="AP765" s="289"/>
      <c r="AQ765" s="289"/>
      <c r="AR765" s="289"/>
      <c r="AS765" s="289"/>
      <c r="AT765" s="289"/>
      <c r="AU765" s="289"/>
      <c r="AV765" s="289"/>
      <c r="AW765" s="289"/>
      <c r="AX765" s="289"/>
      <c r="AY765" s="289"/>
    </row>
    <row r="766" spans="1:51" ht="13.5" customHeight="1">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c r="AA766" s="289"/>
      <c r="AB766" s="289"/>
      <c r="AC766" s="289"/>
      <c r="AD766" s="289"/>
      <c r="AE766" s="289"/>
      <c r="AF766" s="289"/>
      <c r="AG766" s="289"/>
      <c r="AH766" s="289"/>
      <c r="AI766" s="289"/>
      <c r="AJ766" s="289"/>
      <c r="AK766" s="289"/>
      <c r="AL766" s="289"/>
      <c r="AM766" s="289"/>
      <c r="AN766" s="289"/>
      <c r="AO766" s="289"/>
      <c r="AP766" s="289"/>
      <c r="AQ766" s="289"/>
      <c r="AR766" s="289"/>
      <c r="AS766" s="289"/>
      <c r="AT766" s="289"/>
      <c r="AU766" s="289"/>
      <c r="AV766" s="289"/>
      <c r="AW766" s="289"/>
      <c r="AX766" s="289"/>
      <c r="AY766" s="289"/>
    </row>
    <row r="767" spans="1:51" ht="13.5" customHeight="1">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c r="AA767" s="289"/>
      <c r="AB767" s="289"/>
      <c r="AC767" s="289"/>
      <c r="AD767" s="289"/>
      <c r="AE767" s="289"/>
      <c r="AF767" s="289"/>
      <c r="AG767" s="289"/>
      <c r="AH767" s="289"/>
      <c r="AI767" s="289"/>
      <c r="AJ767" s="289"/>
      <c r="AK767" s="289"/>
      <c r="AL767" s="289"/>
      <c r="AM767" s="289"/>
      <c r="AN767" s="289"/>
      <c r="AO767" s="289"/>
      <c r="AP767" s="289"/>
      <c r="AQ767" s="289"/>
      <c r="AR767" s="289"/>
      <c r="AS767" s="289"/>
      <c r="AT767" s="289"/>
      <c r="AU767" s="289"/>
      <c r="AV767" s="289"/>
      <c r="AW767" s="289"/>
      <c r="AX767" s="289"/>
      <c r="AY767" s="289"/>
    </row>
    <row r="768" spans="1:51" ht="13.5" customHeight="1">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c r="AA768" s="289"/>
      <c r="AB768" s="289"/>
      <c r="AC768" s="289"/>
      <c r="AD768" s="289"/>
      <c r="AE768" s="289"/>
      <c r="AF768" s="289"/>
      <c r="AG768" s="289"/>
      <c r="AH768" s="289"/>
      <c r="AI768" s="289"/>
      <c r="AJ768" s="289"/>
      <c r="AK768" s="289"/>
      <c r="AL768" s="289"/>
      <c r="AM768" s="289"/>
      <c r="AN768" s="289"/>
      <c r="AO768" s="289"/>
      <c r="AP768" s="289"/>
      <c r="AQ768" s="289"/>
      <c r="AR768" s="289"/>
      <c r="AS768" s="289"/>
      <c r="AT768" s="289"/>
      <c r="AU768" s="289"/>
      <c r="AV768" s="289"/>
      <c r="AW768" s="289"/>
      <c r="AX768" s="289"/>
      <c r="AY768" s="289"/>
    </row>
    <row r="769" spans="1:51" ht="13.5" customHeight="1">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c r="AA769" s="289"/>
      <c r="AB769" s="289"/>
      <c r="AC769" s="289"/>
      <c r="AD769" s="289"/>
      <c r="AE769" s="289"/>
      <c r="AF769" s="289"/>
      <c r="AG769" s="289"/>
      <c r="AH769" s="289"/>
      <c r="AI769" s="289"/>
      <c r="AJ769" s="289"/>
      <c r="AK769" s="289"/>
      <c r="AL769" s="289"/>
      <c r="AM769" s="289"/>
      <c r="AN769" s="289"/>
      <c r="AO769" s="289"/>
      <c r="AP769" s="289"/>
      <c r="AQ769" s="289"/>
      <c r="AR769" s="289"/>
      <c r="AS769" s="289"/>
      <c r="AT769" s="289"/>
      <c r="AU769" s="289"/>
      <c r="AV769" s="289"/>
      <c r="AW769" s="289"/>
      <c r="AX769" s="289"/>
      <c r="AY769" s="289"/>
    </row>
    <row r="770" spans="1:51" ht="13.5" customHeight="1">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c r="AA770" s="289"/>
      <c r="AB770" s="289"/>
      <c r="AC770" s="289"/>
      <c r="AD770" s="289"/>
      <c r="AE770" s="289"/>
      <c r="AF770" s="289"/>
      <c r="AG770" s="289"/>
      <c r="AH770" s="289"/>
      <c r="AI770" s="289"/>
      <c r="AJ770" s="289"/>
      <c r="AK770" s="289"/>
      <c r="AL770" s="289"/>
      <c r="AM770" s="289"/>
      <c r="AN770" s="289"/>
      <c r="AO770" s="289"/>
      <c r="AP770" s="289"/>
      <c r="AQ770" s="289"/>
      <c r="AR770" s="289"/>
      <c r="AS770" s="289"/>
      <c r="AT770" s="289"/>
      <c r="AU770" s="289"/>
      <c r="AV770" s="289"/>
      <c r="AW770" s="289"/>
      <c r="AX770" s="289"/>
      <c r="AY770" s="289"/>
    </row>
    <row r="771" spans="1:51" ht="13.5" customHeight="1">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c r="AA771" s="289"/>
      <c r="AB771" s="289"/>
      <c r="AC771" s="289"/>
      <c r="AD771" s="289"/>
      <c r="AE771" s="289"/>
      <c r="AF771" s="289"/>
      <c r="AG771" s="289"/>
      <c r="AH771" s="289"/>
      <c r="AI771" s="289"/>
      <c r="AJ771" s="289"/>
      <c r="AK771" s="289"/>
      <c r="AL771" s="289"/>
      <c r="AM771" s="289"/>
      <c r="AN771" s="289"/>
      <c r="AO771" s="289"/>
      <c r="AP771" s="289"/>
      <c r="AQ771" s="289"/>
      <c r="AR771" s="289"/>
      <c r="AS771" s="289"/>
      <c r="AT771" s="289"/>
      <c r="AU771" s="289"/>
      <c r="AV771" s="289"/>
      <c r="AW771" s="289"/>
      <c r="AX771" s="289"/>
      <c r="AY771" s="289"/>
    </row>
    <row r="772" spans="1:51" ht="13.5" customHeight="1">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c r="AA772" s="289"/>
      <c r="AB772" s="289"/>
      <c r="AC772" s="289"/>
      <c r="AD772" s="289"/>
      <c r="AE772" s="289"/>
      <c r="AF772" s="289"/>
      <c r="AG772" s="289"/>
      <c r="AH772" s="289"/>
      <c r="AI772" s="289"/>
      <c r="AJ772" s="289"/>
      <c r="AK772" s="289"/>
      <c r="AL772" s="289"/>
      <c r="AM772" s="289"/>
      <c r="AN772" s="289"/>
      <c r="AO772" s="289"/>
      <c r="AP772" s="289"/>
      <c r="AQ772" s="289"/>
      <c r="AR772" s="289"/>
      <c r="AS772" s="289"/>
      <c r="AT772" s="289"/>
      <c r="AU772" s="289"/>
      <c r="AV772" s="289"/>
      <c r="AW772" s="289"/>
      <c r="AX772" s="289"/>
      <c r="AY772" s="289"/>
    </row>
    <row r="773" spans="1:51" ht="13.5" customHeight="1">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c r="AA773" s="289"/>
      <c r="AB773" s="289"/>
      <c r="AC773" s="289"/>
      <c r="AD773" s="289"/>
      <c r="AE773" s="289"/>
      <c r="AF773" s="289"/>
      <c r="AG773" s="289"/>
      <c r="AH773" s="289"/>
      <c r="AI773" s="289"/>
      <c r="AJ773" s="289"/>
      <c r="AK773" s="289"/>
      <c r="AL773" s="289"/>
      <c r="AM773" s="289"/>
      <c r="AN773" s="289"/>
      <c r="AO773" s="289"/>
      <c r="AP773" s="289"/>
      <c r="AQ773" s="289"/>
      <c r="AR773" s="289"/>
      <c r="AS773" s="289"/>
      <c r="AT773" s="289"/>
      <c r="AU773" s="289"/>
      <c r="AV773" s="289"/>
      <c r="AW773" s="289"/>
      <c r="AX773" s="289"/>
      <c r="AY773" s="289"/>
    </row>
    <row r="774" spans="1:51" ht="13.5" customHeight="1">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c r="AA774" s="289"/>
      <c r="AB774" s="289"/>
      <c r="AC774" s="289"/>
      <c r="AD774" s="289"/>
      <c r="AE774" s="289"/>
      <c r="AF774" s="289"/>
      <c r="AG774" s="289"/>
      <c r="AH774" s="289"/>
      <c r="AI774" s="289"/>
      <c r="AJ774" s="289"/>
      <c r="AK774" s="289"/>
      <c r="AL774" s="289"/>
      <c r="AM774" s="289"/>
      <c r="AN774" s="289"/>
      <c r="AO774" s="289"/>
      <c r="AP774" s="289"/>
      <c r="AQ774" s="289"/>
      <c r="AR774" s="289"/>
      <c r="AS774" s="289"/>
      <c r="AT774" s="289"/>
      <c r="AU774" s="289"/>
      <c r="AV774" s="289"/>
      <c r="AW774" s="289"/>
      <c r="AX774" s="289"/>
      <c r="AY774" s="289"/>
    </row>
    <row r="775" spans="1:51" ht="13.5" customHeight="1">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c r="AA775" s="289"/>
      <c r="AB775" s="289"/>
      <c r="AC775" s="289"/>
      <c r="AD775" s="289"/>
      <c r="AE775" s="289"/>
      <c r="AF775" s="289"/>
      <c r="AG775" s="289"/>
      <c r="AH775" s="289"/>
      <c r="AI775" s="289"/>
      <c r="AJ775" s="289"/>
      <c r="AK775" s="289"/>
      <c r="AL775" s="289"/>
      <c r="AM775" s="289"/>
      <c r="AN775" s="289"/>
      <c r="AO775" s="289"/>
      <c r="AP775" s="289"/>
      <c r="AQ775" s="289"/>
      <c r="AR775" s="289"/>
      <c r="AS775" s="289"/>
      <c r="AT775" s="289"/>
      <c r="AU775" s="289"/>
      <c r="AV775" s="289"/>
      <c r="AW775" s="289"/>
      <c r="AX775" s="289"/>
      <c r="AY775" s="289"/>
    </row>
    <row r="776" spans="1:51" ht="13.5" customHeight="1">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c r="AA776" s="289"/>
      <c r="AB776" s="289"/>
      <c r="AC776" s="289"/>
      <c r="AD776" s="289"/>
      <c r="AE776" s="289"/>
      <c r="AF776" s="289"/>
      <c r="AG776" s="289"/>
      <c r="AH776" s="289"/>
      <c r="AI776" s="289"/>
      <c r="AJ776" s="289"/>
      <c r="AK776" s="289"/>
      <c r="AL776" s="289"/>
      <c r="AM776" s="289"/>
      <c r="AN776" s="289"/>
      <c r="AO776" s="289"/>
      <c r="AP776" s="289"/>
      <c r="AQ776" s="289"/>
      <c r="AR776" s="289"/>
      <c r="AS776" s="289"/>
      <c r="AT776" s="289"/>
      <c r="AU776" s="289"/>
      <c r="AV776" s="289"/>
      <c r="AW776" s="289"/>
      <c r="AX776" s="289"/>
      <c r="AY776" s="289"/>
    </row>
    <row r="777" spans="1:51" ht="13.5" customHeight="1">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c r="AA777" s="289"/>
      <c r="AB777" s="289"/>
      <c r="AC777" s="289"/>
      <c r="AD777" s="289"/>
      <c r="AE777" s="289"/>
      <c r="AF777" s="289"/>
      <c r="AG777" s="289"/>
      <c r="AH777" s="289"/>
      <c r="AI777" s="289"/>
      <c r="AJ777" s="289"/>
      <c r="AK777" s="289"/>
      <c r="AL777" s="289"/>
      <c r="AM777" s="289"/>
      <c r="AN777" s="289"/>
      <c r="AO777" s="289"/>
      <c r="AP777" s="289"/>
      <c r="AQ777" s="289"/>
      <c r="AR777" s="289"/>
      <c r="AS777" s="289"/>
      <c r="AT777" s="289"/>
      <c r="AU777" s="289"/>
      <c r="AV777" s="289"/>
      <c r="AW777" s="289"/>
      <c r="AX777" s="289"/>
      <c r="AY777" s="289"/>
    </row>
    <row r="778" spans="1:51" ht="13.5" customHeight="1">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c r="AA778" s="289"/>
      <c r="AB778" s="289"/>
      <c r="AC778" s="289"/>
      <c r="AD778" s="289"/>
      <c r="AE778" s="289"/>
      <c r="AF778" s="289"/>
      <c r="AG778" s="289"/>
      <c r="AH778" s="289"/>
      <c r="AI778" s="289"/>
      <c r="AJ778" s="289"/>
      <c r="AK778" s="289"/>
      <c r="AL778" s="289"/>
      <c r="AM778" s="289"/>
      <c r="AN778" s="289"/>
      <c r="AO778" s="289"/>
      <c r="AP778" s="289"/>
      <c r="AQ778" s="289"/>
      <c r="AR778" s="289"/>
      <c r="AS778" s="289"/>
      <c r="AT778" s="289"/>
      <c r="AU778" s="289"/>
      <c r="AV778" s="289"/>
      <c r="AW778" s="289"/>
      <c r="AX778" s="289"/>
      <c r="AY778" s="289"/>
    </row>
    <row r="779" spans="1:51" ht="13.5" customHeight="1">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c r="AA779" s="289"/>
      <c r="AB779" s="289"/>
      <c r="AC779" s="289"/>
      <c r="AD779" s="289"/>
      <c r="AE779" s="289"/>
      <c r="AF779" s="289"/>
      <c r="AG779" s="289"/>
      <c r="AH779" s="289"/>
      <c r="AI779" s="289"/>
      <c r="AJ779" s="289"/>
      <c r="AK779" s="289"/>
      <c r="AL779" s="289"/>
      <c r="AM779" s="289"/>
      <c r="AN779" s="289"/>
      <c r="AO779" s="289"/>
      <c r="AP779" s="289"/>
      <c r="AQ779" s="289"/>
      <c r="AR779" s="289"/>
      <c r="AS779" s="289"/>
      <c r="AT779" s="289"/>
      <c r="AU779" s="289"/>
      <c r="AV779" s="289"/>
      <c r="AW779" s="289"/>
      <c r="AX779" s="289"/>
      <c r="AY779" s="289"/>
    </row>
    <row r="780" spans="1:51" ht="13.5" customHeight="1">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c r="AA780" s="289"/>
      <c r="AB780" s="289"/>
      <c r="AC780" s="289"/>
      <c r="AD780" s="289"/>
      <c r="AE780" s="289"/>
      <c r="AF780" s="289"/>
      <c r="AG780" s="289"/>
      <c r="AH780" s="289"/>
      <c r="AI780" s="289"/>
      <c r="AJ780" s="289"/>
      <c r="AK780" s="289"/>
      <c r="AL780" s="289"/>
      <c r="AM780" s="289"/>
      <c r="AN780" s="289"/>
      <c r="AO780" s="289"/>
      <c r="AP780" s="289"/>
      <c r="AQ780" s="289"/>
      <c r="AR780" s="289"/>
      <c r="AS780" s="289"/>
      <c r="AT780" s="289"/>
      <c r="AU780" s="289"/>
      <c r="AV780" s="289"/>
      <c r="AW780" s="289"/>
      <c r="AX780" s="289"/>
      <c r="AY780" s="289"/>
    </row>
    <row r="781" spans="1:51" ht="13.5" customHeight="1">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c r="AA781" s="289"/>
      <c r="AB781" s="289"/>
      <c r="AC781" s="289"/>
      <c r="AD781" s="289"/>
      <c r="AE781" s="289"/>
      <c r="AF781" s="289"/>
      <c r="AG781" s="289"/>
      <c r="AH781" s="289"/>
      <c r="AI781" s="289"/>
      <c r="AJ781" s="289"/>
      <c r="AK781" s="289"/>
      <c r="AL781" s="289"/>
      <c r="AM781" s="289"/>
      <c r="AN781" s="289"/>
      <c r="AO781" s="289"/>
      <c r="AP781" s="289"/>
      <c r="AQ781" s="289"/>
      <c r="AR781" s="289"/>
      <c r="AS781" s="289"/>
      <c r="AT781" s="289"/>
      <c r="AU781" s="289"/>
      <c r="AV781" s="289"/>
      <c r="AW781" s="289"/>
      <c r="AX781" s="289"/>
      <c r="AY781" s="289"/>
    </row>
    <row r="782" spans="1:51" ht="13.5" customHeight="1">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c r="AA782" s="289"/>
      <c r="AB782" s="289"/>
      <c r="AC782" s="289"/>
      <c r="AD782" s="289"/>
      <c r="AE782" s="289"/>
      <c r="AF782" s="289"/>
      <c r="AG782" s="289"/>
      <c r="AH782" s="289"/>
      <c r="AI782" s="289"/>
      <c r="AJ782" s="289"/>
      <c r="AK782" s="289"/>
      <c r="AL782" s="289"/>
      <c r="AM782" s="289"/>
      <c r="AN782" s="289"/>
      <c r="AO782" s="289"/>
      <c r="AP782" s="289"/>
      <c r="AQ782" s="289"/>
      <c r="AR782" s="289"/>
      <c r="AS782" s="289"/>
      <c r="AT782" s="289"/>
      <c r="AU782" s="289"/>
      <c r="AV782" s="289"/>
      <c r="AW782" s="289"/>
      <c r="AX782" s="289"/>
      <c r="AY782" s="289"/>
    </row>
    <row r="783" spans="1:51" ht="13.5" customHeight="1">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c r="AA783" s="289"/>
      <c r="AB783" s="289"/>
      <c r="AC783" s="289"/>
      <c r="AD783" s="289"/>
      <c r="AE783" s="289"/>
      <c r="AF783" s="289"/>
      <c r="AG783" s="289"/>
      <c r="AH783" s="289"/>
      <c r="AI783" s="289"/>
      <c r="AJ783" s="289"/>
      <c r="AK783" s="289"/>
      <c r="AL783" s="289"/>
      <c r="AM783" s="289"/>
      <c r="AN783" s="289"/>
      <c r="AO783" s="289"/>
      <c r="AP783" s="289"/>
      <c r="AQ783" s="289"/>
      <c r="AR783" s="289"/>
      <c r="AS783" s="289"/>
      <c r="AT783" s="289"/>
      <c r="AU783" s="289"/>
      <c r="AV783" s="289"/>
      <c r="AW783" s="289"/>
      <c r="AX783" s="289"/>
      <c r="AY783" s="289"/>
    </row>
    <row r="784" spans="1:51" ht="13.5" customHeight="1">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c r="AA784" s="289"/>
      <c r="AB784" s="289"/>
      <c r="AC784" s="289"/>
      <c r="AD784" s="289"/>
      <c r="AE784" s="289"/>
      <c r="AF784" s="289"/>
      <c r="AG784" s="289"/>
      <c r="AH784" s="289"/>
      <c r="AI784" s="289"/>
      <c r="AJ784" s="289"/>
      <c r="AK784" s="289"/>
      <c r="AL784" s="289"/>
      <c r="AM784" s="289"/>
      <c r="AN784" s="289"/>
      <c r="AO784" s="289"/>
      <c r="AP784" s="289"/>
      <c r="AQ784" s="289"/>
      <c r="AR784" s="289"/>
      <c r="AS784" s="289"/>
      <c r="AT784" s="289"/>
      <c r="AU784" s="289"/>
      <c r="AV784" s="289"/>
      <c r="AW784" s="289"/>
      <c r="AX784" s="289"/>
      <c r="AY784" s="289"/>
    </row>
    <row r="785" spans="1:51" ht="13.5" customHeight="1">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c r="AA785" s="289"/>
      <c r="AB785" s="289"/>
      <c r="AC785" s="289"/>
      <c r="AD785" s="289"/>
      <c r="AE785" s="289"/>
      <c r="AF785" s="289"/>
      <c r="AG785" s="289"/>
      <c r="AH785" s="289"/>
      <c r="AI785" s="289"/>
      <c r="AJ785" s="289"/>
      <c r="AK785" s="289"/>
      <c r="AL785" s="289"/>
      <c r="AM785" s="289"/>
      <c r="AN785" s="289"/>
      <c r="AO785" s="289"/>
      <c r="AP785" s="289"/>
      <c r="AQ785" s="289"/>
      <c r="AR785" s="289"/>
      <c r="AS785" s="289"/>
      <c r="AT785" s="289"/>
      <c r="AU785" s="289"/>
      <c r="AV785" s="289"/>
      <c r="AW785" s="289"/>
      <c r="AX785" s="289"/>
      <c r="AY785" s="289"/>
    </row>
    <row r="786" spans="1:51" ht="13.5" customHeight="1">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c r="AA786" s="289"/>
      <c r="AB786" s="289"/>
      <c r="AC786" s="289"/>
      <c r="AD786" s="289"/>
      <c r="AE786" s="289"/>
      <c r="AF786" s="289"/>
      <c r="AG786" s="289"/>
      <c r="AH786" s="289"/>
      <c r="AI786" s="289"/>
      <c r="AJ786" s="289"/>
      <c r="AK786" s="289"/>
      <c r="AL786" s="289"/>
      <c r="AM786" s="289"/>
      <c r="AN786" s="289"/>
      <c r="AO786" s="289"/>
      <c r="AP786" s="289"/>
      <c r="AQ786" s="289"/>
      <c r="AR786" s="289"/>
      <c r="AS786" s="289"/>
      <c r="AT786" s="289"/>
      <c r="AU786" s="289"/>
      <c r="AV786" s="289"/>
      <c r="AW786" s="289"/>
      <c r="AX786" s="289"/>
      <c r="AY786" s="289"/>
    </row>
    <row r="787" spans="1:51" ht="13.5" customHeight="1">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c r="AA787" s="289"/>
      <c r="AB787" s="289"/>
      <c r="AC787" s="289"/>
      <c r="AD787" s="289"/>
      <c r="AE787" s="289"/>
      <c r="AF787" s="289"/>
      <c r="AG787" s="289"/>
      <c r="AH787" s="289"/>
      <c r="AI787" s="289"/>
      <c r="AJ787" s="289"/>
      <c r="AK787" s="289"/>
      <c r="AL787" s="289"/>
      <c r="AM787" s="289"/>
      <c r="AN787" s="289"/>
      <c r="AO787" s="289"/>
      <c r="AP787" s="289"/>
      <c r="AQ787" s="289"/>
      <c r="AR787" s="289"/>
      <c r="AS787" s="289"/>
      <c r="AT787" s="289"/>
      <c r="AU787" s="289"/>
      <c r="AV787" s="289"/>
      <c r="AW787" s="289"/>
      <c r="AX787" s="289"/>
      <c r="AY787" s="289"/>
    </row>
    <row r="788" spans="1:51" ht="13.5" customHeight="1">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c r="AA788" s="289"/>
      <c r="AB788" s="289"/>
      <c r="AC788" s="289"/>
      <c r="AD788" s="289"/>
      <c r="AE788" s="289"/>
      <c r="AF788" s="289"/>
      <c r="AG788" s="289"/>
      <c r="AH788" s="289"/>
      <c r="AI788" s="289"/>
      <c r="AJ788" s="289"/>
      <c r="AK788" s="289"/>
      <c r="AL788" s="289"/>
      <c r="AM788" s="289"/>
      <c r="AN788" s="289"/>
      <c r="AO788" s="289"/>
      <c r="AP788" s="289"/>
      <c r="AQ788" s="289"/>
      <c r="AR788" s="289"/>
      <c r="AS788" s="289"/>
      <c r="AT788" s="289"/>
      <c r="AU788" s="289"/>
      <c r="AV788" s="289"/>
      <c r="AW788" s="289"/>
      <c r="AX788" s="289"/>
      <c r="AY788" s="289"/>
    </row>
    <row r="789" spans="1:51" ht="13.5" customHeight="1">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c r="AA789" s="289"/>
      <c r="AB789" s="289"/>
      <c r="AC789" s="289"/>
      <c r="AD789" s="289"/>
      <c r="AE789" s="289"/>
      <c r="AF789" s="289"/>
      <c r="AG789" s="289"/>
      <c r="AH789" s="289"/>
      <c r="AI789" s="289"/>
      <c r="AJ789" s="289"/>
      <c r="AK789" s="289"/>
      <c r="AL789" s="289"/>
      <c r="AM789" s="289"/>
      <c r="AN789" s="289"/>
      <c r="AO789" s="289"/>
      <c r="AP789" s="289"/>
      <c r="AQ789" s="289"/>
      <c r="AR789" s="289"/>
      <c r="AS789" s="289"/>
      <c r="AT789" s="289"/>
      <c r="AU789" s="289"/>
      <c r="AV789" s="289"/>
      <c r="AW789" s="289"/>
      <c r="AX789" s="289"/>
      <c r="AY789" s="289"/>
    </row>
    <row r="790" spans="1:51" ht="13.5" customHeight="1">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c r="AA790" s="289"/>
      <c r="AB790" s="289"/>
      <c r="AC790" s="289"/>
      <c r="AD790" s="289"/>
      <c r="AE790" s="289"/>
      <c r="AF790" s="289"/>
      <c r="AG790" s="289"/>
      <c r="AH790" s="289"/>
      <c r="AI790" s="289"/>
      <c r="AJ790" s="289"/>
      <c r="AK790" s="289"/>
      <c r="AL790" s="289"/>
      <c r="AM790" s="289"/>
      <c r="AN790" s="289"/>
      <c r="AO790" s="289"/>
      <c r="AP790" s="289"/>
      <c r="AQ790" s="289"/>
      <c r="AR790" s="289"/>
      <c r="AS790" s="289"/>
      <c r="AT790" s="289"/>
      <c r="AU790" s="289"/>
      <c r="AV790" s="289"/>
      <c r="AW790" s="289"/>
      <c r="AX790" s="289"/>
      <c r="AY790" s="289"/>
    </row>
    <row r="791" spans="1:51" ht="13.5" customHeight="1">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c r="AA791" s="289"/>
      <c r="AB791" s="289"/>
      <c r="AC791" s="289"/>
      <c r="AD791" s="289"/>
      <c r="AE791" s="289"/>
      <c r="AF791" s="289"/>
      <c r="AG791" s="289"/>
      <c r="AH791" s="289"/>
      <c r="AI791" s="289"/>
      <c r="AJ791" s="289"/>
      <c r="AK791" s="289"/>
      <c r="AL791" s="289"/>
      <c r="AM791" s="289"/>
      <c r="AN791" s="289"/>
      <c r="AO791" s="289"/>
      <c r="AP791" s="289"/>
      <c r="AQ791" s="289"/>
      <c r="AR791" s="289"/>
      <c r="AS791" s="289"/>
      <c r="AT791" s="289"/>
      <c r="AU791" s="289"/>
      <c r="AV791" s="289"/>
      <c r="AW791" s="289"/>
      <c r="AX791" s="289"/>
      <c r="AY791" s="289"/>
    </row>
    <row r="792" spans="1:51" ht="13.5" customHeight="1">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c r="AA792" s="289"/>
      <c r="AB792" s="289"/>
      <c r="AC792" s="289"/>
      <c r="AD792" s="289"/>
      <c r="AE792" s="289"/>
      <c r="AF792" s="289"/>
      <c r="AG792" s="289"/>
      <c r="AH792" s="289"/>
      <c r="AI792" s="289"/>
      <c r="AJ792" s="289"/>
      <c r="AK792" s="289"/>
      <c r="AL792" s="289"/>
      <c r="AM792" s="289"/>
      <c r="AN792" s="289"/>
      <c r="AO792" s="289"/>
      <c r="AP792" s="289"/>
      <c r="AQ792" s="289"/>
      <c r="AR792" s="289"/>
      <c r="AS792" s="289"/>
      <c r="AT792" s="289"/>
      <c r="AU792" s="289"/>
      <c r="AV792" s="289"/>
      <c r="AW792" s="289"/>
      <c r="AX792" s="289"/>
      <c r="AY792" s="289"/>
    </row>
    <row r="793" spans="1:51" ht="13.5" customHeight="1">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c r="AA793" s="289"/>
      <c r="AB793" s="289"/>
      <c r="AC793" s="289"/>
      <c r="AD793" s="289"/>
      <c r="AE793" s="289"/>
      <c r="AF793" s="289"/>
      <c r="AG793" s="289"/>
      <c r="AH793" s="289"/>
      <c r="AI793" s="289"/>
      <c r="AJ793" s="289"/>
      <c r="AK793" s="289"/>
      <c r="AL793" s="289"/>
      <c r="AM793" s="289"/>
      <c r="AN793" s="289"/>
      <c r="AO793" s="289"/>
      <c r="AP793" s="289"/>
      <c r="AQ793" s="289"/>
      <c r="AR793" s="289"/>
      <c r="AS793" s="289"/>
      <c r="AT793" s="289"/>
      <c r="AU793" s="289"/>
      <c r="AV793" s="289"/>
      <c r="AW793" s="289"/>
      <c r="AX793" s="289"/>
      <c r="AY793" s="289"/>
    </row>
    <row r="794" spans="1:51" ht="13.5" customHeight="1">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c r="AA794" s="289"/>
      <c r="AB794" s="289"/>
      <c r="AC794" s="289"/>
      <c r="AD794" s="289"/>
      <c r="AE794" s="289"/>
      <c r="AF794" s="289"/>
      <c r="AG794" s="289"/>
      <c r="AH794" s="289"/>
      <c r="AI794" s="289"/>
      <c r="AJ794" s="289"/>
      <c r="AK794" s="289"/>
      <c r="AL794" s="289"/>
      <c r="AM794" s="289"/>
      <c r="AN794" s="289"/>
      <c r="AO794" s="289"/>
      <c r="AP794" s="289"/>
      <c r="AQ794" s="289"/>
      <c r="AR794" s="289"/>
      <c r="AS794" s="289"/>
      <c r="AT794" s="289"/>
      <c r="AU794" s="289"/>
      <c r="AV794" s="289"/>
      <c r="AW794" s="289"/>
      <c r="AX794" s="289"/>
      <c r="AY794" s="289"/>
    </row>
    <row r="795" spans="1:51" ht="13.5" customHeight="1">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c r="AA795" s="289"/>
      <c r="AB795" s="289"/>
      <c r="AC795" s="289"/>
      <c r="AD795" s="289"/>
      <c r="AE795" s="289"/>
      <c r="AF795" s="289"/>
      <c r="AG795" s="289"/>
      <c r="AH795" s="289"/>
      <c r="AI795" s="289"/>
      <c r="AJ795" s="289"/>
      <c r="AK795" s="289"/>
      <c r="AL795" s="289"/>
      <c r="AM795" s="289"/>
      <c r="AN795" s="289"/>
      <c r="AO795" s="289"/>
      <c r="AP795" s="289"/>
      <c r="AQ795" s="289"/>
      <c r="AR795" s="289"/>
      <c r="AS795" s="289"/>
      <c r="AT795" s="289"/>
      <c r="AU795" s="289"/>
      <c r="AV795" s="289"/>
      <c r="AW795" s="289"/>
      <c r="AX795" s="289"/>
      <c r="AY795" s="289"/>
    </row>
    <row r="796" spans="1:51" ht="13.5" customHeight="1">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c r="AA796" s="289"/>
      <c r="AB796" s="289"/>
      <c r="AC796" s="289"/>
      <c r="AD796" s="289"/>
      <c r="AE796" s="289"/>
      <c r="AF796" s="289"/>
      <c r="AG796" s="289"/>
      <c r="AH796" s="289"/>
      <c r="AI796" s="289"/>
      <c r="AJ796" s="289"/>
      <c r="AK796" s="289"/>
      <c r="AL796" s="289"/>
      <c r="AM796" s="289"/>
      <c r="AN796" s="289"/>
      <c r="AO796" s="289"/>
      <c r="AP796" s="289"/>
      <c r="AQ796" s="289"/>
      <c r="AR796" s="289"/>
      <c r="AS796" s="289"/>
      <c r="AT796" s="289"/>
      <c r="AU796" s="289"/>
      <c r="AV796" s="289"/>
      <c r="AW796" s="289"/>
      <c r="AX796" s="289"/>
      <c r="AY796" s="289"/>
    </row>
    <row r="797" spans="1:51" ht="13.5" customHeight="1">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c r="AA797" s="289"/>
      <c r="AB797" s="289"/>
      <c r="AC797" s="289"/>
      <c r="AD797" s="289"/>
      <c r="AE797" s="289"/>
      <c r="AF797" s="289"/>
      <c r="AG797" s="289"/>
      <c r="AH797" s="289"/>
      <c r="AI797" s="289"/>
      <c r="AJ797" s="289"/>
      <c r="AK797" s="289"/>
      <c r="AL797" s="289"/>
      <c r="AM797" s="289"/>
      <c r="AN797" s="289"/>
      <c r="AO797" s="289"/>
      <c r="AP797" s="289"/>
      <c r="AQ797" s="289"/>
      <c r="AR797" s="289"/>
      <c r="AS797" s="289"/>
      <c r="AT797" s="289"/>
      <c r="AU797" s="289"/>
      <c r="AV797" s="289"/>
      <c r="AW797" s="289"/>
      <c r="AX797" s="289"/>
      <c r="AY797" s="289"/>
    </row>
    <row r="798" spans="1:51" ht="13.5" customHeight="1">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c r="AA798" s="289"/>
      <c r="AB798" s="289"/>
      <c r="AC798" s="289"/>
      <c r="AD798" s="289"/>
      <c r="AE798" s="289"/>
      <c r="AF798" s="289"/>
      <c r="AG798" s="289"/>
      <c r="AH798" s="289"/>
      <c r="AI798" s="289"/>
      <c r="AJ798" s="289"/>
      <c r="AK798" s="289"/>
      <c r="AL798" s="289"/>
      <c r="AM798" s="289"/>
      <c r="AN798" s="289"/>
      <c r="AO798" s="289"/>
      <c r="AP798" s="289"/>
      <c r="AQ798" s="289"/>
      <c r="AR798" s="289"/>
      <c r="AS798" s="289"/>
      <c r="AT798" s="289"/>
      <c r="AU798" s="289"/>
      <c r="AV798" s="289"/>
      <c r="AW798" s="289"/>
      <c r="AX798" s="289"/>
      <c r="AY798" s="289"/>
    </row>
    <row r="799" spans="1:51" ht="13.5" customHeight="1">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c r="AA799" s="289"/>
      <c r="AB799" s="289"/>
      <c r="AC799" s="289"/>
      <c r="AD799" s="289"/>
      <c r="AE799" s="289"/>
      <c r="AF799" s="289"/>
      <c r="AG799" s="289"/>
      <c r="AH799" s="289"/>
      <c r="AI799" s="289"/>
      <c r="AJ799" s="289"/>
      <c r="AK799" s="289"/>
      <c r="AL799" s="289"/>
      <c r="AM799" s="289"/>
      <c r="AN799" s="289"/>
      <c r="AO799" s="289"/>
      <c r="AP799" s="289"/>
      <c r="AQ799" s="289"/>
      <c r="AR799" s="289"/>
      <c r="AS799" s="289"/>
      <c r="AT799" s="289"/>
      <c r="AU799" s="289"/>
      <c r="AV799" s="289"/>
      <c r="AW799" s="289"/>
      <c r="AX799" s="289"/>
      <c r="AY799" s="289"/>
    </row>
    <row r="800" spans="1:51" ht="13.5" customHeight="1">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c r="AA800" s="289"/>
      <c r="AB800" s="289"/>
      <c r="AC800" s="289"/>
      <c r="AD800" s="289"/>
      <c r="AE800" s="289"/>
      <c r="AF800" s="289"/>
      <c r="AG800" s="289"/>
      <c r="AH800" s="289"/>
      <c r="AI800" s="289"/>
      <c r="AJ800" s="289"/>
      <c r="AK800" s="289"/>
      <c r="AL800" s="289"/>
      <c r="AM800" s="289"/>
      <c r="AN800" s="289"/>
      <c r="AO800" s="289"/>
      <c r="AP800" s="289"/>
      <c r="AQ800" s="289"/>
      <c r="AR800" s="289"/>
      <c r="AS800" s="289"/>
      <c r="AT800" s="289"/>
      <c r="AU800" s="289"/>
      <c r="AV800" s="289"/>
      <c r="AW800" s="289"/>
      <c r="AX800" s="289"/>
      <c r="AY800" s="289"/>
    </row>
    <row r="801" spans="1:51" ht="13.5" customHeight="1">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c r="AA801" s="289"/>
      <c r="AB801" s="289"/>
      <c r="AC801" s="289"/>
      <c r="AD801" s="289"/>
      <c r="AE801" s="289"/>
      <c r="AF801" s="289"/>
      <c r="AG801" s="289"/>
      <c r="AH801" s="289"/>
      <c r="AI801" s="289"/>
      <c r="AJ801" s="289"/>
      <c r="AK801" s="289"/>
      <c r="AL801" s="289"/>
      <c r="AM801" s="289"/>
      <c r="AN801" s="289"/>
      <c r="AO801" s="289"/>
      <c r="AP801" s="289"/>
      <c r="AQ801" s="289"/>
      <c r="AR801" s="289"/>
      <c r="AS801" s="289"/>
      <c r="AT801" s="289"/>
      <c r="AU801" s="289"/>
      <c r="AV801" s="289"/>
      <c r="AW801" s="289"/>
      <c r="AX801" s="289"/>
      <c r="AY801" s="289"/>
    </row>
    <row r="802" spans="1:51" ht="13.5" customHeight="1">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c r="AA802" s="289"/>
      <c r="AB802" s="289"/>
      <c r="AC802" s="289"/>
      <c r="AD802" s="289"/>
      <c r="AE802" s="289"/>
      <c r="AF802" s="289"/>
      <c r="AG802" s="289"/>
      <c r="AH802" s="289"/>
      <c r="AI802" s="289"/>
      <c r="AJ802" s="289"/>
      <c r="AK802" s="289"/>
      <c r="AL802" s="289"/>
      <c r="AM802" s="289"/>
      <c r="AN802" s="289"/>
      <c r="AO802" s="289"/>
      <c r="AP802" s="289"/>
      <c r="AQ802" s="289"/>
      <c r="AR802" s="289"/>
      <c r="AS802" s="289"/>
      <c r="AT802" s="289"/>
      <c r="AU802" s="289"/>
      <c r="AV802" s="289"/>
      <c r="AW802" s="289"/>
      <c r="AX802" s="289"/>
      <c r="AY802" s="289"/>
    </row>
    <row r="803" spans="1:51" ht="13.5" customHeight="1">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c r="AA803" s="289"/>
      <c r="AB803" s="289"/>
      <c r="AC803" s="289"/>
      <c r="AD803" s="289"/>
      <c r="AE803" s="289"/>
      <c r="AF803" s="289"/>
      <c r="AG803" s="289"/>
      <c r="AH803" s="289"/>
      <c r="AI803" s="289"/>
      <c r="AJ803" s="289"/>
      <c r="AK803" s="289"/>
      <c r="AL803" s="289"/>
      <c r="AM803" s="289"/>
      <c r="AN803" s="289"/>
      <c r="AO803" s="289"/>
      <c r="AP803" s="289"/>
      <c r="AQ803" s="289"/>
      <c r="AR803" s="289"/>
      <c r="AS803" s="289"/>
      <c r="AT803" s="289"/>
      <c r="AU803" s="289"/>
      <c r="AV803" s="289"/>
      <c r="AW803" s="289"/>
      <c r="AX803" s="289"/>
      <c r="AY803" s="289"/>
    </row>
    <row r="804" spans="1:51" ht="13.5" customHeight="1">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c r="AA804" s="289"/>
      <c r="AB804" s="289"/>
      <c r="AC804" s="289"/>
      <c r="AD804" s="289"/>
      <c r="AE804" s="289"/>
      <c r="AF804" s="289"/>
      <c r="AG804" s="289"/>
      <c r="AH804" s="289"/>
      <c r="AI804" s="289"/>
      <c r="AJ804" s="289"/>
      <c r="AK804" s="289"/>
      <c r="AL804" s="289"/>
      <c r="AM804" s="289"/>
      <c r="AN804" s="289"/>
      <c r="AO804" s="289"/>
      <c r="AP804" s="289"/>
      <c r="AQ804" s="289"/>
      <c r="AR804" s="289"/>
      <c r="AS804" s="289"/>
      <c r="AT804" s="289"/>
      <c r="AU804" s="289"/>
      <c r="AV804" s="289"/>
      <c r="AW804" s="289"/>
      <c r="AX804" s="289"/>
      <c r="AY804" s="289"/>
    </row>
    <row r="805" spans="1:51" ht="13.5" customHeight="1">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c r="AA805" s="289"/>
      <c r="AB805" s="289"/>
      <c r="AC805" s="289"/>
      <c r="AD805" s="289"/>
      <c r="AE805" s="289"/>
      <c r="AF805" s="289"/>
      <c r="AG805" s="289"/>
      <c r="AH805" s="289"/>
      <c r="AI805" s="289"/>
      <c r="AJ805" s="289"/>
      <c r="AK805" s="289"/>
      <c r="AL805" s="289"/>
      <c r="AM805" s="289"/>
      <c r="AN805" s="289"/>
      <c r="AO805" s="289"/>
      <c r="AP805" s="289"/>
      <c r="AQ805" s="289"/>
      <c r="AR805" s="289"/>
      <c r="AS805" s="289"/>
      <c r="AT805" s="289"/>
      <c r="AU805" s="289"/>
      <c r="AV805" s="289"/>
      <c r="AW805" s="289"/>
      <c r="AX805" s="289"/>
      <c r="AY805" s="289"/>
    </row>
    <row r="806" spans="1:51" ht="13.5" customHeight="1">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c r="AA806" s="289"/>
      <c r="AB806" s="289"/>
      <c r="AC806" s="289"/>
      <c r="AD806" s="289"/>
      <c r="AE806" s="289"/>
      <c r="AF806" s="289"/>
      <c r="AG806" s="289"/>
      <c r="AH806" s="289"/>
      <c r="AI806" s="289"/>
      <c r="AJ806" s="289"/>
      <c r="AK806" s="289"/>
      <c r="AL806" s="289"/>
      <c r="AM806" s="289"/>
      <c r="AN806" s="289"/>
      <c r="AO806" s="289"/>
      <c r="AP806" s="289"/>
      <c r="AQ806" s="289"/>
      <c r="AR806" s="289"/>
      <c r="AS806" s="289"/>
      <c r="AT806" s="289"/>
      <c r="AU806" s="289"/>
      <c r="AV806" s="289"/>
      <c r="AW806" s="289"/>
      <c r="AX806" s="289"/>
      <c r="AY806" s="289"/>
    </row>
    <row r="807" spans="1:51" ht="13.5" customHeight="1">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c r="AA807" s="289"/>
      <c r="AB807" s="289"/>
      <c r="AC807" s="289"/>
      <c r="AD807" s="289"/>
      <c r="AE807" s="289"/>
      <c r="AF807" s="289"/>
      <c r="AG807" s="289"/>
      <c r="AH807" s="289"/>
      <c r="AI807" s="289"/>
      <c r="AJ807" s="289"/>
      <c r="AK807" s="289"/>
      <c r="AL807" s="289"/>
      <c r="AM807" s="289"/>
      <c r="AN807" s="289"/>
      <c r="AO807" s="289"/>
      <c r="AP807" s="289"/>
      <c r="AQ807" s="289"/>
      <c r="AR807" s="289"/>
      <c r="AS807" s="289"/>
      <c r="AT807" s="289"/>
      <c r="AU807" s="289"/>
      <c r="AV807" s="289"/>
      <c r="AW807" s="289"/>
      <c r="AX807" s="289"/>
      <c r="AY807" s="289"/>
    </row>
    <row r="808" spans="1:51" ht="13.5" customHeight="1">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c r="AA808" s="289"/>
      <c r="AB808" s="289"/>
      <c r="AC808" s="289"/>
      <c r="AD808" s="289"/>
      <c r="AE808" s="289"/>
      <c r="AF808" s="289"/>
      <c r="AG808" s="289"/>
      <c r="AH808" s="289"/>
      <c r="AI808" s="289"/>
      <c r="AJ808" s="289"/>
      <c r="AK808" s="289"/>
      <c r="AL808" s="289"/>
      <c r="AM808" s="289"/>
      <c r="AN808" s="289"/>
      <c r="AO808" s="289"/>
      <c r="AP808" s="289"/>
      <c r="AQ808" s="289"/>
      <c r="AR808" s="289"/>
      <c r="AS808" s="289"/>
      <c r="AT808" s="289"/>
      <c r="AU808" s="289"/>
      <c r="AV808" s="289"/>
      <c r="AW808" s="289"/>
      <c r="AX808" s="289"/>
      <c r="AY808" s="289"/>
    </row>
    <row r="809" spans="1:51" ht="13.5" customHeight="1">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c r="AA809" s="289"/>
      <c r="AB809" s="289"/>
      <c r="AC809" s="289"/>
      <c r="AD809" s="289"/>
      <c r="AE809" s="289"/>
      <c r="AF809" s="289"/>
      <c r="AG809" s="289"/>
      <c r="AH809" s="289"/>
      <c r="AI809" s="289"/>
      <c r="AJ809" s="289"/>
      <c r="AK809" s="289"/>
      <c r="AL809" s="289"/>
      <c r="AM809" s="289"/>
      <c r="AN809" s="289"/>
      <c r="AO809" s="289"/>
      <c r="AP809" s="289"/>
      <c r="AQ809" s="289"/>
      <c r="AR809" s="289"/>
      <c r="AS809" s="289"/>
      <c r="AT809" s="289"/>
      <c r="AU809" s="289"/>
      <c r="AV809" s="289"/>
      <c r="AW809" s="289"/>
      <c r="AX809" s="289"/>
      <c r="AY809" s="289"/>
    </row>
    <row r="810" spans="1:51" ht="13.5" customHeight="1">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c r="AA810" s="289"/>
      <c r="AB810" s="289"/>
      <c r="AC810" s="289"/>
      <c r="AD810" s="289"/>
      <c r="AE810" s="289"/>
      <c r="AF810" s="289"/>
      <c r="AG810" s="289"/>
      <c r="AH810" s="289"/>
      <c r="AI810" s="289"/>
      <c r="AJ810" s="289"/>
      <c r="AK810" s="289"/>
      <c r="AL810" s="289"/>
      <c r="AM810" s="289"/>
      <c r="AN810" s="289"/>
      <c r="AO810" s="289"/>
      <c r="AP810" s="289"/>
      <c r="AQ810" s="289"/>
      <c r="AR810" s="289"/>
      <c r="AS810" s="289"/>
      <c r="AT810" s="289"/>
      <c r="AU810" s="289"/>
      <c r="AV810" s="289"/>
      <c r="AW810" s="289"/>
      <c r="AX810" s="289"/>
      <c r="AY810" s="289"/>
    </row>
    <row r="811" spans="1:51" ht="13.5" customHeight="1">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c r="AA811" s="289"/>
      <c r="AB811" s="289"/>
      <c r="AC811" s="289"/>
      <c r="AD811" s="289"/>
      <c r="AE811" s="289"/>
      <c r="AF811" s="289"/>
      <c r="AG811" s="289"/>
      <c r="AH811" s="289"/>
      <c r="AI811" s="289"/>
      <c r="AJ811" s="289"/>
      <c r="AK811" s="289"/>
      <c r="AL811" s="289"/>
      <c r="AM811" s="289"/>
      <c r="AN811" s="289"/>
      <c r="AO811" s="289"/>
      <c r="AP811" s="289"/>
      <c r="AQ811" s="289"/>
      <c r="AR811" s="289"/>
      <c r="AS811" s="289"/>
      <c r="AT811" s="289"/>
      <c r="AU811" s="289"/>
      <c r="AV811" s="289"/>
      <c r="AW811" s="289"/>
      <c r="AX811" s="289"/>
      <c r="AY811" s="289"/>
    </row>
    <row r="812" spans="1:51" ht="13.5" customHeight="1">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c r="AA812" s="289"/>
      <c r="AB812" s="289"/>
      <c r="AC812" s="289"/>
      <c r="AD812" s="289"/>
      <c r="AE812" s="289"/>
      <c r="AF812" s="289"/>
      <c r="AG812" s="289"/>
      <c r="AH812" s="289"/>
      <c r="AI812" s="289"/>
      <c r="AJ812" s="289"/>
      <c r="AK812" s="289"/>
      <c r="AL812" s="289"/>
      <c r="AM812" s="289"/>
      <c r="AN812" s="289"/>
      <c r="AO812" s="289"/>
      <c r="AP812" s="289"/>
      <c r="AQ812" s="289"/>
      <c r="AR812" s="289"/>
      <c r="AS812" s="289"/>
      <c r="AT812" s="289"/>
      <c r="AU812" s="289"/>
      <c r="AV812" s="289"/>
      <c r="AW812" s="289"/>
      <c r="AX812" s="289"/>
      <c r="AY812" s="289"/>
    </row>
    <row r="813" spans="1:51" ht="13.5" customHeight="1">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c r="AA813" s="289"/>
      <c r="AB813" s="289"/>
      <c r="AC813" s="289"/>
      <c r="AD813" s="289"/>
      <c r="AE813" s="289"/>
      <c r="AF813" s="289"/>
      <c r="AG813" s="289"/>
      <c r="AH813" s="289"/>
      <c r="AI813" s="289"/>
      <c r="AJ813" s="289"/>
      <c r="AK813" s="289"/>
      <c r="AL813" s="289"/>
      <c r="AM813" s="289"/>
      <c r="AN813" s="289"/>
      <c r="AO813" s="289"/>
      <c r="AP813" s="289"/>
      <c r="AQ813" s="289"/>
      <c r="AR813" s="289"/>
      <c r="AS813" s="289"/>
      <c r="AT813" s="289"/>
      <c r="AU813" s="289"/>
      <c r="AV813" s="289"/>
      <c r="AW813" s="289"/>
      <c r="AX813" s="289"/>
      <c r="AY813" s="289"/>
    </row>
    <row r="814" spans="1:51" ht="13.5" customHeight="1">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c r="AA814" s="289"/>
      <c r="AB814" s="289"/>
      <c r="AC814" s="289"/>
      <c r="AD814" s="289"/>
      <c r="AE814" s="289"/>
      <c r="AF814" s="289"/>
      <c r="AG814" s="289"/>
      <c r="AH814" s="289"/>
      <c r="AI814" s="289"/>
      <c r="AJ814" s="289"/>
      <c r="AK814" s="289"/>
      <c r="AL814" s="289"/>
      <c r="AM814" s="289"/>
      <c r="AN814" s="289"/>
      <c r="AO814" s="289"/>
      <c r="AP814" s="289"/>
      <c r="AQ814" s="289"/>
      <c r="AR814" s="289"/>
      <c r="AS814" s="289"/>
      <c r="AT814" s="289"/>
      <c r="AU814" s="289"/>
      <c r="AV814" s="289"/>
      <c r="AW814" s="289"/>
      <c r="AX814" s="289"/>
      <c r="AY814" s="289"/>
    </row>
    <row r="815" spans="1:51" ht="13.5" customHeight="1">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c r="AA815" s="289"/>
      <c r="AB815" s="289"/>
      <c r="AC815" s="289"/>
      <c r="AD815" s="289"/>
      <c r="AE815" s="289"/>
      <c r="AF815" s="289"/>
      <c r="AG815" s="289"/>
      <c r="AH815" s="289"/>
      <c r="AI815" s="289"/>
      <c r="AJ815" s="289"/>
      <c r="AK815" s="289"/>
      <c r="AL815" s="289"/>
      <c r="AM815" s="289"/>
      <c r="AN815" s="289"/>
      <c r="AO815" s="289"/>
      <c r="AP815" s="289"/>
      <c r="AQ815" s="289"/>
      <c r="AR815" s="289"/>
      <c r="AS815" s="289"/>
      <c r="AT815" s="289"/>
      <c r="AU815" s="289"/>
      <c r="AV815" s="289"/>
      <c r="AW815" s="289"/>
      <c r="AX815" s="289"/>
      <c r="AY815" s="289"/>
    </row>
    <row r="816" spans="1:51" ht="13.5" customHeight="1">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c r="AA816" s="289"/>
      <c r="AB816" s="289"/>
      <c r="AC816" s="289"/>
      <c r="AD816" s="289"/>
      <c r="AE816" s="289"/>
      <c r="AF816" s="289"/>
      <c r="AG816" s="289"/>
      <c r="AH816" s="289"/>
      <c r="AI816" s="289"/>
      <c r="AJ816" s="289"/>
      <c r="AK816" s="289"/>
      <c r="AL816" s="289"/>
      <c r="AM816" s="289"/>
      <c r="AN816" s="289"/>
      <c r="AO816" s="289"/>
      <c r="AP816" s="289"/>
      <c r="AQ816" s="289"/>
      <c r="AR816" s="289"/>
      <c r="AS816" s="289"/>
      <c r="AT816" s="289"/>
      <c r="AU816" s="289"/>
      <c r="AV816" s="289"/>
      <c r="AW816" s="289"/>
      <c r="AX816" s="289"/>
      <c r="AY816" s="289"/>
    </row>
    <row r="817" spans="1:51" ht="13.5" customHeight="1">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c r="AA817" s="289"/>
      <c r="AB817" s="289"/>
      <c r="AC817" s="289"/>
      <c r="AD817" s="289"/>
      <c r="AE817" s="289"/>
      <c r="AF817" s="289"/>
      <c r="AG817" s="289"/>
      <c r="AH817" s="289"/>
      <c r="AI817" s="289"/>
      <c r="AJ817" s="289"/>
      <c r="AK817" s="289"/>
      <c r="AL817" s="289"/>
      <c r="AM817" s="289"/>
      <c r="AN817" s="289"/>
      <c r="AO817" s="289"/>
      <c r="AP817" s="289"/>
      <c r="AQ817" s="289"/>
      <c r="AR817" s="289"/>
      <c r="AS817" s="289"/>
      <c r="AT817" s="289"/>
      <c r="AU817" s="289"/>
      <c r="AV817" s="289"/>
      <c r="AW817" s="289"/>
      <c r="AX817" s="289"/>
      <c r="AY817" s="289"/>
    </row>
    <row r="818" spans="1:51" ht="13.5" customHeight="1">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c r="AA818" s="289"/>
      <c r="AB818" s="289"/>
      <c r="AC818" s="289"/>
      <c r="AD818" s="289"/>
      <c r="AE818" s="289"/>
      <c r="AF818" s="289"/>
      <c r="AG818" s="289"/>
      <c r="AH818" s="289"/>
      <c r="AI818" s="289"/>
      <c r="AJ818" s="289"/>
      <c r="AK818" s="289"/>
      <c r="AL818" s="289"/>
      <c r="AM818" s="289"/>
      <c r="AN818" s="289"/>
      <c r="AO818" s="289"/>
      <c r="AP818" s="289"/>
      <c r="AQ818" s="289"/>
      <c r="AR818" s="289"/>
      <c r="AS818" s="289"/>
      <c r="AT818" s="289"/>
      <c r="AU818" s="289"/>
      <c r="AV818" s="289"/>
      <c r="AW818" s="289"/>
      <c r="AX818" s="289"/>
      <c r="AY818" s="289"/>
    </row>
    <row r="819" spans="1:51" ht="13.5" customHeight="1">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c r="AA819" s="289"/>
      <c r="AB819" s="289"/>
      <c r="AC819" s="289"/>
      <c r="AD819" s="289"/>
      <c r="AE819" s="289"/>
      <c r="AF819" s="289"/>
      <c r="AG819" s="289"/>
      <c r="AH819" s="289"/>
      <c r="AI819" s="289"/>
      <c r="AJ819" s="289"/>
      <c r="AK819" s="289"/>
      <c r="AL819" s="289"/>
      <c r="AM819" s="289"/>
      <c r="AN819" s="289"/>
      <c r="AO819" s="289"/>
      <c r="AP819" s="289"/>
      <c r="AQ819" s="289"/>
      <c r="AR819" s="289"/>
      <c r="AS819" s="289"/>
      <c r="AT819" s="289"/>
      <c r="AU819" s="289"/>
      <c r="AV819" s="289"/>
      <c r="AW819" s="289"/>
      <c r="AX819" s="289"/>
      <c r="AY819" s="289"/>
    </row>
    <row r="820" spans="1:51" ht="13.5" customHeight="1">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c r="AA820" s="289"/>
      <c r="AB820" s="289"/>
      <c r="AC820" s="289"/>
      <c r="AD820" s="289"/>
      <c r="AE820" s="289"/>
      <c r="AF820" s="289"/>
      <c r="AG820" s="289"/>
      <c r="AH820" s="289"/>
      <c r="AI820" s="289"/>
      <c r="AJ820" s="289"/>
      <c r="AK820" s="289"/>
      <c r="AL820" s="289"/>
      <c r="AM820" s="289"/>
      <c r="AN820" s="289"/>
      <c r="AO820" s="289"/>
      <c r="AP820" s="289"/>
      <c r="AQ820" s="289"/>
      <c r="AR820" s="289"/>
      <c r="AS820" s="289"/>
      <c r="AT820" s="289"/>
      <c r="AU820" s="289"/>
      <c r="AV820" s="289"/>
      <c r="AW820" s="289"/>
      <c r="AX820" s="289"/>
      <c r="AY820" s="289"/>
    </row>
    <row r="821" spans="1:51" ht="13.5" customHeight="1">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c r="AA821" s="289"/>
      <c r="AB821" s="289"/>
      <c r="AC821" s="289"/>
      <c r="AD821" s="289"/>
      <c r="AE821" s="289"/>
      <c r="AF821" s="289"/>
      <c r="AG821" s="289"/>
      <c r="AH821" s="289"/>
      <c r="AI821" s="289"/>
      <c r="AJ821" s="289"/>
      <c r="AK821" s="289"/>
      <c r="AL821" s="289"/>
      <c r="AM821" s="289"/>
      <c r="AN821" s="289"/>
      <c r="AO821" s="289"/>
      <c r="AP821" s="289"/>
      <c r="AQ821" s="289"/>
      <c r="AR821" s="289"/>
      <c r="AS821" s="289"/>
      <c r="AT821" s="289"/>
      <c r="AU821" s="289"/>
      <c r="AV821" s="289"/>
      <c r="AW821" s="289"/>
      <c r="AX821" s="289"/>
      <c r="AY821" s="289"/>
    </row>
    <row r="822" spans="1:51" ht="13.5" customHeight="1">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c r="AA822" s="289"/>
      <c r="AB822" s="289"/>
      <c r="AC822" s="289"/>
      <c r="AD822" s="289"/>
      <c r="AE822" s="289"/>
      <c r="AF822" s="289"/>
      <c r="AG822" s="289"/>
      <c r="AH822" s="289"/>
      <c r="AI822" s="289"/>
      <c r="AJ822" s="289"/>
      <c r="AK822" s="289"/>
      <c r="AL822" s="289"/>
      <c r="AM822" s="289"/>
      <c r="AN822" s="289"/>
      <c r="AO822" s="289"/>
      <c r="AP822" s="289"/>
      <c r="AQ822" s="289"/>
      <c r="AR822" s="289"/>
      <c r="AS822" s="289"/>
      <c r="AT822" s="289"/>
      <c r="AU822" s="289"/>
      <c r="AV822" s="289"/>
      <c r="AW822" s="289"/>
      <c r="AX822" s="289"/>
      <c r="AY822" s="289"/>
    </row>
    <row r="823" spans="1:51" ht="13.5" customHeight="1">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c r="AA823" s="289"/>
      <c r="AB823" s="289"/>
      <c r="AC823" s="289"/>
      <c r="AD823" s="289"/>
      <c r="AE823" s="289"/>
      <c r="AF823" s="289"/>
      <c r="AG823" s="289"/>
      <c r="AH823" s="289"/>
      <c r="AI823" s="289"/>
      <c r="AJ823" s="289"/>
      <c r="AK823" s="289"/>
      <c r="AL823" s="289"/>
      <c r="AM823" s="289"/>
      <c r="AN823" s="289"/>
      <c r="AO823" s="289"/>
      <c r="AP823" s="289"/>
      <c r="AQ823" s="289"/>
      <c r="AR823" s="289"/>
      <c r="AS823" s="289"/>
      <c r="AT823" s="289"/>
      <c r="AU823" s="289"/>
      <c r="AV823" s="289"/>
      <c r="AW823" s="289"/>
      <c r="AX823" s="289"/>
      <c r="AY823" s="289"/>
    </row>
    <row r="824" spans="1:51" ht="13.5" customHeight="1">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c r="AA824" s="289"/>
      <c r="AB824" s="289"/>
      <c r="AC824" s="289"/>
      <c r="AD824" s="289"/>
      <c r="AE824" s="289"/>
      <c r="AF824" s="289"/>
      <c r="AG824" s="289"/>
      <c r="AH824" s="289"/>
      <c r="AI824" s="289"/>
      <c r="AJ824" s="289"/>
      <c r="AK824" s="289"/>
      <c r="AL824" s="289"/>
      <c r="AM824" s="289"/>
      <c r="AN824" s="289"/>
      <c r="AO824" s="289"/>
      <c r="AP824" s="289"/>
      <c r="AQ824" s="289"/>
      <c r="AR824" s="289"/>
      <c r="AS824" s="289"/>
      <c r="AT824" s="289"/>
      <c r="AU824" s="289"/>
      <c r="AV824" s="289"/>
      <c r="AW824" s="289"/>
      <c r="AX824" s="289"/>
      <c r="AY824" s="289"/>
    </row>
    <row r="825" spans="1:51" ht="13.5" customHeight="1">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c r="AA825" s="289"/>
      <c r="AB825" s="289"/>
      <c r="AC825" s="289"/>
      <c r="AD825" s="289"/>
      <c r="AE825" s="289"/>
      <c r="AF825" s="289"/>
      <c r="AG825" s="289"/>
      <c r="AH825" s="289"/>
      <c r="AI825" s="289"/>
      <c r="AJ825" s="289"/>
      <c r="AK825" s="289"/>
      <c r="AL825" s="289"/>
      <c r="AM825" s="289"/>
      <c r="AN825" s="289"/>
      <c r="AO825" s="289"/>
      <c r="AP825" s="289"/>
      <c r="AQ825" s="289"/>
      <c r="AR825" s="289"/>
      <c r="AS825" s="289"/>
      <c r="AT825" s="289"/>
      <c r="AU825" s="289"/>
      <c r="AV825" s="289"/>
      <c r="AW825" s="289"/>
      <c r="AX825" s="289"/>
      <c r="AY825" s="289"/>
    </row>
    <row r="826" spans="1:51" ht="13.5" customHeight="1">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c r="AA826" s="289"/>
      <c r="AB826" s="289"/>
      <c r="AC826" s="289"/>
      <c r="AD826" s="289"/>
      <c r="AE826" s="289"/>
      <c r="AF826" s="289"/>
      <c r="AG826" s="289"/>
      <c r="AH826" s="289"/>
      <c r="AI826" s="289"/>
      <c r="AJ826" s="289"/>
      <c r="AK826" s="289"/>
      <c r="AL826" s="289"/>
      <c r="AM826" s="289"/>
      <c r="AN826" s="289"/>
      <c r="AO826" s="289"/>
      <c r="AP826" s="289"/>
      <c r="AQ826" s="289"/>
      <c r="AR826" s="289"/>
      <c r="AS826" s="289"/>
      <c r="AT826" s="289"/>
      <c r="AU826" s="289"/>
      <c r="AV826" s="289"/>
      <c r="AW826" s="289"/>
      <c r="AX826" s="289"/>
      <c r="AY826" s="289"/>
    </row>
    <row r="827" spans="1:51" ht="13.5" customHeight="1">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c r="AA827" s="289"/>
      <c r="AB827" s="289"/>
      <c r="AC827" s="289"/>
      <c r="AD827" s="289"/>
      <c r="AE827" s="289"/>
      <c r="AF827" s="289"/>
      <c r="AG827" s="289"/>
      <c r="AH827" s="289"/>
      <c r="AI827" s="289"/>
      <c r="AJ827" s="289"/>
      <c r="AK827" s="289"/>
      <c r="AL827" s="289"/>
      <c r="AM827" s="289"/>
      <c r="AN827" s="289"/>
      <c r="AO827" s="289"/>
      <c r="AP827" s="289"/>
      <c r="AQ827" s="289"/>
      <c r="AR827" s="289"/>
      <c r="AS827" s="289"/>
      <c r="AT827" s="289"/>
      <c r="AU827" s="289"/>
      <c r="AV827" s="289"/>
      <c r="AW827" s="289"/>
      <c r="AX827" s="289"/>
      <c r="AY827" s="289"/>
    </row>
    <row r="828" spans="1:51" ht="13.5" customHeight="1">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c r="AA828" s="289"/>
      <c r="AB828" s="289"/>
      <c r="AC828" s="289"/>
      <c r="AD828" s="289"/>
      <c r="AE828" s="289"/>
      <c r="AF828" s="289"/>
      <c r="AG828" s="289"/>
      <c r="AH828" s="289"/>
      <c r="AI828" s="289"/>
      <c r="AJ828" s="289"/>
      <c r="AK828" s="289"/>
      <c r="AL828" s="289"/>
      <c r="AM828" s="289"/>
      <c r="AN828" s="289"/>
      <c r="AO828" s="289"/>
      <c r="AP828" s="289"/>
      <c r="AQ828" s="289"/>
      <c r="AR828" s="289"/>
      <c r="AS828" s="289"/>
      <c r="AT828" s="289"/>
      <c r="AU828" s="289"/>
      <c r="AV828" s="289"/>
      <c r="AW828" s="289"/>
      <c r="AX828" s="289"/>
      <c r="AY828" s="289"/>
    </row>
    <row r="829" spans="1:51" ht="13.5" customHeight="1">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c r="AA829" s="289"/>
      <c r="AB829" s="289"/>
      <c r="AC829" s="289"/>
      <c r="AD829" s="289"/>
      <c r="AE829" s="289"/>
      <c r="AF829" s="289"/>
      <c r="AG829" s="289"/>
      <c r="AH829" s="289"/>
      <c r="AI829" s="289"/>
      <c r="AJ829" s="289"/>
      <c r="AK829" s="289"/>
      <c r="AL829" s="289"/>
      <c r="AM829" s="289"/>
      <c r="AN829" s="289"/>
      <c r="AO829" s="289"/>
      <c r="AP829" s="289"/>
      <c r="AQ829" s="289"/>
      <c r="AR829" s="289"/>
      <c r="AS829" s="289"/>
      <c r="AT829" s="289"/>
      <c r="AU829" s="289"/>
      <c r="AV829" s="289"/>
      <c r="AW829" s="289"/>
      <c r="AX829" s="289"/>
      <c r="AY829" s="289"/>
    </row>
    <row r="830" spans="1:51" ht="13.5" customHeight="1">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c r="AA830" s="289"/>
      <c r="AB830" s="289"/>
      <c r="AC830" s="289"/>
      <c r="AD830" s="289"/>
      <c r="AE830" s="289"/>
      <c r="AF830" s="289"/>
      <c r="AG830" s="289"/>
      <c r="AH830" s="289"/>
      <c r="AI830" s="289"/>
      <c r="AJ830" s="289"/>
      <c r="AK830" s="289"/>
      <c r="AL830" s="289"/>
      <c r="AM830" s="289"/>
      <c r="AN830" s="289"/>
      <c r="AO830" s="289"/>
      <c r="AP830" s="289"/>
      <c r="AQ830" s="289"/>
      <c r="AR830" s="289"/>
      <c r="AS830" s="289"/>
      <c r="AT830" s="289"/>
      <c r="AU830" s="289"/>
      <c r="AV830" s="289"/>
      <c r="AW830" s="289"/>
      <c r="AX830" s="289"/>
      <c r="AY830" s="289"/>
    </row>
    <row r="831" spans="1:51" ht="13.5" customHeight="1">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c r="AA831" s="289"/>
      <c r="AB831" s="289"/>
      <c r="AC831" s="289"/>
      <c r="AD831" s="289"/>
      <c r="AE831" s="289"/>
      <c r="AF831" s="289"/>
      <c r="AG831" s="289"/>
      <c r="AH831" s="289"/>
      <c r="AI831" s="289"/>
      <c r="AJ831" s="289"/>
      <c r="AK831" s="289"/>
      <c r="AL831" s="289"/>
      <c r="AM831" s="289"/>
      <c r="AN831" s="289"/>
      <c r="AO831" s="289"/>
      <c r="AP831" s="289"/>
      <c r="AQ831" s="289"/>
      <c r="AR831" s="289"/>
      <c r="AS831" s="289"/>
      <c r="AT831" s="289"/>
      <c r="AU831" s="289"/>
      <c r="AV831" s="289"/>
      <c r="AW831" s="289"/>
      <c r="AX831" s="289"/>
      <c r="AY831" s="289"/>
    </row>
    <row r="832" spans="1:51" ht="13.5" customHeight="1">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c r="AA832" s="289"/>
      <c r="AB832" s="289"/>
      <c r="AC832" s="289"/>
      <c r="AD832" s="289"/>
      <c r="AE832" s="289"/>
      <c r="AF832" s="289"/>
      <c r="AG832" s="289"/>
      <c r="AH832" s="289"/>
      <c r="AI832" s="289"/>
      <c r="AJ832" s="289"/>
      <c r="AK832" s="289"/>
      <c r="AL832" s="289"/>
      <c r="AM832" s="289"/>
      <c r="AN832" s="289"/>
      <c r="AO832" s="289"/>
      <c r="AP832" s="289"/>
      <c r="AQ832" s="289"/>
      <c r="AR832" s="289"/>
      <c r="AS832" s="289"/>
      <c r="AT832" s="289"/>
      <c r="AU832" s="289"/>
      <c r="AV832" s="289"/>
      <c r="AW832" s="289"/>
      <c r="AX832" s="289"/>
      <c r="AY832" s="289"/>
    </row>
    <row r="833" spans="1:51" ht="13.5" customHeight="1">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c r="AA833" s="289"/>
      <c r="AB833" s="289"/>
      <c r="AC833" s="289"/>
      <c r="AD833" s="289"/>
      <c r="AE833" s="289"/>
      <c r="AF833" s="289"/>
      <c r="AG833" s="289"/>
      <c r="AH833" s="289"/>
      <c r="AI833" s="289"/>
      <c r="AJ833" s="289"/>
      <c r="AK833" s="289"/>
      <c r="AL833" s="289"/>
      <c r="AM833" s="289"/>
      <c r="AN833" s="289"/>
      <c r="AO833" s="289"/>
      <c r="AP833" s="289"/>
      <c r="AQ833" s="289"/>
      <c r="AR833" s="289"/>
      <c r="AS833" s="289"/>
      <c r="AT833" s="289"/>
      <c r="AU833" s="289"/>
      <c r="AV833" s="289"/>
      <c r="AW833" s="289"/>
      <c r="AX833" s="289"/>
      <c r="AY833" s="289"/>
    </row>
    <row r="834" spans="1:51" ht="13.5" customHeight="1">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c r="AA834" s="289"/>
      <c r="AB834" s="289"/>
      <c r="AC834" s="289"/>
      <c r="AD834" s="289"/>
      <c r="AE834" s="289"/>
      <c r="AF834" s="289"/>
      <c r="AG834" s="289"/>
      <c r="AH834" s="289"/>
      <c r="AI834" s="289"/>
      <c r="AJ834" s="289"/>
      <c r="AK834" s="289"/>
      <c r="AL834" s="289"/>
      <c r="AM834" s="289"/>
      <c r="AN834" s="289"/>
      <c r="AO834" s="289"/>
      <c r="AP834" s="289"/>
      <c r="AQ834" s="289"/>
      <c r="AR834" s="289"/>
      <c r="AS834" s="289"/>
      <c r="AT834" s="289"/>
      <c r="AU834" s="289"/>
      <c r="AV834" s="289"/>
      <c r="AW834" s="289"/>
      <c r="AX834" s="289"/>
      <c r="AY834" s="289"/>
    </row>
    <row r="835" spans="1:51" ht="13.5" customHeight="1">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c r="AA835" s="289"/>
      <c r="AB835" s="289"/>
      <c r="AC835" s="289"/>
      <c r="AD835" s="289"/>
      <c r="AE835" s="289"/>
      <c r="AF835" s="289"/>
      <c r="AG835" s="289"/>
      <c r="AH835" s="289"/>
      <c r="AI835" s="289"/>
      <c r="AJ835" s="289"/>
      <c r="AK835" s="289"/>
      <c r="AL835" s="289"/>
      <c r="AM835" s="289"/>
      <c r="AN835" s="289"/>
      <c r="AO835" s="289"/>
      <c r="AP835" s="289"/>
      <c r="AQ835" s="289"/>
      <c r="AR835" s="289"/>
      <c r="AS835" s="289"/>
      <c r="AT835" s="289"/>
      <c r="AU835" s="289"/>
      <c r="AV835" s="289"/>
      <c r="AW835" s="289"/>
      <c r="AX835" s="289"/>
      <c r="AY835" s="289"/>
    </row>
    <row r="836" spans="1:51" ht="13.5" customHeight="1">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c r="AA836" s="289"/>
      <c r="AB836" s="289"/>
      <c r="AC836" s="289"/>
      <c r="AD836" s="289"/>
      <c r="AE836" s="289"/>
      <c r="AF836" s="289"/>
      <c r="AG836" s="289"/>
      <c r="AH836" s="289"/>
      <c r="AI836" s="289"/>
      <c r="AJ836" s="289"/>
      <c r="AK836" s="289"/>
      <c r="AL836" s="289"/>
      <c r="AM836" s="289"/>
      <c r="AN836" s="289"/>
      <c r="AO836" s="289"/>
      <c r="AP836" s="289"/>
      <c r="AQ836" s="289"/>
      <c r="AR836" s="289"/>
      <c r="AS836" s="289"/>
      <c r="AT836" s="289"/>
      <c r="AU836" s="289"/>
      <c r="AV836" s="289"/>
      <c r="AW836" s="289"/>
      <c r="AX836" s="289"/>
      <c r="AY836" s="289"/>
    </row>
    <row r="837" spans="1:51" ht="13.5" customHeight="1">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c r="AA837" s="289"/>
      <c r="AB837" s="289"/>
      <c r="AC837" s="289"/>
      <c r="AD837" s="289"/>
      <c r="AE837" s="289"/>
      <c r="AF837" s="289"/>
      <c r="AG837" s="289"/>
      <c r="AH837" s="289"/>
      <c r="AI837" s="289"/>
      <c r="AJ837" s="289"/>
      <c r="AK837" s="289"/>
      <c r="AL837" s="289"/>
      <c r="AM837" s="289"/>
      <c r="AN837" s="289"/>
      <c r="AO837" s="289"/>
      <c r="AP837" s="289"/>
      <c r="AQ837" s="289"/>
      <c r="AR837" s="289"/>
      <c r="AS837" s="289"/>
      <c r="AT837" s="289"/>
      <c r="AU837" s="289"/>
      <c r="AV837" s="289"/>
      <c r="AW837" s="289"/>
      <c r="AX837" s="289"/>
      <c r="AY837" s="289"/>
    </row>
    <row r="838" spans="1:51" ht="13.5" customHeight="1">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c r="AA838" s="289"/>
      <c r="AB838" s="289"/>
      <c r="AC838" s="289"/>
      <c r="AD838" s="289"/>
      <c r="AE838" s="289"/>
      <c r="AF838" s="289"/>
      <c r="AG838" s="289"/>
      <c r="AH838" s="289"/>
      <c r="AI838" s="289"/>
      <c r="AJ838" s="289"/>
      <c r="AK838" s="289"/>
      <c r="AL838" s="289"/>
      <c r="AM838" s="289"/>
      <c r="AN838" s="289"/>
      <c r="AO838" s="289"/>
      <c r="AP838" s="289"/>
      <c r="AQ838" s="289"/>
      <c r="AR838" s="289"/>
      <c r="AS838" s="289"/>
      <c r="AT838" s="289"/>
      <c r="AU838" s="289"/>
      <c r="AV838" s="289"/>
      <c r="AW838" s="289"/>
      <c r="AX838" s="289"/>
      <c r="AY838" s="289"/>
    </row>
    <row r="839" spans="1:51" ht="13.5" customHeight="1">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c r="AA839" s="289"/>
      <c r="AB839" s="289"/>
      <c r="AC839" s="289"/>
      <c r="AD839" s="289"/>
      <c r="AE839" s="289"/>
      <c r="AF839" s="289"/>
      <c r="AG839" s="289"/>
      <c r="AH839" s="289"/>
      <c r="AI839" s="289"/>
      <c r="AJ839" s="289"/>
      <c r="AK839" s="289"/>
      <c r="AL839" s="289"/>
      <c r="AM839" s="289"/>
      <c r="AN839" s="289"/>
      <c r="AO839" s="289"/>
      <c r="AP839" s="289"/>
      <c r="AQ839" s="289"/>
      <c r="AR839" s="289"/>
      <c r="AS839" s="289"/>
      <c r="AT839" s="289"/>
      <c r="AU839" s="289"/>
      <c r="AV839" s="289"/>
      <c r="AW839" s="289"/>
      <c r="AX839" s="289"/>
      <c r="AY839" s="289"/>
    </row>
    <row r="840" spans="1:51" ht="13.5" customHeight="1">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c r="AA840" s="289"/>
      <c r="AB840" s="289"/>
      <c r="AC840" s="289"/>
      <c r="AD840" s="289"/>
      <c r="AE840" s="289"/>
      <c r="AF840" s="289"/>
      <c r="AG840" s="289"/>
      <c r="AH840" s="289"/>
      <c r="AI840" s="289"/>
      <c r="AJ840" s="289"/>
      <c r="AK840" s="289"/>
      <c r="AL840" s="289"/>
      <c r="AM840" s="289"/>
      <c r="AN840" s="289"/>
      <c r="AO840" s="289"/>
      <c r="AP840" s="289"/>
      <c r="AQ840" s="289"/>
      <c r="AR840" s="289"/>
      <c r="AS840" s="289"/>
      <c r="AT840" s="289"/>
      <c r="AU840" s="289"/>
      <c r="AV840" s="289"/>
      <c r="AW840" s="289"/>
      <c r="AX840" s="289"/>
      <c r="AY840" s="289"/>
    </row>
    <row r="841" spans="1:51" ht="13.5" customHeight="1">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c r="AA841" s="289"/>
      <c r="AB841" s="289"/>
      <c r="AC841" s="289"/>
      <c r="AD841" s="289"/>
      <c r="AE841" s="289"/>
      <c r="AF841" s="289"/>
      <c r="AG841" s="289"/>
      <c r="AH841" s="289"/>
      <c r="AI841" s="289"/>
      <c r="AJ841" s="289"/>
      <c r="AK841" s="289"/>
      <c r="AL841" s="289"/>
      <c r="AM841" s="289"/>
      <c r="AN841" s="289"/>
      <c r="AO841" s="289"/>
      <c r="AP841" s="289"/>
      <c r="AQ841" s="289"/>
      <c r="AR841" s="289"/>
      <c r="AS841" s="289"/>
      <c r="AT841" s="289"/>
      <c r="AU841" s="289"/>
      <c r="AV841" s="289"/>
      <c r="AW841" s="289"/>
      <c r="AX841" s="289"/>
      <c r="AY841" s="289"/>
    </row>
    <row r="842" spans="1:51" ht="13.5" customHeight="1">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c r="AA842" s="289"/>
      <c r="AB842" s="289"/>
      <c r="AC842" s="289"/>
      <c r="AD842" s="289"/>
      <c r="AE842" s="289"/>
      <c r="AF842" s="289"/>
      <c r="AG842" s="289"/>
      <c r="AH842" s="289"/>
      <c r="AI842" s="289"/>
      <c r="AJ842" s="289"/>
      <c r="AK842" s="289"/>
      <c r="AL842" s="289"/>
      <c r="AM842" s="289"/>
      <c r="AN842" s="289"/>
      <c r="AO842" s="289"/>
      <c r="AP842" s="289"/>
      <c r="AQ842" s="289"/>
      <c r="AR842" s="289"/>
      <c r="AS842" s="289"/>
      <c r="AT842" s="289"/>
      <c r="AU842" s="289"/>
      <c r="AV842" s="289"/>
      <c r="AW842" s="289"/>
      <c r="AX842" s="289"/>
      <c r="AY842" s="289"/>
    </row>
    <row r="843" spans="1:51" ht="13.5" customHeight="1">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c r="AA843" s="289"/>
      <c r="AB843" s="289"/>
      <c r="AC843" s="289"/>
      <c r="AD843" s="289"/>
      <c r="AE843" s="289"/>
      <c r="AF843" s="289"/>
      <c r="AG843" s="289"/>
      <c r="AH843" s="289"/>
      <c r="AI843" s="289"/>
      <c r="AJ843" s="289"/>
      <c r="AK843" s="289"/>
      <c r="AL843" s="289"/>
      <c r="AM843" s="289"/>
      <c r="AN843" s="289"/>
      <c r="AO843" s="289"/>
      <c r="AP843" s="289"/>
      <c r="AQ843" s="289"/>
      <c r="AR843" s="289"/>
      <c r="AS843" s="289"/>
      <c r="AT843" s="289"/>
      <c r="AU843" s="289"/>
      <c r="AV843" s="289"/>
      <c r="AW843" s="289"/>
      <c r="AX843" s="289"/>
      <c r="AY843" s="289"/>
    </row>
    <row r="844" spans="1:51" ht="13.5" customHeight="1">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c r="AA844" s="289"/>
      <c r="AB844" s="289"/>
      <c r="AC844" s="289"/>
      <c r="AD844" s="289"/>
      <c r="AE844" s="289"/>
      <c r="AF844" s="289"/>
      <c r="AG844" s="289"/>
      <c r="AH844" s="289"/>
      <c r="AI844" s="289"/>
      <c r="AJ844" s="289"/>
      <c r="AK844" s="289"/>
      <c r="AL844" s="289"/>
      <c r="AM844" s="289"/>
      <c r="AN844" s="289"/>
      <c r="AO844" s="289"/>
      <c r="AP844" s="289"/>
      <c r="AQ844" s="289"/>
      <c r="AR844" s="289"/>
      <c r="AS844" s="289"/>
      <c r="AT844" s="289"/>
      <c r="AU844" s="289"/>
      <c r="AV844" s="289"/>
      <c r="AW844" s="289"/>
      <c r="AX844" s="289"/>
      <c r="AY844" s="289"/>
    </row>
    <row r="845" spans="1:51" ht="13.5" customHeight="1">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c r="AA845" s="289"/>
      <c r="AB845" s="289"/>
      <c r="AC845" s="289"/>
      <c r="AD845" s="289"/>
      <c r="AE845" s="289"/>
      <c r="AF845" s="289"/>
      <c r="AG845" s="289"/>
      <c r="AH845" s="289"/>
      <c r="AI845" s="289"/>
      <c r="AJ845" s="289"/>
      <c r="AK845" s="289"/>
      <c r="AL845" s="289"/>
      <c r="AM845" s="289"/>
      <c r="AN845" s="289"/>
      <c r="AO845" s="289"/>
      <c r="AP845" s="289"/>
      <c r="AQ845" s="289"/>
      <c r="AR845" s="289"/>
      <c r="AS845" s="289"/>
      <c r="AT845" s="289"/>
      <c r="AU845" s="289"/>
      <c r="AV845" s="289"/>
      <c r="AW845" s="289"/>
      <c r="AX845" s="289"/>
      <c r="AY845" s="289"/>
    </row>
    <row r="846" spans="1:51" ht="13.5" customHeight="1">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c r="AA846" s="289"/>
      <c r="AB846" s="289"/>
      <c r="AC846" s="289"/>
      <c r="AD846" s="289"/>
      <c r="AE846" s="289"/>
      <c r="AF846" s="289"/>
      <c r="AG846" s="289"/>
      <c r="AH846" s="289"/>
      <c r="AI846" s="289"/>
      <c r="AJ846" s="289"/>
      <c r="AK846" s="289"/>
      <c r="AL846" s="289"/>
      <c r="AM846" s="289"/>
      <c r="AN846" s="289"/>
      <c r="AO846" s="289"/>
      <c r="AP846" s="289"/>
      <c r="AQ846" s="289"/>
      <c r="AR846" s="289"/>
      <c r="AS846" s="289"/>
      <c r="AT846" s="289"/>
      <c r="AU846" s="289"/>
      <c r="AV846" s="289"/>
      <c r="AW846" s="289"/>
      <c r="AX846" s="289"/>
      <c r="AY846" s="289"/>
    </row>
    <row r="847" spans="1:51" ht="13.5" customHeight="1">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c r="AA847" s="289"/>
      <c r="AB847" s="289"/>
      <c r="AC847" s="289"/>
      <c r="AD847" s="289"/>
      <c r="AE847" s="289"/>
      <c r="AF847" s="289"/>
      <c r="AG847" s="289"/>
      <c r="AH847" s="289"/>
      <c r="AI847" s="289"/>
      <c r="AJ847" s="289"/>
      <c r="AK847" s="289"/>
      <c r="AL847" s="289"/>
      <c r="AM847" s="289"/>
      <c r="AN847" s="289"/>
      <c r="AO847" s="289"/>
      <c r="AP847" s="289"/>
      <c r="AQ847" s="289"/>
      <c r="AR847" s="289"/>
      <c r="AS847" s="289"/>
      <c r="AT847" s="289"/>
      <c r="AU847" s="289"/>
      <c r="AV847" s="289"/>
      <c r="AW847" s="289"/>
      <c r="AX847" s="289"/>
      <c r="AY847" s="289"/>
    </row>
    <row r="848" spans="1:51" ht="13.5" customHeight="1">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c r="AA848" s="289"/>
      <c r="AB848" s="289"/>
      <c r="AC848" s="289"/>
      <c r="AD848" s="289"/>
      <c r="AE848" s="289"/>
      <c r="AF848" s="289"/>
      <c r="AG848" s="289"/>
      <c r="AH848" s="289"/>
      <c r="AI848" s="289"/>
      <c r="AJ848" s="289"/>
      <c r="AK848" s="289"/>
      <c r="AL848" s="289"/>
      <c r="AM848" s="289"/>
      <c r="AN848" s="289"/>
      <c r="AO848" s="289"/>
      <c r="AP848" s="289"/>
      <c r="AQ848" s="289"/>
      <c r="AR848" s="289"/>
      <c r="AS848" s="289"/>
      <c r="AT848" s="289"/>
      <c r="AU848" s="289"/>
      <c r="AV848" s="289"/>
      <c r="AW848" s="289"/>
      <c r="AX848" s="289"/>
      <c r="AY848" s="289"/>
    </row>
    <row r="849" spans="1:51" ht="13.5" customHeight="1">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c r="AA849" s="289"/>
      <c r="AB849" s="289"/>
      <c r="AC849" s="289"/>
      <c r="AD849" s="289"/>
      <c r="AE849" s="289"/>
      <c r="AF849" s="289"/>
      <c r="AG849" s="289"/>
      <c r="AH849" s="289"/>
      <c r="AI849" s="289"/>
      <c r="AJ849" s="289"/>
      <c r="AK849" s="289"/>
      <c r="AL849" s="289"/>
      <c r="AM849" s="289"/>
      <c r="AN849" s="289"/>
      <c r="AO849" s="289"/>
      <c r="AP849" s="289"/>
      <c r="AQ849" s="289"/>
      <c r="AR849" s="289"/>
      <c r="AS849" s="289"/>
      <c r="AT849" s="289"/>
      <c r="AU849" s="289"/>
      <c r="AV849" s="289"/>
      <c r="AW849" s="289"/>
      <c r="AX849" s="289"/>
      <c r="AY849" s="289"/>
    </row>
    <row r="850" spans="1:51" ht="13.5" customHeight="1">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c r="AA850" s="289"/>
      <c r="AB850" s="289"/>
      <c r="AC850" s="289"/>
      <c r="AD850" s="289"/>
      <c r="AE850" s="289"/>
      <c r="AF850" s="289"/>
      <c r="AG850" s="289"/>
      <c r="AH850" s="289"/>
      <c r="AI850" s="289"/>
      <c r="AJ850" s="289"/>
      <c r="AK850" s="289"/>
      <c r="AL850" s="289"/>
      <c r="AM850" s="289"/>
      <c r="AN850" s="289"/>
      <c r="AO850" s="289"/>
      <c r="AP850" s="289"/>
      <c r="AQ850" s="289"/>
      <c r="AR850" s="289"/>
      <c r="AS850" s="289"/>
      <c r="AT850" s="289"/>
      <c r="AU850" s="289"/>
      <c r="AV850" s="289"/>
      <c r="AW850" s="289"/>
      <c r="AX850" s="289"/>
      <c r="AY850" s="289"/>
    </row>
    <row r="851" spans="1:51" ht="13.5" customHeight="1">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c r="AA851" s="289"/>
      <c r="AB851" s="289"/>
      <c r="AC851" s="289"/>
      <c r="AD851" s="289"/>
      <c r="AE851" s="289"/>
      <c r="AF851" s="289"/>
      <c r="AG851" s="289"/>
      <c r="AH851" s="289"/>
      <c r="AI851" s="289"/>
      <c r="AJ851" s="289"/>
      <c r="AK851" s="289"/>
      <c r="AL851" s="289"/>
      <c r="AM851" s="289"/>
      <c r="AN851" s="289"/>
      <c r="AO851" s="289"/>
      <c r="AP851" s="289"/>
      <c r="AQ851" s="289"/>
      <c r="AR851" s="289"/>
      <c r="AS851" s="289"/>
      <c r="AT851" s="289"/>
      <c r="AU851" s="289"/>
      <c r="AV851" s="289"/>
      <c r="AW851" s="289"/>
      <c r="AX851" s="289"/>
      <c r="AY851" s="289"/>
    </row>
    <row r="852" spans="1:51" ht="13.5" customHeight="1">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c r="AA852" s="289"/>
      <c r="AB852" s="289"/>
      <c r="AC852" s="289"/>
      <c r="AD852" s="289"/>
      <c r="AE852" s="289"/>
      <c r="AF852" s="289"/>
      <c r="AG852" s="289"/>
      <c r="AH852" s="289"/>
      <c r="AI852" s="289"/>
      <c r="AJ852" s="289"/>
      <c r="AK852" s="289"/>
      <c r="AL852" s="289"/>
      <c r="AM852" s="289"/>
      <c r="AN852" s="289"/>
      <c r="AO852" s="289"/>
      <c r="AP852" s="289"/>
      <c r="AQ852" s="289"/>
      <c r="AR852" s="289"/>
      <c r="AS852" s="289"/>
      <c r="AT852" s="289"/>
      <c r="AU852" s="289"/>
      <c r="AV852" s="289"/>
      <c r="AW852" s="289"/>
      <c r="AX852" s="289"/>
      <c r="AY852" s="289"/>
    </row>
    <row r="853" spans="1:51" ht="13.5" customHeight="1">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c r="AA853" s="289"/>
      <c r="AB853" s="289"/>
      <c r="AC853" s="289"/>
      <c r="AD853" s="289"/>
      <c r="AE853" s="289"/>
      <c r="AF853" s="289"/>
      <c r="AG853" s="289"/>
      <c r="AH853" s="289"/>
      <c r="AI853" s="289"/>
      <c r="AJ853" s="289"/>
      <c r="AK853" s="289"/>
      <c r="AL853" s="289"/>
      <c r="AM853" s="289"/>
      <c r="AN853" s="289"/>
      <c r="AO853" s="289"/>
      <c r="AP853" s="289"/>
      <c r="AQ853" s="289"/>
      <c r="AR853" s="289"/>
      <c r="AS853" s="289"/>
      <c r="AT853" s="289"/>
      <c r="AU853" s="289"/>
      <c r="AV853" s="289"/>
      <c r="AW853" s="289"/>
      <c r="AX853" s="289"/>
      <c r="AY853" s="289"/>
    </row>
    <row r="854" spans="1:51" ht="13.5" customHeight="1">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c r="AA854" s="289"/>
      <c r="AB854" s="289"/>
      <c r="AC854" s="289"/>
      <c r="AD854" s="289"/>
      <c r="AE854" s="289"/>
      <c r="AF854" s="289"/>
      <c r="AG854" s="289"/>
      <c r="AH854" s="289"/>
      <c r="AI854" s="289"/>
      <c r="AJ854" s="289"/>
      <c r="AK854" s="289"/>
      <c r="AL854" s="289"/>
      <c r="AM854" s="289"/>
      <c r="AN854" s="289"/>
      <c r="AO854" s="289"/>
      <c r="AP854" s="289"/>
      <c r="AQ854" s="289"/>
      <c r="AR854" s="289"/>
      <c r="AS854" s="289"/>
      <c r="AT854" s="289"/>
      <c r="AU854" s="289"/>
      <c r="AV854" s="289"/>
      <c r="AW854" s="289"/>
      <c r="AX854" s="289"/>
      <c r="AY854" s="289"/>
    </row>
    <row r="855" spans="1:51" ht="13.5" customHeight="1">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c r="AA855" s="289"/>
      <c r="AB855" s="289"/>
      <c r="AC855" s="289"/>
      <c r="AD855" s="289"/>
      <c r="AE855" s="289"/>
      <c r="AF855" s="289"/>
      <c r="AG855" s="289"/>
      <c r="AH855" s="289"/>
      <c r="AI855" s="289"/>
      <c r="AJ855" s="289"/>
      <c r="AK855" s="289"/>
      <c r="AL855" s="289"/>
      <c r="AM855" s="289"/>
      <c r="AN855" s="289"/>
      <c r="AO855" s="289"/>
      <c r="AP855" s="289"/>
      <c r="AQ855" s="289"/>
      <c r="AR855" s="289"/>
      <c r="AS855" s="289"/>
      <c r="AT855" s="289"/>
      <c r="AU855" s="289"/>
      <c r="AV855" s="289"/>
      <c r="AW855" s="289"/>
      <c r="AX855" s="289"/>
      <c r="AY855" s="289"/>
    </row>
    <row r="856" spans="1:51" ht="13.5" customHeight="1">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c r="AA856" s="289"/>
      <c r="AB856" s="289"/>
      <c r="AC856" s="289"/>
      <c r="AD856" s="289"/>
      <c r="AE856" s="289"/>
      <c r="AF856" s="289"/>
      <c r="AG856" s="289"/>
      <c r="AH856" s="289"/>
      <c r="AI856" s="289"/>
      <c r="AJ856" s="289"/>
      <c r="AK856" s="289"/>
      <c r="AL856" s="289"/>
      <c r="AM856" s="289"/>
      <c r="AN856" s="289"/>
      <c r="AO856" s="289"/>
      <c r="AP856" s="289"/>
      <c r="AQ856" s="289"/>
      <c r="AR856" s="289"/>
      <c r="AS856" s="289"/>
      <c r="AT856" s="289"/>
      <c r="AU856" s="289"/>
      <c r="AV856" s="289"/>
      <c r="AW856" s="289"/>
      <c r="AX856" s="289"/>
      <c r="AY856" s="289"/>
    </row>
    <row r="857" spans="1:51" ht="13.5" customHeight="1">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c r="AA857" s="289"/>
      <c r="AB857" s="289"/>
      <c r="AC857" s="289"/>
      <c r="AD857" s="289"/>
      <c r="AE857" s="289"/>
      <c r="AF857" s="289"/>
      <c r="AG857" s="289"/>
      <c r="AH857" s="289"/>
      <c r="AI857" s="289"/>
      <c r="AJ857" s="289"/>
      <c r="AK857" s="289"/>
      <c r="AL857" s="289"/>
      <c r="AM857" s="289"/>
      <c r="AN857" s="289"/>
      <c r="AO857" s="289"/>
      <c r="AP857" s="289"/>
      <c r="AQ857" s="289"/>
      <c r="AR857" s="289"/>
      <c r="AS857" s="289"/>
      <c r="AT857" s="289"/>
      <c r="AU857" s="289"/>
      <c r="AV857" s="289"/>
      <c r="AW857" s="289"/>
      <c r="AX857" s="289"/>
      <c r="AY857" s="289"/>
    </row>
    <row r="858" spans="1:51" ht="13.5" customHeight="1">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c r="AA858" s="289"/>
      <c r="AB858" s="289"/>
      <c r="AC858" s="289"/>
      <c r="AD858" s="289"/>
      <c r="AE858" s="289"/>
      <c r="AF858" s="289"/>
      <c r="AG858" s="289"/>
      <c r="AH858" s="289"/>
      <c r="AI858" s="289"/>
      <c r="AJ858" s="289"/>
      <c r="AK858" s="289"/>
      <c r="AL858" s="289"/>
      <c r="AM858" s="289"/>
      <c r="AN858" s="289"/>
      <c r="AO858" s="289"/>
      <c r="AP858" s="289"/>
      <c r="AQ858" s="289"/>
      <c r="AR858" s="289"/>
      <c r="AS858" s="289"/>
      <c r="AT858" s="289"/>
      <c r="AU858" s="289"/>
      <c r="AV858" s="289"/>
      <c r="AW858" s="289"/>
      <c r="AX858" s="289"/>
      <c r="AY858" s="289"/>
    </row>
    <row r="859" spans="1:51" ht="13.5" customHeight="1">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c r="AA859" s="289"/>
      <c r="AB859" s="289"/>
      <c r="AC859" s="289"/>
      <c r="AD859" s="289"/>
      <c r="AE859" s="289"/>
      <c r="AF859" s="289"/>
      <c r="AG859" s="289"/>
      <c r="AH859" s="289"/>
      <c r="AI859" s="289"/>
      <c r="AJ859" s="289"/>
      <c r="AK859" s="289"/>
      <c r="AL859" s="289"/>
      <c r="AM859" s="289"/>
      <c r="AN859" s="289"/>
      <c r="AO859" s="289"/>
      <c r="AP859" s="289"/>
      <c r="AQ859" s="289"/>
      <c r="AR859" s="289"/>
      <c r="AS859" s="289"/>
      <c r="AT859" s="289"/>
      <c r="AU859" s="289"/>
      <c r="AV859" s="289"/>
      <c r="AW859" s="289"/>
      <c r="AX859" s="289"/>
      <c r="AY859" s="289"/>
    </row>
    <row r="860" spans="1:51" ht="13.5" customHeight="1">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c r="AA860" s="289"/>
      <c r="AB860" s="289"/>
      <c r="AC860" s="289"/>
      <c r="AD860" s="289"/>
      <c r="AE860" s="289"/>
      <c r="AF860" s="289"/>
      <c r="AG860" s="289"/>
      <c r="AH860" s="289"/>
      <c r="AI860" s="289"/>
      <c r="AJ860" s="289"/>
      <c r="AK860" s="289"/>
      <c r="AL860" s="289"/>
      <c r="AM860" s="289"/>
      <c r="AN860" s="289"/>
      <c r="AO860" s="289"/>
      <c r="AP860" s="289"/>
      <c r="AQ860" s="289"/>
      <c r="AR860" s="289"/>
      <c r="AS860" s="289"/>
      <c r="AT860" s="289"/>
      <c r="AU860" s="289"/>
      <c r="AV860" s="289"/>
      <c r="AW860" s="289"/>
      <c r="AX860" s="289"/>
      <c r="AY860" s="289"/>
    </row>
    <row r="861" spans="1:51" ht="13.5" customHeight="1">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c r="AA861" s="289"/>
      <c r="AB861" s="289"/>
      <c r="AC861" s="289"/>
      <c r="AD861" s="289"/>
      <c r="AE861" s="289"/>
      <c r="AF861" s="289"/>
      <c r="AG861" s="289"/>
      <c r="AH861" s="289"/>
      <c r="AI861" s="289"/>
      <c r="AJ861" s="289"/>
      <c r="AK861" s="289"/>
      <c r="AL861" s="289"/>
      <c r="AM861" s="289"/>
      <c r="AN861" s="289"/>
      <c r="AO861" s="289"/>
      <c r="AP861" s="289"/>
      <c r="AQ861" s="289"/>
      <c r="AR861" s="289"/>
      <c r="AS861" s="289"/>
      <c r="AT861" s="289"/>
      <c r="AU861" s="289"/>
      <c r="AV861" s="289"/>
      <c r="AW861" s="289"/>
      <c r="AX861" s="289"/>
      <c r="AY861" s="289"/>
    </row>
    <row r="862" spans="1:51" ht="13.5" customHeight="1">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c r="AA862" s="289"/>
      <c r="AB862" s="289"/>
      <c r="AC862" s="289"/>
      <c r="AD862" s="289"/>
      <c r="AE862" s="289"/>
      <c r="AF862" s="289"/>
      <c r="AG862" s="289"/>
      <c r="AH862" s="289"/>
      <c r="AI862" s="289"/>
      <c r="AJ862" s="289"/>
      <c r="AK862" s="289"/>
      <c r="AL862" s="289"/>
      <c r="AM862" s="289"/>
      <c r="AN862" s="289"/>
      <c r="AO862" s="289"/>
      <c r="AP862" s="289"/>
      <c r="AQ862" s="289"/>
      <c r="AR862" s="289"/>
      <c r="AS862" s="289"/>
      <c r="AT862" s="289"/>
      <c r="AU862" s="289"/>
      <c r="AV862" s="289"/>
      <c r="AW862" s="289"/>
      <c r="AX862" s="289"/>
      <c r="AY862" s="289"/>
    </row>
    <row r="863" spans="1:51" ht="13.5" customHeight="1">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c r="AA863" s="289"/>
      <c r="AB863" s="289"/>
      <c r="AC863" s="289"/>
      <c r="AD863" s="289"/>
      <c r="AE863" s="289"/>
      <c r="AF863" s="289"/>
      <c r="AG863" s="289"/>
      <c r="AH863" s="289"/>
      <c r="AI863" s="289"/>
      <c r="AJ863" s="289"/>
      <c r="AK863" s="289"/>
      <c r="AL863" s="289"/>
      <c r="AM863" s="289"/>
      <c r="AN863" s="289"/>
      <c r="AO863" s="289"/>
      <c r="AP863" s="289"/>
      <c r="AQ863" s="289"/>
      <c r="AR863" s="289"/>
      <c r="AS863" s="289"/>
      <c r="AT863" s="289"/>
      <c r="AU863" s="289"/>
      <c r="AV863" s="289"/>
      <c r="AW863" s="289"/>
      <c r="AX863" s="289"/>
      <c r="AY863" s="289"/>
    </row>
    <row r="864" spans="1:51" ht="13.5" customHeight="1">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c r="AA864" s="289"/>
      <c r="AB864" s="289"/>
      <c r="AC864" s="289"/>
      <c r="AD864" s="289"/>
      <c r="AE864" s="289"/>
      <c r="AF864" s="289"/>
      <c r="AG864" s="289"/>
      <c r="AH864" s="289"/>
      <c r="AI864" s="289"/>
      <c r="AJ864" s="289"/>
      <c r="AK864" s="289"/>
      <c r="AL864" s="289"/>
      <c r="AM864" s="289"/>
      <c r="AN864" s="289"/>
      <c r="AO864" s="289"/>
      <c r="AP864" s="289"/>
      <c r="AQ864" s="289"/>
      <c r="AR864" s="289"/>
      <c r="AS864" s="289"/>
      <c r="AT864" s="289"/>
      <c r="AU864" s="289"/>
      <c r="AV864" s="289"/>
      <c r="AW864" s="289"/>
      <c r="AX864" s="289"/>
      <c r="AY864" s="289"/>
    </row>
    <row r="865" spans="1:51" ht="13.5" customHeight="1">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c r="AA865" s="289"/>
      <c r="AB865" s="289"/>
      <c r="AC865" s="289"/>
      <c r="AD865" s="289"/>
      <c r="AE865" s="289"/>
      <c r="AF865" s="289"/>
      <c r="AG865" s="289"/>
      <c r="AH865" s="289"/>
      <c r="AI865" s="289"/>
      <c r="AJ865" s="289"/>
      <c r="AK865" s="289"/>
      <c r="AL865" s="289"/>
      <c r="AM865" s="289"/>
      <c r="AN865" s="289"/>
      <c r="AO865" s="289"/>
      <c r="AP865" s="289"/>
      <c r="AQ865" s="289"/>
      <c r="AR865" s="289"/>
      <c r="AS865" s="289"/>
      <c r="AT865" s="289"/>
      <c r="AU865" s="289"/>
      <c r="AV865" s="289"/>
      <c r="AW865" s="289"/>
      <c r="AX865" s="289"/>
      <c r="AY865" s="289"/>
    </row>
    <row r="866" spans="1:51" ht="13.5" customHeight="1">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c r="AA866" s="289"/>
      <c r="AB866" s="289"/>
      <c r="AC866" s="289"/>
      <c r="AD866" s="289"/>
      <c r="AE866" s="289"/>
      <c r="AF866" s="289"/>
      <c r="AG866" s="289"/>
      <c r="AH866" s="289"/>
      <c r="AI866" s="289"/>
      <c r="AJ866" s="289"/>
      <c r="AK866" s="289"/>
      <c r="AL866" s="289"/>
      <c r="AM866" s="289"/>
      <c r="AN866" s="289"/>
      <c r="AO866" s="289"/>
      <c r="AP866" s="289"/>
      <c r="AQ866" s="289"/>
      <c r="AR866" s="289"/>
      <c r="AS866" s="289"/>
      <c r="AT866" s="289"/>
      <c r="AU866" s="289"/>
      <c r="AV866" s="289"/>
      <c r="AW866" s="289"/>
      <c r="AX866" s="289"/>
      <c r="AY866" s="289"/>
    </row>
    <row r="867" spans="1:51" ht="13.5" customHeight="1">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c r="AA867" s="289"/>
      <c r="AB867" s="289"/>
      <c r="AC867" s="289"/>
      <c r="AD867" s="289"/>
      <c r="AE867" s="289"/>
      <c r="AF867" s="289"/>
      <c r="AG867" s="289"/>
      <c r="AH867" s="289"/>
      <c r="AI867" s="289"/>
      <c r="AJ867" s="289"/>
      <c r="AK867" s="289"/>
      <c r="AL867" s="289"/>
      <c r="AM867" s="289"/>
      <c r="AN867" s="289"/>
      <c r="AO867" s="289"/>
      <c r="AP867" s="289"/>
      <c r="AQ867" s="289"/>
      <c r="AR867" s="289"/>
      <c r="AS867" s="289"/>
      <c r="AT867" s="289"/>
      <c r="AU867" s="289"/>
      <c r="AV867" s="289"/>
      <c r="AW867" s="289"/>
      <c r="AX867" s="289"/>
      <c r="AY867" s="289"/>
    </row>
    <row r="868" spans="1:51" ht="13.5" customHeight="1">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c r="AA868" s="289"/>
      <c r="AB868" s="289"/>
      <c r="AC868" s="289"/>
      <c r="AD868" s="289"/>
      <c r="AE868" s="289"/>
      <c r="AF868" s="289"/>
      <c r="AG868" s="289"/>
      <c r="AH868" s="289"/>
      <c r="AI868" s="289"/>
      <c r="AJ868" s="289"/>
      <c r="AK868" s="289"/>
      <c r="AL868" s="289"/>
      <c r="AM868" s="289"/>
      <c r="AN868" s="289"/>
      <c r="AO868" s="289"/>
      <c r="AP868" s="289"/>
      <c r="AQ868" s="289"/>
      <c r="AR868" s="289"/>
      <c r="AS868" s="289"/>
      <c r="AT868" s="289"/>
      <c r="AU868" s="289"/>
      <c r="AV868" s="289"/>
      <c r="AW868" s="289"/>
      <c r="AX868" s="289"/>
      <c r="AY868" s="289"/>
    </row>
    <row r="869" spans="1:51" ht="13.5" customHeight="1">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c r="AA869" s="289"/>
      <c r="AB869" s="289"/>
      <c r="AC869" s="289"/>
      <c r="AD869" s="289"/>
      <c r="AE869" s="289"/>
      <c r="AF869" s="289"/>
      <c r="AG869" s="289"/>
      <c r="AH869" s="289"/>
      <c r="AI869" s="289"/>
      <c r="AJ869" s="289"/>
      <c r="AK869" s="289"/>
      <c r="AL869" s="289"/>
      <c r="AM869" s="289"/>
      <c r="AN869" s="289"/>
      <c r="AO869" s="289"/>
      <c r="AP869" s="289"/>
      <c r="AQ869" s="289"/>
      <c r="AR869" s="289"/>
      <c r="AS869" s="289"/>
      <c r="AT869" s="289"/>
      <c r="AU869" s="289"/>
      <c r="AV869" s="289"/>
      <c r="AW869" s="289"/>
      <c r="AX869" s="289"/>
      <c r="AY869" s="289"/>
    </row>
    <row r="870" spans="1:51" ht="13.5" customHeight="1">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c r="AA870" s="289"/>
      <c r="AB870" s="289"/>
      <c r="AC870" s="289"/>
      <c r="AD870" s="289"/>
      <c r="AE870" s="289"/>
      <c r="AF870" s="289"/>
      <c r="AG870" s="289"/>
      <c r="AH870" s="289"/>
      <c r="AI870" s="289"/>
      <c r="AJ870" s="289"/>
      <c r="AK870" s="289"/>
      <c r="AL870" s="289"/>
      <c r="AM870" s="289"/>
      <c r="AN870" s="289"/>
      <c r="AO870" s="289"/>
      <c r="AP870" s="289"/>
      <c r="AQ870" s="289"/>
      <c r="AR870" s="289"/>
      <c r="AS870" s="289"/>
      <c r="AT870" s="289"/>
      <c r="AU870" s="289"/>
      <c r="AV870" s="289"/>
      <c r="AW870" s="289"/>
      <c r="AX870" s="289"/>
      <c r="AY870" s="289"/>
    </row>
    <row r="871" spans="1:51" ht="13.5" customHeight="1">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c r="AA871" s="289"/>
      <c r="AB871" s="289"/>
      <c r="AC871" s="289"/>
      <c r="AD871" s="289"/>
      <c r="AE871" s="289"/>
      <c r="AF871" s="289"/>
      <c r="AG871" s="289"/>
      <c r="AH871" s="289"/>
      <c r="AI871" s="289"/>
      <c r="AJ871" s="289"/>
      <c r="AK871" s="289"/>
      <c r="AL871" s="289"/>
      <c r="AM871" s="289"/>
      <c r="AN871" s="289"/>
      <c r="AO871" s="289"/>
      <c r="AP871" s="289"/>
      <c r="AQ871" s="289"/>
      <c r="AR871" s="289"/>
      <c r="AS871" s="289"/>
      <c r="AT871" s="289"/>
      <c r="AU871" s="289"/>
      <c r="AV871" s="289"/>
      <c r="AW871" s="289"/>
      <c r="AX871" s="289"/>
      <c r="AY871" s="289"/>
    </row>
    <row r="872" spans="1:51" ht="13.5" customHeight="1">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c r="AA872" s="289"/>
      <c r="AB872" s="289"/>
      <c r="AC872" s="289"/>
      <c r="AD872" s="289"/>
      <c r="AE872" s="289"/>
      <c r="AF872" s="289"/>
      <c r="AG872" s="289"/>
      <c r="AH872" s="289"/>
      <c r="AI872" s="289"/>
      <c r="AJ872" s="289"/>
      <c r="AK872" s="289"/>
      <c r="AL872" s="289"/>
      <c r="AM872" s="289"/>
      <c r="AN872" s="289"/>
      <c r="AO872" s="289"/>
      <c r="AP872" s="289"/>
      <c r="AQ872" s="289"/>
      <c r="AR872" s="289"/>
      <c r="AS872" s="289"/>
      <c r="AT872" s="289"/>
      <c r="AU872" s="289"/>
      <c r="AV872" s="289"/>
      <c r="AW872" s="289"/>
      <c r="AX872" s="289"/>
      <c r="AY872" s="289"/>
    </row>
    <row r="873" spans="1:51" ht="13.5" customHeight="1">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c r="AA873" s="289"/>
      <c r="AB873" s="289"/>
      <c r="AC873" s="289"/>
      <c r="AD873" s="289"/>
      <c r="AE873" s="289"/>
      <c r="AF873" s="289"/>
      <c r="AG873" s="289"/>
      <c r="AH873" s="289"/>
      <c r="AI873" s="289"/>
      <c r="AJ873" s="289"/>
      <c r="AK873" s="289"/>
      <c r="AL873" s="289"/>
      <c r="AM873" s="289"/>
      <c r="AN873" s="289"/>
      <c r="AO873" s="289"/>
      <c r="AP873" s="289"/>
      <c r="AQ873" s="289"/>
      <c r="AR873" s="289"/>
      <c r="AS873" s="289"/>
      <c r="AT873" s="289"/>
      <c r="AU873" s="289"/>
      <c r="AV873" s="289"/>
      <c r="AW873" s="289"/>
      <c r="AX873" s="289"/>
      <c r="AY873" s="289"/>
    </row>
    <row r="874" spans="1:51" ht="13.5" customHeight="1">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c r="AA874" s="289"/>
      <c r="AB874" s="289"/>
      <c r="AC874" s="289"/>
      <c r="AD874" s="289"/>
      <c r="AE874" s="289"/>
      <c r="AF874" s="289"/>
      <c r="AG874" s="289"/>
      <c r="AH874" s="289"/>
      <c r="AI874" s="289"/>
      <c r="AJ874" s="289"/>
      <c r="AK874" s="289"/>
      <c r="AL874" s="289"/>
      <c r="AM874" s="289"/>
      <c r="AN874" s="289"/>
      <c r="AO874" s="289"/>
      <c r="AP874" s="289"/>
      <c r="AQ874" s="289"/>
      <c r="AR874" s="289"/>
      <c r="AS874" s="289"/>
      <c r="AT874" s="289"/>
      <c r="AU874" s="289"/>
      <c r="AV874" s="289"/>
      <c r="AW874" s="289"/>
      <c r="AX874" s="289"/>
      <c r="AY874" s="289"/>
    </row>
    <row r="875" spans="1:51" ht="13.5" customHeight="1">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c r="AA875" s="289"/>
      <c r="AB875" s="289"/>
      <c r="AC875" s="289"/>
      <c r="AD875" s="289"/>
      <c r="AE875" s="289"/>
      <c r="AF875" s="289"/>
      <c r="AG875" s="289"/>
      <c r="AH875" s="289"/>
      <c r="AI875" s="289"/>
      <c r="AJ875" s="289"/>
      <c r="AK875" s="289"/>
      <c r="AL875" s="289"/>
      <c r="AM875" s="289"/>
      <c r="AN875" s="289"/>
      <c r="AO875" s="289"/>
      <c r="AP875" s="289"/>
      <c r="AQ875" s="289"/>
      <c r="AR875" s="289"/>
      <c r="AS875" s="289"/>
      <c r="AT875" s="289"/>
      <c r="AU875" s="289"/>
      <c r="AV875" s="289"/>
      <c r="AW875" s="289"/>
      <c r="AX875" s="289"/>
      <c r="AY875" s="289"/>
    </row>
    <row r="876" spans="1:51" ht="13.5" customHeight="1">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c r="AA876" s="289"/>
      <c r="AB876" s="289"/>
      <c r="AC876" s="289"/>
      <c r="AD876" s="289"/>
      <c r="AE876" s="289"/>
      <c r="AF876" s="289"/>
      <c r="AG876" s="289"/>
      <c r="AH876" s="289"/>
      <c r="AI876" s="289"/>
      <c r="AJ876" s="289"/>
      <c r="AK876" s="289"/>
      <c r="AL876" s="289"/>
      <c r="AM876" s="289"/>
      <c r="AN876" s="289"/>
      <c r="AO876" s="289"/>
      <c r="AP876" s="289"/>
      <c r="AQ876" s="289"/>
      <c r="AR876" s="289"/>
      <c r="AS876" s="289"/>
      <c r="AT876" s="289"/>
      <c r="AU876" s="289"/>
      <c r="AV876" s="289"/>
      <c r="AW876" s="289"/>
      <c r="AX876" s="289"/>
      <c r="AY876" s="289"/>
    </row>
    <row r="877" spans="1:51" ht="13.5" customHeight="1">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c r="AA877" s="289"/>
      <c r="AB877" s="289"/>
      <c r="AC877" s="289"/>
      <c r="AD877" s="289"/>
      <c r="AE877" s="289"/>
      <c r="AF877" s="289"/>
      <c r="AG877" s="289"/>
      <c r="AH877" s="289"/>
      <c r="AI877" s="289"/>
      <c r="AJ877" s="289"/>
      <c r="AK877" s="289"/>
      <c r="AL877" s="289"/>
      <c r="AM877" s="289"/>
      <c r="AN877" s="289"/>
      <c r="AO877" s="289"/>
      <c r="AP877" s="289"/>
      <c r="AQ877" s="289"/>
      <c r="AR877" s="289"/>
      <c r="AS877" s="289"/>
      <c r="AT877" s="289"/>
      <c r="AU877" s="289"/>
      <c r="AV877" s="289"/>
      <c r="AW877" s="289"/>
      <c r="AX877" s="289"/>
      <c r="AY877" s="289"/>
    </row>
    <row r="878" spans="1:51" ht="13.5" customHeight="1">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c r="AA878" s="289"/>
      <c r="AB878" s="289"/>
      <c r="AC878" s="289"/>
      <c r="AD878" s="289"/>
      <c r="AE878" s="289"/>
      <c r="AF878" s="289"/>
      <c r="AG878" s="289"/>
      <c r="AH878" s="289"/>
      <c r="AI878" s="289"/>
      <c r="AJ878" s="289"/>
      <c r="AK878" s="289"/>
      <c r="AL878" s="289"/>
      <c r="AM878" s="289"/>
      <c r="AN878" s="289"/>
      <c r="AO878" s="289"/>
      <c r="AP878" s="289"/>
      <c r="AQ878" s="289"/>
      <c r="AR878" s="289"/>
      <c r="AS878" s="289"/>
      <c r="AT878" s="289"/>
      <c r="AU878" s="289"/>
      <c r="AV878" s="289"/>
      <c r="AW878" s="289"/>
      <c r="AX878" s="289"/>
      <c r="AY878" s="289"/>
    </row>
    <row r="879" spans="1:51" ht="13.5" customHeight="1">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c r="AA879" s="289"/>
      <c r="AB879" s="289"/>
      <c r="AC879" s="289"/>
      <c r="AD879" s="289"/>
      <c r="AE879" s="289"/>
      <c r="AF879" s="289"/>
      <c r="AG879" s="289"/>
      <c r="AH879" s="289"/>
      <c r="AI879" s="289"/>
      <c r="AJ879" s="289"/>
      <c r="AK879" s="289"/>
      <c r="AL879" s="289"/>
      <c r="AM879" s="289"/>
      <c r="AN879" s="289"/>
      <c r="AO879" s="289"/>
      <c r="AP879" s="289"/>
      <c r="AQ879" s="289"/>
      <c r="AR879" s="289"/>
      <c r="AS879" s="289"/>
      <c r="AT879" s="289"/>
      <c r="AU879" s="289"/>
      <c r="AV879" s="289"/>
      <c r="AW879" s="289"/>
      <c r="AX879" s="289"/>
      <c r="AY879" s="289"/>
    </row>
    <row r="880" spans="1:51" ht="13.5" customHeight="1">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c r="AA880" s="289"/>
      <c r="AB880" s="289"/>
      <c r="AC880" s="289"/>
      <c r="AD880" s="289"/>
      <c r="AE880" s="289"/>
      <c r="AF880" s="289"/>
      <c r="AG880" s="289"/>
      <c r="AH880" s="289"/>
      <c r="AI880" s="289"/>
      <c r="AJ880" s="289"/>
      <c r="AK880" s="289"/>
      <c r="AL880" s="289"/>
      <c r="AM880" s="289"/>
      <c r="AN880" s="289"/>
      <c r="AO880" s="289"/>
      <c r="AP880" s="289"/>
      <c r="AQ880" s="289"/>
      <c r="AR880" s="289"/>
      <c r="AS880" s="289"/>
      <c r="AT880" s="289"/>
      <c r="AU880" s="289"/>
      <c r="AV880" s="289"/>
      <c r="AW880" s="289"/>
      <c r="AX880" s="289"/>
      <c r="AY880" s="289"/>
    </row>
    <row r="881" spans="1:51" ht="13.5" customHeight="1">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c r="AA881" s="289"/>
      <c r="AB881" s="289"/>
      <c r="AC881" s="289"/>
      <c r="AD881" s="289"/>
      <c r="AE881" s="289"/>
      <c r="AF881" s="289"/>
      <c r="AG881" s="289"/>
      <c r="AH881" s="289"/>
      <c r="AI881" s="289"/>
      <c r="AJ881" s="289"/>
      <c r="AK881" s="289"/>
      <c r="AL881" s="289"/>
      <c r="AM881" s="289"/>
      <c r="AN881" s="289"/>
      <c r="AO881" s="289"/>
      <c r="AP881" s="289"/>
      <c r="AQ881" s="289"/>
      <c r="AR881" s="289"/>
      <c r="AS881" s="289"/>
      <c r="AT881" s="289"/>
      <c r="AU881" s="289"/>
      <c r="AV881" s="289"/>
      <c r="AW881" s="289"/>
      <c r="AX881" s="289"/>
      <c r="AY881" s="289"/>
    </row>
    <row r="882" spans="1:51" ht="13.5" customHeight="1">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c r="AA882" s="289"/>
      <c r="AB882" s="289"/>
      <c r="AC882" s="289"/>
      <c r="AD882" s="289"/>
      <c r="AE882" s="289"/>
      <c r="AF882" s="289"/>
      <c r="AG882" s="289"/>
      <c r="AH882" s="289"/>
      <c r="AI882" s="289"/>
      <c r="AJ882" s="289"/>
      <c r="AK882" s="289"/>
      <c r="AL882" s="289"/>
      <c r="AM882" s="289"/>
      <c r="AN882" s="289"/>
      <c r="AO882" s="289"/>
      <c r="AP882" s="289"/>
      <c r="AQ882" s="289"/>
      <c r="AR882" s="289"/>
      <c r="AS882" s="289"/>
      <c r="AT882" s="289"/>
      <c r="AU882" s="289"/>
      <c r="AV882" s="289"/>
      <c r="AW882" s="289"/>
      <c r="AX882" s="289"/>
      <c r="AY882" s="289"/>
    </row>
    <row r="883" spans="1:51" ht="13.5" customHeight="1">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c r="AA883" s="289"/>
      <c r="AB883" s="289"/>
      <c r="AC883" s="289"/>
      <c r="AD883" s="289"/>
      <c r="AE883" s="289"/>
      <c r="AF883" s="289"/>
      <c r="AG883" s="289"/>
      <c r="AH883" s="289"/>
      <c r="AI883" s="289"/>
      <c r="AJ883" s="289"/>
      <c r="AK883" s="289"/>
      <c r="AL883" s="289"/>
      <c r="AM883" s="289"/>
      <c r="AN883" s="289"/>
      <c r="AO883" s="289"/>
      <c r="AP883" s="289"/>
      <c r="AQ883" s="289"/>
      <c r="AR883" s="289"/>
      <c r="AS883" s="289"/>
      <c r="AT883" s="289"/>
      <c r="AU883" s="289"/>
      <c r="AV883" s="289"/>
      <c r="AW883" s="289"/>
      <c r="AX883" s="289"/>
      <c r="AY883" s="289"/>
    </row>
    <row r="884" spans="1:51" ht="13.5" customHeight="1">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c r="AA884" s="289"/>
      <c r="AB884" s="289"/>
      <c r="AC884" s="289"/>
      <c r="AD884" s="289"/>
      <c r="AE884" s="289"/>
      <c r="AF884" s="289"/>
      <c r="AG884" s="289"/>
      <c r="AH884" s="289"/>
      <c r="AI884" s="289"/>
      <c r="AJ884" s="289"/>
      <c r="AK884" s="289"/>
      <c r="AL884" s="289"/>
      <c r="AM884" s="289"/>
      <c r="AN884" s="289"/>
      <c r="AO884" s="289"/>
      <c r="AP884" s="289"/>
      <c r="AQ884" s="289"/>
      <c r="AR884" s="289"/>
      <c r="AS884" s="289"/>
      <c r="AT884" s="289"/>
      <c r="AU884" s="289"/>
      <c r="AV884" s="289"/>
      <c r="AW884" s="289"/>
      <c r="AX884" s="289"/>
      <c r="AY884" s="289"/>
    </row>
    <row r="885" spans="1:51" ht="13.5" customHeight="1">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c r="AA885" s="289"/>
      <c r="AB885" s="289"/>
      <c r="AC885" s="289"/>
      <c r="AD885" s="289"/>
      <c r="AE885" s="289"/>
      <c r="AF885" s="289"/>
      <c r="AG885" s="289"/>
      <c r="AH885" s="289"/>
      <c r="AI885" s="289"/>
      <c r="AJ885" s="289"/>
      <c r="AK885" s="289"/>
      <c r="AL885" s="289"/>
      <c r="AM885" s="289"/>
      <c r="AN885" s="289"/>
      <c r="AO885" s="289"/>
      <c r="AP885" s="289"/>
      <c r="AQ885" s="289"/>
      <c r="AR885" s="289"/>
      <c r="AS885" s="289"/>
      <c r="AT885" s="289"/>
      <c r="AU885" s="289"/>
      <c r="AV885" s="289"/>
      <c r="AW885" s="289"/>
      <c r="AX885" s="289"/>
      <c r="AY885" s="289"/>
    </row>
    <row r="886" spans="1:51" ht="13.5" customHeight="1">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c r="AA886" s="289"/>
      <c r="AB886" s="289"/>
      <c r="AC886" s="289"/>
      <c r="AD886" s="289"/>
      <c r="AE886" s="289"/>
      <c r="AF886" s="289"/>
      <c r="AG886" s="289"/>
      <c r="AH886" s="289"/>
      <c r="AI886" s="289"/>
      <c r="AJ886" s="289"/>
      <c r="AK886" s="289"/>
      <c r="AL886" s="289"/>
      <c r="AM886" s="289"/>
      <c r="AN886" s="289"/>
      <c r="AO886" s="289"/>
      <c r="AP886" s="289"/>
      <c r="AQ886" s="289"/>
      <c r="AR886" s="289"/>
      <c r="AS886" s="289"/>
      <c r="AT886" s="289"/>
      <c r="AU886" s="289"/>
      <c r="AV886" s="289"/>
      <c r="AW886" s="289"/>
      <c r="AX886" s="289"/>
      <c r="AY886" s="289"/>
    </row>
    <row r="887" spans="1:51" ht="13.5" customHeight="1">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c r="AA887" s="289"/>
      <c r="AB887" s="289"/>
      <c r="AC887" s="289"/>
      <c r="AD887" s="289"/>
      <c r="AE887" s="289"/>
      <c r="AF887" s="289"/>
      <c r="AG887" s="289"/>
      <c r="AH887" s="289"/>
      <c r="AI887" s="289"/>
      <c r="AJ887" s="289"/>
      <c r="AK887" s="289"/>
      <c r="AL887" s="289"/>
      <c r="AM887" s="289"/>
      <c r="AN887" s="289"/>
      <c r="AO887" s="289"/>
      <c r="AP887" s="289"/>
      <c r="AQ887" s="289"/>
      <c r="AR887" s="289"/>
      <c r="AS887" s="289"/>
      <c r="AT887" s="289"/>
      <c r="AU887" s="289"/>
      <c r="AV887" s="289"/>
      <c r="AW887" s="289"/>
      <c r="AX887" s="289"/>
      <c r="AY887" s="289"/>
    </row>
    <row r="888" spans="1:51" ht="13.5" customHeight="1">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c r="AA888" s="289"/>
      <c r="AB888" s="289"/>
      <c r="AC888" s="289"/>
      <c r="AD888" s="289"/>
      <c r="AE888" s="289"/>
      <c r="AF888" s="289"/>
      <c r="AG888" s="289"/>
      <c r="AH888" s="289"/>
      <c r="AI888" s="289"/>
      <c r="AJ888" s="289"/>
      <c r="AK888" s="289"/>
      <c r="AL888" s="289"/>
      <c r="AM888" s="289"/>
      <c r="AN888" s="289"/>
      <c r="AO888" s="289"/>
      <c r="AP888" s="289"/>
      <c r="AQ888" s="289"/>
      <c r="AR888" s="289"/>
      <c r="AS888" s="289"/>
      <c r="AT888" s="289"/>
      <c r="AU888" s="289"/>
      <c r="AV888" s="289"/>
      <c r="AW888" s="289"/>
      <c r="AX888" s="289"/>
      <c r="AY888" s="289"/>
    </row>
    <row r="889" spans="1:51" ht="13.5" customHeight="1">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c r="AA889" s="289"/>
      <c r="AB889" s="289"/>
      <c r="AC889" s="289"/>
      <c r="AD889" s="289"/>
      <c r="AE889" s="289"/>
      <c r="AF889" s="289"/>
      <c r="AG889" s="289"/>
      <c r="AH889" s="289"/>
      <c r="AI889" s="289"/>
      <c r="AJ889" s="289"/>
      <c r="AK889" s="289"/>
      <c r="AL889" s="289"/>
      <c r="AM889" s="289"/>
      <c r="AN889" s="289"/>
      <c r="AO889" s="289"/>
      <c r="AP889" s="289"/>
      <c r="AQ889" s="289"/>
      <c r="AR889" s="289"/>
      <c r="AS889" s="289"/>
      <c r="AT889" s="289"/>
      <c r="AU889" s="289"/>
      <c r="AV889" s="289"/>
      <c r="AW889" s="289"/>
      <c r="AX889" s="289"/>
      <c r="AY889" s="289"/>
    </row>
    <row r="890" spans="1:51" ht="13.5" customHeight="1">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c r="AA890" s="289"/>
      <c r="AB890" s="289"/>
      <c r="AC890" s="289"/>
      <c r="AD890" s="289"/>
      <c r="AE890" s="289"/>
      <c r="AF890" s="289"/>
      <c r="AG890" s="289"/>
      <c r="AH890" s="289"/>
      <c r="AI890" s="289"/>
      <c r="AJ890" s="289"/>
      <c r="AK890" s="289"/>
      <c r="AL890" s="289"/>
      <c r="AM890" s="289"/>
      <c r="AN890" s="289"/>
      <c r="AO890" s="289"/>
      <c r="AP890" s="289"/>
      <c r="AQ890" s="289"/>
      <c r="AR890" s="289"/>
      <c r="AS890" s="289"/>
      <c r="AT890" s="289"/>
      <c r="AU890" s="289"/>
      <c r="AV890" s="289"/>
      <c r="AW890" s="289"/>
      <c r="AX890" s="289"/>
      <c r="AY890" s="289"/>
    </row>
    <row r="891" spans="1:51" ht="13.5" customHeight="1">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c r="AA891" s="289"/>
      <c r="AB891" s="289"/>
      <c r="AC891" s="289"/>
      <c r="AD891" s="289"/>
      <c r="AE891" s="289"/>
      <c r="AF891" s="289"/>
      <c r="AG891" s="289"/>
      <c r="AH891" s="289"/>
      <c r="AI891" s="289"/>
      <c r="AJ891" s="289"/>
      <c r="AK891" s="289"/>
      <c r="AL891" s="289"/>
      <c r="AM891" s="289"/>
      <c r="AN891" s="289"/>
      <c r="AO891" s="289"/>
      <c r="AP891" s="289"/>
      <c r="AQ891" s="289"/>
      <c r="AR891" s="289"/>
      <c r="AS891" s="289"/>
      <c r="AT891" s="289"/>
      <c r="AU891" s="289"/>
      <c r="AV891" s="289"/>
      <c r="AW891" s="289"/>
      <c r="AX891" s="289"/>
      <c r="AY891" s="289"/>
    </row>
    <row r="892" spans="1:51" ht="13.5" customHeight="1">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c r="AA892" s="289"/>
      <c r="AB892" s="289"/>
      <c r="AC892" s="289"/>
      <c r="AD892" s="289"/>
      <c r="AE892" s="289"/>
      <c r="AF892" s="289"/>
      <c r="AG892" s="289"/>
      <c r="AH892" s="289"/>
      <c r="AI892" s="289"/>
      <c r="AJ892" s="289"/>
      <c r="AK892" s="289"/>
      <c r="AL892" s="289"/>
      <c r="AM892" s="289"/>
      <c r="AN892" s="289"/>
      <c r="AO892" s="289"/>
      <c r="AP892" s="289"/>
      <c r="AQ892" s="289"/>
      <c r="AR892" s="289"/>
      <c r="AS892" s="289"/>
      <c r="AT892" s="289"/>
      <c r="AU892" s="289"/>
      <c r="AV892" s="289"/>
      <c r="AW892" s="289"/>
      <c r="AX892" s="289"/>
      <c r="AY892" s="289"/>
    </row>
    <row r="893" spans="1:51" ht="13.5" customHeight="1">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c r="AA893" s="289"/>
      <c r="AB893" s="289"/>
      <c r="AC893" s="289"/>
      <c r="AD893" s="289"/>
      <c r="AE893" s="289"/>
      <c r="AF893" s="289"/>
      <c r="AG893" s="289"/>
      <c r="AH893" s="289"/>
      <c r="AI893" s="289"/>
      <c r="AJ893" s="289"/>
      <c r="AK893" s="289"/>
      <c r="AL893" s="289"/>
      <c r="AM893" s="289"/>
      <c r="AN893" s="289"/>
      <c r="AO893" s="289"/>
      <c r="AP893" s="289"/>
      <c r="AQ893" s="289"/>
      <c r="AR893" s="289"/>
      <c r="AS893" s="289"/>
      <c r="AT893" s="289"/>
      <c r="AU893" s="289"/>
      <c r="AV893" s="289"/>
      <c r="AW893" s="289"/>
      <c r="AX893" s="289"/>
      <c r="AY893" s="289"/>
    </row>
    <row r="894" spans="1:51" ht="13.5" customHeight="1">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c r="AA894" s="289"/>
      <c r="AB894" s="289"/>
      <c r="AC894" s="289"/>
      <c r="AD894" s="289"/>
      <c r="AE894" s="289"/>
      <c r="AF894" s="289"/>
      <c r="AG894" s="289"/>
      <c r="AH894" s="289"/>
      <c r="AI894" s="289"/>
      <c r="AJ894" s="289"/>
      <c r="AK894" s="289"/>
      <c r="AL894" s="289"/>
      <c r="AM894" s="289"/>
      <c r="AN894" s="289"/>
      <c r="AO894" s="289"/>
      <c r="AP894" s="289"/>
      <c r="AQ894" s="289"/>
      <c r="AR894" s="289"/>
      <c r="AS894" s="289"/>
      <c r="AT894" s="289"/>
      <c r="AU894" s="289"/>
      <c r="AV894" s="289"/>
      <c r="AW894" s="289"/>
      <c r="AX894" s="289"/>
      <c r="AY894" s="289"/>
    </row>
    <row r="895" spans="1:51" ht="13.5" customHeight="1">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c r="AA895" s="289"/>
      <c r="AB895" s="289"/>
      <c r="AC895" s="289"/>
      <c r="AD895" s="289"/>
      <c r="AE895" s="289"/>
      <c r="AF895" s="289"/>
      <c r="AG895" s="289"/>
      <c r="AH895" s="289"/>
      <c r="AI895" s="289"/>
      <c r="AJ895" s="289"/>
      <c r="AK895" s="289"/>
      <c r="AL895" s="289"/>
      <c r="AM895" s="289"/>
      <c r="AN895" s="289"/>
      <c r="AO895" s="289"/>
      <c r="AP895" s="289"/>
      <c r="AQ895" s="289"/>
      <c r="AR895" s="289"/>
      <c r="AS895" s="289"/>
      <c r="AT895" s="289"/>
      <c r="AU895" s="289"/>
      <c r="AV895" s="289"/>
      <c r="AW895" s="289"/>
      <c r="AX895" s="289"/>
      <c r="AY895" s="289"/>
    </row>
    <row r="896" spans="1:51" ht="13.5" customHeight="1">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c r="AA896" s="289"/>
      <c r="AB896" s="289"/>
      <c r="AC896" s="289"/>
      <c r="AD896" s="289"/>
      <c r="AE896" s="289"/>
      <c r="AF896" s="289"/>
      <c r="AG896" s="289"/>
      <c r="AH896" s="289"/>
      <c r="AI896" s="289"/>
      <c r="AJ896" s="289"/>
      <c r="AK896" s="289"/>
      <c r="AL896" s="289"/>
      <c r="AM896" s="289"/>
      <c r="AN896" s="289"/>
      <c r="AO896" s="289"/>
      <c r="AP896" s="289"/>
      <c r="AQ896" s="289"/>
      <c r="AR896" s="289"/>
      <c r="AS896" s="289"/>
      <c r="AT896" s="289"/>
      <c r="AU896" s="289"/>
      <c r="AV896" s="289"/>
      <c r="AW896" s="289"/>
      <c r="AX896" s="289"/>
      <c r="AY896" s="289"/>
    </row>
    <row r="897" spans="1:51" ht="13.5" customHeight="1">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c r="AA897" s="289"/>
      <c r="AB897" s="289"/>
      <c r="AC897" s="289"/>
      <c r="AD897" s="289"/>
      <c r="AE897" s="289"/>
      <c r="AF897" s="289"/>
      <c r="AG897" s="289"/>
      <c r="AH897" s="289"/>
      <c r="AI897" s="289"/>
      <c r="AJ897" s="289"/>
      <c r="AK897" s="289"/>
      <c r="AL897" s="289"/>
      <c r="AM897" s="289"/>
      <c r="AN897" s="289"/>
      <c r="AO897" s="289"/>
      <c r="AP897" s="289"/>
      <c r="AQ897" s="289"/>
      <c r="AR897" s="289"/>
      <c r="AS897" s="289"/>
      <c r="AT897" s="289"/>
      <c r="AU897" s="289"/>
      <c r="AV897" s="289"/>
      <c r="AW897" s="289"/>
      <c r="AX897" s="289"/>
      <c r="AY897" s="289"/>
    </row>
    <row r="898" spans="1:51" ht="13.5" customHeight="1">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c r="AA898" s="289"/>
      <c r="AB898" s="289"/>
      <c r="AC898" s="289"/>
      <c r="AD898" s="289"/>
      <c r="AE898" s="289"/>
      <c r="AF898" s="289"/>
      <c r="AG898" s="289"/>
      <c r="AH898" s="289"/>
      <c r="AI898" s="289"/>
      <c r="AJ898" s="289"/>
      <c r="AK898" s="289"/>
      <c r="AL898" s="289"/>
      <c r="AM898" s="289"/>
      <c r="AN898" s="289"/>
      <c r="AO898" s="289"/>
      <c r="AP898" s="289"/>
      <c r="AQ898" s="289"/>
      <c r="AR898" s="289"/>
      <c r="AS898" s="289"/>
      <c r="AT898" s="289"/>
      <c r="AU898" s="289"/>
      <c r="AV898" s="289"/>
      <c r="AW898" s="289"/>
      <c r="AX898" s="289"/>
      <c r="AY898" s="289"/>
    </row>
    <row r="899" spans="1:51" ht="13.5" customHeight="1">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c r="AA899" s="289"/>
      <c r="AB899" s="289"/>
      <c r="AC899" s="289"/>
      <c r="AD899" s="289"/>
      <c r="AE899" s="289"/>
      <c r="AF899" s="289"/>
      <c r="AG899" s="289"/>
      <c r="AH899" s="289"/>
      <c r="AI899" s="289"/>
      <c r="AJ899" s="289"/>
      <c r="AK899" s="289"/>
      <c r="AL899" s="289"/>
      <c r="AM899" s="289"/>
      <c r="AN899" s="289"/>
      <c r="AO899" s="289"/>
      <c r="AP899" s="289"/>
      <c r="AQ899" s="289"/>
      <c r="AR899" s="289"/>
      <c r="AS899" s="289"/>
      <c r="AT899" s="289"/>
      <c r="AU899" s="289"/>
      <c r="AV899" s="289"/>
      <c r="AW899" s="289"/>
      <c r="AX899" s="289"/>
      <c r="AY899" s="289"/>
    </row>
    <row r="900" spans="1:51" ht="13.5" customHeight="1">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c r="AA900" s="289"/>
      <c r="AB900" s="289"/>
      <c r="AC900" s="289"/>
      <c r="AD900" s="289"/>
      <c r="AE900" s="289"/>
      <c r="AF900" s="289"/>
      <c r="AG900" s="289"/>
      <c r="AH900" s="289"/>
      <c r="AI900" s="289"/>
      <c r="AJ900" s="289"/>
      <c r="AK900" s="289"/>
      <c r="AL900" s="289"/>
      <c r="AM900" s="289"/>
      <c r="AN900" s="289"/>
      <c r="AO900" s="289"/>
      <c r="AP900" s="289"/>
      <c r="AQ900" s="289"/>
      <c r="AR900" s="289"/>
      <c r="AS900" s="289"/>
      <c r="AT900" s="289"/>
      <c r="AU900" s="289"/>
      <c r="AV900" s="289"/>
      <c r="AW900" s="289"/>
      <c r="AX900" s="289"/>
      <c r="AY900" s="289"/>
    </row>
    <row r="901" spans="1:51" ht="13.5" customHeight="1">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c r="AA901" s="289"/>
      <c r="AB901" s="289"/>
      <c r="AC901" s="289"/>
      <c r="AD901" s="289"/>
      <c r="AE901" s="289"/>
      <c r="AF901" s="289"/>
      <c r="AG901" s="289"/>
      <c r="AH901" s="289"/>
      <c r="AI901" s="289"/>
      <c r="AJ901" s="289"/>
      <c r="AK901" s="289"/>
      <c r="AL901" s="289"/>
      <c r="AM901" s="289"/>
      <c r="AN901" s="289"/>
      <c r="AO901" s="289"/>
      <c r="AP901" s="289"/>
      <c r="AQ901" s="289"/>
      <c r="AR901" s="289"/>
      <c r="AS901" s="289"/>
      <c r="AT901" s="289"/>
      <c r="AU901" s="289"/>
      <c r="AV901" s="289"/>
      <c r="AW901" s="289"/>
      <c r="AX901" s="289"/>
      <c r="AY901" s="289"/>
    </row>
    <row r="902" spans="1:51" ht="13.5" customHeight="1">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c r="AA902" s="289"/>
      <c r="AB902" s="289"/>
      <c r="AC902" s="289"/>
      <c r="AD902" s="289"/>
      <c r="AE902" s="289"/>
      <c r="AF902" s="289"/>
      <c r="AG902" s="289"/>
      <c r="AH902" s="289"/>
      <c r="AI902" s="289"/>
      <c r="AJ902" s="289"/>
      <c r="AK902" s="289"/>
      <c r="AL902" s="289"/>
      <c r="AM902" s="289"/>
      <c r="AN902" s="289"/>
      <c r="AO902" s="289"/>
      <c r="AP902" s="289"/>
      <c r="AQ902" s="289"/>
      <c r="AR902" s="289"/>
      <c r="AS902" s="289"/>
      <c r="AT902" s="289"/>
      <c r="AU902" s="289"/>
      <c r="AV902" s="289"/>
      <c r="AW902" s="289"/>
      <c r="AX902" s="289"/>
      <c r="AY902" s="289"/>
    </row>
    <row r="903" spans="1:51" ht="13.5" customHeight="1">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c r="AA903" s="289"/>
      <c r="AB903" s="289"/>
      <c r="AC903" s="289"/>
      <c r="AD903" s="289"/>
      <c r="AE903" s="289"/>
      <c r="AF903" s="289"/>
      <c r="AG903" s="289"/>
      <c r="AH903" s="289"/>
      <c r="AI903" s="289"/>
      <c r="AJ903" s="289"/>
      <c r="AK903" s="289"/>
      <c r="AL903" s="289"/>
      <c r="AM903" s="289"/>
      <c r="AN903" s="289"/>
      <c r="AO903" s="289"/>
      <c r="AP903" s="289"/>
      <c r="AQ903" s="289"/>
      <c r="AR903" s="289"/>
      <c r="AS903" s="289"/>
      <c r="AT903" s="289"/>
      <c r="AU903" s="289"/>
      <c r="AV903" s="289"/>
      <c r="AW903" s="289"/>
      <c r="AX903" s="289"/>
      <c r="AY903" s="289"/>
    </row>
    <row r="904" spans="1:51" ht="13.5" customHeight="1">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c r="AA904" s="289"/>
      <c r="AB904" s="289"/>
      <c r="AC904" s="289"/>
      <c r="AD904" s="289"/>
      <c r="AE904" s="289"/>
      <c r="AF904" s="289"/>
      <c r="AG904" s="289"/>
      <c r="AH904" s="289"/>
      <c r="AI904" s="289"/>
      <c r="AJ904" s="289"/>
      <c r="AK904" s="289"/>
      <c r="AL904" s="289"/>
      <c r="AM904" s="289"/>
      <c r="AN904" s="289"/>
      <c r="AO904" s="289"/>
      <c r="AP904" s="289"/>
      <c r="AQ904" s="289"/>
      <c r="AR904" s="289"/>
      <c r="AS904" s="289"/>
      <c r="AT904" s="289"/>
      <c r="AU904" s="289"/>
      <c r="AV904" s="289"/>
      <c r="AW904" s="289"/>
      <c r="AX904" s="289"/>
      <c r="AY904" s="289"/>
    </row>
    <row r="905" spans="1:51" ht="13.5" customHeight="1">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c r="AA905" s="289"/>
      <c r="AB905" s="289"/>
      <c r="AC905" s="289"/>
      <c r="AD905" s="289"/>
      <c r="AE905" s="289"/>
      <c r="AF905" s="289"/>
      <c r="AG905" s="289"/>
      <c r="AH905" s="289"/>
      <c r="AI905" s="289"/>
      <c r="AJ905" s="289"/>
      <c r="AK905" s="289"/>
      <c r="AL905" s="289"/>
      <c r="AM905" s="289"/>
      <c r="AN905" s="289"/>
      <c r="AO905" s="289"/>
      <c r="AP905" s="289"/>
      <c r="AQ905" s="289"/>
      <c r="AR905" s="289"/>
      <c r="AS905" s="289"/>
      <c r="AT905" s="289"/>
      <c r="AU905" s="289"/>
      <c r="AV905" s="289"/>
      <c r="AW905" s="289"/>
      <c r="AX905" s="289"/>
      <c r="AY905" s="289"/>
    </row>
    <row r="906" spans="1:51" ht="13.5" customHeight="1">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c r="AA906" s="289"/>
      <c r="AB906" s="289"/>
      <c r="AC906" s="289"/>
      <c r="AD906" s="289"/>
      <c r="AE906" s="289"/>
      <c r="AF906" s="289"/>
      <c r="AG906" s="289"/>
      <c r="AH906" s="289"/>
      <c r="AI906" s="289"/>
      <c r="AJ906" s="289"/>
      <c r="AK906" s="289"/>
      <c r="AL906" s="289"/>
      <c r="AM906" s="289"/>
      <c r="AN906" s="289"/>
      <c r="AO906" s="289"/>
      <c r="AP906" s="289"/>
      <c r="AQ906" s="289"/>
      <c r="AR906" s="289"/>
      <c r="AS906" s="289"/>
      <c r="AT906" s="289"/>
      <c r="AU906" s="289"/>
      <c r="AV906" s="289"/>
      <c r="AW906" s="289"/>
      <c r="AX906" s="289"/>
      <c r="AY906" s="289"/>
    </row>
    <row r="907" spans="1:51" ht="13.5" customHeight="1">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c r="AA907" s="289"/>
      <c r="AB907" s="289"/>
      <c r="AC907" s="289"/>
      <c r="AD907" s="289"/>
      <c r="AE907" s="289"/>
      <c r="AF907" s="289"/>
      <c r="AG907" s="289"/>
      <c r="AH907" s="289"/>
      <c r="AI907" s="289"/>
      <c r="AJ907" s="289"/>
      <c r="AK907" s="289"/>
      <c r="AL907" s="289"/>
      <c r="AM907" s="289"/>
      <c r="AN907" s="289"/>
      <c r="AO907" s="289"/>
      <c r="AP907" s="289"/>
      <c r="AQ907" s="289"/>
      <c r="AR907" s="289"/>
      <c r="AS907" s="289"/>
      <c r="AT907" s="289"/>
      <c r="AU907" s="289"/>
      <c r="AV907" s="289"/>
      <c r="AW907" s="289"/>
      <c r="AX907" s="289"/>
      <c r="AY907" s="289"/>
    </row>
    <row r="908" spans="1:51" ht="13.5" customHeight="1">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c r="AA908" s="289"/>
      <c r="AB908" s="289"/>
      <c r="AC908" s="289"/>
      <c r="AD908" s="289"/>
      <c r="AE908" s="289"/>
      <c r="AF908" s="289"/>
      <c r="AG908" s="289"/>
      <c r="AH908" s="289"/>
      <c r="AI908" s="289"/>
      <c r="AJ908" s="289"/>
      <c r="AK908" s="289"/>
      <c r="AL908" s="289"/>
      <c r="AM908" s="289"/>
      <c r="AN908" s="289"/>
      <c r="AO908" s="289"/>
      <c r="AP908" s="289"/>
      <c r="AQ908" s="289"/>
      <c r="AR908" s="289"/>
      <c r="AS908" s="289"/>
      <c r="AT908" s="289"/>
      <c r="AU908" s="289"/>
      <c r="AV908" s="289"/>
      <c r="AW908" s="289"/>
      <c r="AX908" s="289"/>
      <c r="AY908" s="289"/>
    </row>
    <row r="909" spans="1:51" ht="13.5" customHeight="1">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c r="AA909" s="289"/>
      <c r="AB909" s="289"/>
      <c r="AC909" s="289"/>
      <c r="AD909" s="289"/>
      <c r="AE909" s="289"/>
      <c r="AF909" s="289"/>
      <c r="AG909" s="289"/>
      <c r="AH909" s="289"/>
      <c r="AI909" s="289"/>
      <c r="AJ909" s="289"/>
      <c r="AK909" s="289"/>
      <c r="AL909" s="289"/>
      <c r="AM909" s="289"/>
      <c r="AN909" s="289"/>
      <c r="AO909" s="289"/>
      <c r="AP909" s="289"/>
      <c r="AQ909" s="289"/>
      <c r="AR909" s="289"/>
      <c r="AS909" s="289"/>
      <c r="AT909" s="289"/>
      <c r="AU909" s="289"/>
      <c r="AV909" s="289"/>
      <c r="AW909" s="289"/>
      <c r="AX909" s="289"/>
      <c r="AY909" s="289"/>
    </row>
    <row r="910" spans="1:51" ht="13.5" customHeight="1">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c r="AA910" s="289"/>
      <c r="AB910" s="289"/>
      <c r="AC910" s="289"/>
      <c r="AD910" s="289"/>
      <c r="AE910" s="289"/>
      <c r="AF910" s="289"/>
      <c r="AG910" s="289"/>
      <c r="AH910" s="289"/>
      <c r="AI910" s="289"/>
      <c r="AJ910" s="289"/>
      <c r="AK910" s="289"/>
      <c r="AL910" s="289"/>
      <c r="AM910" s="289"/>
      <c r="AN910" s="289"/>
      <c r="AO910" s="289"/>
      <c r="AP910" s="289"/>
      <c r="AQ910" s="289"/>
      <c r="AR910" s="289"/>
      <c r="AS910" s="289"/>
      <c r="AT910" s="289"/>
      <c r="AU910" s="289"/>
      <c r="AV910" s="289"/>
      <c r="AW910" s="289"/>
      <c r="AX910" s="289"/>
      <c r="AY910" s="289"/>
    </row>
    <row r="911" spans="1:51" ht="13.5" customHeight="1">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c r="AA911" s="289"/>
      <c r="AB911" s="289"/>
      <c r="AC911" s="289"/>
      <c r="AD911" s="289"/>
      <c r="AE911" s="289"/>
      <c r="AF911" s="289"/>
      <c r="AG911" s="289"/>
      <c r="AH911" s="289"/>
      <c r="AI911" s="289"/>
      <c r="AJ911" s="289"/>
      <c r="AK911" s="289"/>
      <c r="AL911" s="289"/>
      <c r="AM911" s="289"/>
      <c r="AN911" s="289"/>
      <c r="AO911" s="289"/>
      <c r="AP911" s="289"/>
      <c r="AQ911" s="289"/>
      <c r="AR911" s="289"/>
      <c r="AS911" s="289"/>
      <c r="AT911" s="289"/>
      <c r="AU911" s="289"/>
      <c r="AV911" s="289"/>
      <c r="AW911" s="289"/>
      <c r="AX911" s="289"/>
      <c r="AY911" s="289"/>
    </row>
    <row r="912" spans="1:51" ht="13.5" customHeight="1">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c r="AA912" s="289"/>
      <c r="AB912" s="289"/>
      <c r="AC912" s="289"/>
      <c r="AD912" s="289"/>
      <c r="AE912" s="289"/>
      <c r="AF912" s="289"/>
      <c r="AG912" s="289"/>
      <c r="AH912" s="289"/>
      <c r="AI912" s="289"/>
      <c r="AJ912" s="289"/>
      <c r="AK912" s="289"/>
      <c r="AL912" s="289"/>
      <c r="AM912" s="289"/>
      <c r="AN912" s="289"/>
      <c r="AO912" s="289"/>
      <c r="AP912" s="289"/>
      <c r="AQ912" s="289"/>
      <c r="AR912" s="289"/>
      <c r="AS912" s="289"/>
      <c r="AT912" s="289"/>
      <c r="AU912" s="289"/>
      <c r="AV912" s="289"/>
      <c r="AW912" s="289"/>
      <c r="AX912" s="289"/>
      <c r="AY912" s="289"/>
    </row>
    <row r="913" spans="1:51" ht="13.5" customHeight="1">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c r="AA913" s="289"/>
      <c r="AB913" s="289"/>
      <c r="AC913" s="289"/>
      <c r="AD913" s="289"/>
      <c r="AE913" s="289"/>
      <c r="AF913" s="289"/>
      <c r="AG913" s="289"/>
      <c r="AH913" s="289"/>
      <c r="AI913" s="289"/>
      <c r="AJ913" s="289"/>
      <c r="AK913" s="289"/>
      <c r="AL913" s="289"/>
      <c r="AM913" s="289"/>
      <c r="AN913" s="289"/>
      <c r="AO913" s="289"/>
      <c r="AP913" s="289"/>
      <c r="AQ913" s="289"/>
      <c r="AR913" s="289"/>
      <c r="AS913" s="289"/>
      <c r="AT913" s="289"/>
      <c r="AU913" s="289"/>
      <c r="AV913" s="289"/>
      <c r="AW913" s="289"/>
      <c r="AX913" s="289"/>
      <c r="AY913" s="289"/>
    </row>
    <row r="914" spans="1:51" ht="13.5" customHeight="1">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c r="AA914" s="289"/>
      <c r="AB914" s="289"/>
      <c r="AC914" s="289"/>
      <c r="AD914" s="289"/>
      <c r="AE914" s="289"/>
      <c r="AF914" s="289"/>
      <c r="AG914" s="289"/>
      <c r="AH914" s="289"/>
      <c r="AI914" s="289"/>
      <c r="AJ914" s="289"/>
      <c r="AK914" s="289"/>
      <c r="AL914" s="289"/>
      <c r="AM914" s="289"/>
      <c r="AN914" s="289"/>
      <c r="AO914" s="289"/>
      <c r="AP914" s="289"/>
      <c r="AQ914" s="289"/>
      <c r="AR914" s="289"/>
      <c r="AS914" s="289"/>
      <c r="AT914" s="289"/>
      <c r="AU914" s="289"/>
      <c r="AV914" s="289"/>
      <c r="AW914" s="289"/>
      <c r="AX914" s="289"/>
      <c r="AY914" s="289"/>
    </row>
    <row r="915" spans="1:51" ht="13.5" customHeight="1">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c r="AA915" s="289"/>
      <c r="AB915" s="289"/>
      <c r="AC915" s="289"/>
      <c r="AD915" s="289"/>
      <c r="AE915" s="289"/>
      <c r="AF915" s="289"/>
      <c r="AG915" s="289"/>
      <c r="AH915" s="289"/>
      <c r="AI915" s="289"/>
      <c r="AJ915" s="289"/>
      <c r="AK915" s="289"/>
      <c r="AL915" s="289"/>
      <c r="AM915" s="289"/>
      <c r="AN915" s="289"/>
      <c r="AO915" s="289"/>
      <c r="AP915" s="289"/>
      <c r="AQ915" s="289"/>
      <c r="AR915" s="289"/>
      <c r="AS915" s="289"/>
      <c r="AT915" s="289"/>
      <c r="AU915" s="289"/>
      <c r="AV915" s="289"/>
      <c r="AW915" s="289"/>
      <c r="AX915" s="289"/>
      <c r="AY915" s="289"/>
    </row>
    <row r="916" spans="1:51" ht="13.5" customHeight="1">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c r="AA916" s="289"/>
      <c r="AB916" s="289"/>
      <c r="AC916" s="289"/>
      <c r="AD916" s="289"/>
      <c r="AE916" s="289"/>
      <c r="AF916" s="289"/>
      <c r="AG916" s="289"/>
      <c r="AH916" s="289"/>
      <c r="AI916" s="289"/>
      <c r="AJ916" s="289"/>
      <c r="AK916" s="289"/>
      <c r="AL916" s="289"/>
      <c r="AM916" s="289"/>
      <c r="AN916" s="289"/>
      <c r="AO916" s="289"/>
      <c r="AP916" s="289"/>
      <c r="AQ916" s="289"/>
      <c r="AR916" s="289"/>
      <c r="AS916" s="289"/>
      <c r="AT916" s="289"/>
      <c r="AU916" s="289"/>
      <c r="AV916" s="289"/>
      <c r="AW916" s="289"/>
      <c r="AX916" s="289"/>
      <c r="AY916" s="289"/>
    </row>
    <row r="917" spans="1:51" ht="13.5" customHeight="1">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c r="AA917" s="289"/>
      <c r="AB917" s="289"/>
      <c r="AC917" s="289"/>
      <c r="AD917" s="289"/>
      <c r="AE917" s="289"/>
      <c r="AF917" s="289"/>
      <c r="AG917" s="289"/>
      <c r="AH917" s="289"/>
      <c r="AI917" s="289"/>
      <c r="AJ917" s="289"/>
      <c r="AK917" s="289"/>
      <c r="AL917" s="289"/>
      <c r="AM917" s="289"/>
      <c r="AN917" s="289"/>
      <c r="AO917" s="289"/>
      <c r="AP917" s="289"/>
      <c r="AQ917" s="289"/>
      <c r="AR917" s="289"/>
      <c r="AS917" s="289"/>
      <c r="AT917" s="289"/>
      <c r="AU917" s="289"/>
      <c r="AV917" s="289"/>
      <c r="AW917" s="289"/>
      <c r="AX917" s="289"/>
      <c r="AY917" s="289"/>
    </row>
    <row r="918" spans="1:51" ht="13.5" customHeight="1">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c r="AA918" s="289"/>
      <c r="AB918" s="289"/>
      <c r="AC918" s="289"/>
      <c r="AD918" s="289"/>
      <c r="AE918" s="289"/>
      <c r="AF918" s="289"/>
      <c r="AG918" s="289"/>
      <c r="AH918" s="289"/>
      <c r="AI918" s="289"/>
      <c r="AJ918" s="289"/>
      <c r="AK918" s="289"/>
      <c r="AL918" s="289"/>
      <c r="AM918" s="289"/>
      <c r="AN918" s="289"/>
      <c r="AO918" s="289"/>
      <c r="AP918" s="289"/>
      <c r="AQ918" s="289"/>
      <c r="AR918" s="289"/>
      <c r="AS918" s="289"/>
      <c r="AT918" s="289"/>
      <c r="AU918" s="289"/>
      <c r="AV918" s="289"/>
      <c r="AW918" s="289"/>
      <c r="AX918" s="289"/>
      <c r="AY918" s="289"/>
    </row>
    <row r="919" spans="1:51" ht="13.5" customHeight="1">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c r="AA919" s="289"/>
      <c r="AB919" s="289"/>
      <c r="AC919" s="289"/>
      <c r="AD919" s="289"/>
      <c r="AE919" s="289"/>
      <c r="AF919" s="289"/>
      <c r="AG919" s="289"/>
      <c r="AH919" s="289"/>
      <c r="AI919" s="289"/>
      <c r="AJ919" s="289"/>
      <c r="AK919" s="289"/>
      <c r="AL919" s="289"/>
      <c r="AM919" s="289"/>
      <c r="AN919" s="289"/>
      <c r="AO919" s="289"/>
      <c r="AP919" s="289"/>
      <c r="AQ919" s="289"/>
      <c r="AR919" s="289"/>
      <c r="AS919" s="289"/>
      <c r="AT919" s="289"/>
      <c r="AU919" s="289"/>
      <c r="AV919" s="289"/>
      <c r="AW919" s="289"/>
      <c r="AX919" s="289"/>
      <c r="AY919" s="289"/>
    </row>
    <row r="920" spans="1:51" ht="13.5" customHeight="1">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c r="AA920" s="289"/>
      <c r="AB920" s="289"/>
      <c r="AC920" s="289"/>
      <c r="AD920" s="289"/>
      <c r="AE920" s="289"/>
      <c r="AF920" s="289"/>
      <c r="AG920" s="289"/>
      <c r="AH920" s="289"/>
      <c r="AI920" s="289"/>
      <c r="AJ920" s="289"/>
      <c r="AK920" s="289"/>
      <c r="AL920" s="289"/>
      <c r="AM920" s="289"/>
      <c r="AN920" s="289"/>
      <c r="AO920" s="289"/>
      <c r="AP920" s="289"/>
      <c r="AQ920" s="289"/>
      <c r="AR920" s="289"/>
      <c r="AS920" s="289"/>
      <c r="AT920" s="289"/>
      <c r="AU920" s="289"/>
      <c r="AV920" s="289"/>
      <c r="AW920" s="289"/>
      <c r="AX920" s="289"/>
      <c r="AY920" s="289"/>
    </row>
    <row r="921" spans="1:51" ht="13.5" customHeight="1">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c r="AA921" s="289"/>
      <c r="AB921" s="289"/>
      <c r="AC921" s="289"/>
      <c r="AD921" s="289"/>
      <c r="AE921" s="289"/>
      <c r="AF921" s="289"/>
      <c r="AG921" s="289"/>
      <c r="AH921" s="289"/>
      <c r="AI921" s="289"/>
      <c r="AJ921" s="289"/>
      <c r="AK921" s="289"/>
      <c r="AL921" s="289"/>
      <c r="AM921" s="289"/>
      <c r="AN921" s="289"/>
      <c r="AO921" s="289"/>
      <c r="AP921" s="289"/>
      <c r="AQ921" s="289"/>
      <c r="AR921" s="289"/>
      <c r="AS921" s="289"/>
      <c r="AT921" s="289"/>
      <c r="AU921" s="289"/>
      <c r="AV921" s="289"/>
      <c r="AW921" s="289"/>
      <c r="AX921" s="289"/>
      <c r="AY921" s="289"/>
    </row>
    <row r="922" spans="1:51" ht="13.5" customHeight="1">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c r="AA922" s="289"/>
      <c r="AB922" s="289"/>
      <c r="AC922" s="289"/>
      <c r="AD922" s="289"/>
      <c r="AE922" s="289"/>
      <c r="AF922" s="289"/>
      <c r="AG922" s="289"/>
      <c r="AH922" s="289"/>
      <c r="AI922" s="289"/>
      <c r="AJ922" s="289"/>
      <c r="AK922" s="289"/>
      <c r="AL922" s="289"/>
      <c r="AM922" s="289"/>
      <c r="AN922" s="289"/>
      <c r="AO922" s="289"/>
      <c r="AP922" s="289"/>
      <c r="AQ922" s="289"/>
      <c r="AR922" s="289"/>
      <c r="AS922" s="289"/>
      <c r="AT922" s="289"/>
      <c r="AU922" s="289"/>
      <c r="AV922" s="289"/>
      <c r="AW922" s="289"/>
      <c r="AX922" s="289"/>
      <c r="AY922" s="289"/>
    </row>
    <row r="923" spans="1:51" ht="13.5" customHeight="1">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c r="AA923" s="289"/>
      <c r="AB923" s="289"/>
      <c r="AC923" s="289"/>
      <c r="AD923" s="289"/>
      <c r="AE923" s="289"/>
      <c r="AF923" s="289"/>
      <c r="AG923" s="289"/>
      <c r="AH923" s="289"/>
      <c r="AI923" s="289"/>
      <c r="AJ923" s="289"/>
      <c r="AK923" s="289"/>
      <c r="AL923" s="289"/>
      <c r="AM923" s="289"/>
      <c r="AN923" s="289"/>
      <c r="AO923" s="289"/>
      <c r="AP923" s="289"/>
      <c r="AQ923" s="289"/>
      <c r="AR923" s="289"/>
      <c r="AS923" s="289"/>
      <c r="AT923" s="289"/>
      <c r="AU923" s="289"/>
      <c r="AV923" s="289"/>
      <c r="AW923" s="289"/>
      <c r="AX923" s="289"/>
      <c r="AY923" s="289"/>
    </row>
    <row r="924" spans="1:51" ht="13.5" customHeight="1">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c r="AA924" s="289"/>
      <c r="AB924" s="289"/>
      <c r="AC924" s="289"/>
      <c r="AD924" s="289"/>
      <c r="AE924" s="289"/>
      <c r="AF924" s="289"/>
      <c r="AG924" s="289"/>
      <c r="AH924" s="289"/>
      <c r="AI924" s="289"/>
      <c r="AJ924" s="289"/>
      <c r="AK924" s="289"/>
      <c r="AL924" s="289"/>
      <c r="AM924" s="289"/>
      <c r="AN924" s="289"/>
      <c r="AO924" s="289"/>
      <c r="AP924" s="289"/>
      <c r="AQ924" s="289"/>
      <c r="AR924" s="289"/>
      <c r="AS924" s="289"/>
      <c r="AT924" s="289"/>
      <c r="AU924" s="289"/>
      <c r="AV924" s="289"/>
      <c r="AW924" s="289"/>
      <c r="AX924" s="289"/>
      <c r="AY924" s="289"/>
    </row>
    <row r="925" spans="1:51" ht="13.5" customHeight="1">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c r="AA925" s="289"/>
      <c r="AB925" s="289"/>
      <c r="AC925" s="289"/>
      <c r="AD925" s="289"/>
      <c r="AE925" s="289"/>
      <c r="AF925" s="289"/>
      <c r="AG925" s="289"/>
      <c r="AH925" s="289"/>
      <c r="AI925" s="289"/>
      <c r="AJ925" s="289"/>
      <c r="AK925" s="289"/>
      <c r="AL925" s="289"/>
      <c r="AM925" s="289"/>
      <c r="AN925" s="289"/>
      <c r="AO925" s="289"/>
      <c r="AP925" s="289"/>
      <c r="AQ925" s="289"/>
      <c r="AR925" s="289"/>
      <c r="AS925" s="289"/>
      <c r="AT925" s="289"/>
      <c r="AU925" s="289"/>
      <c r="AV925" s="289"/>
      <c r="AW925" s="289"/>
      <c r="AX925" s="289"/>
      <c r="AY925" s="289"/>
    </row>
    <row r="926" spans="1:51" ht="13.5" customHeight="1">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c r="AA926" s="289"/>
      <c r="AB926" s="289"/>
      <c r="AC926" s="289"/>
      <c r="AD926" s="289"/>
      <c r="AE926" s="289"/>
      <c r="AF926" s="289"/>
      <c r="AG926" s="289"/>
      <c r="AH926" s="289"/>
      <c r="AI926" s="289"/>
      <c r="AJ926" s="289"/>
      <c r="AK926" s="289"/>
      <c r="AL926" s="289"/>
      <c r="AM926" s="289"/>
      <c r="AN926" s="289"/>
      <c r="AO926" s="289"/>
      <c r="AP926" s="289"/>
      <c r="AQ926" s="289"/>
      <c r="AR926" s="289"/>
      <c r="AS926" s="289"/>
      <c r="AT926" s="289"/>
      <c r="AU926" s="289"/>
      <c r="AV926" s="289"/>
      <c r="AW926" s="289"/>
      <c r="AX926" s="289"/>
      <c r="AY926" s="289"/>
    </row>
    <row r="927" spans="1:51" ht="13.5" customHeight="1">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c r="AA927" s="289"/>
      <c r="AB927" s="289"/>
      <c r="AC927" s="289"/>
      <c r="AD927" s="289"/>
      <c r="AE927" s="289"/>
      <c r="AF927" s="289"/>
      <c r="AG927" s="289"/>
      <c r="AH927" s="289"/>
      <c r="AI927" s="289"/>
      <c r="AJ927" s="289"/>
      <c r="AK927" s="289"/>
      <c r="AL927" s="289"/>
      <c r="AM927" s="289"/>
      <c r="AN927" s="289"/>
      <c r="AO927" s="289"/>
      <c r="AP927" s="289"/>
      <c r="AQ927" s="289"/>
      <c r="AR927" s="289"/>
      <c r="AS927" s="289"/>
      <c r="AT927" s="289"/>
      <c r="AU927" s="289"/>
      <c r="AV927" s="289"/>
      <c r="AW927" s="289"/>
      <c r="AX927" s="289"/>
      <c r="AY927" s="289"/>
    </row>
    <row r="928" spans="1:51" ht="13.5" customHeight="1">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c r="AA928" s="289"/>
      <c r="AB928" s="289"/>
      <c r="AC928" s="289"/>
      <c r="AD928" s="289"/>
      <c r="AE928" s="289"/>
      <c r="AF928" s="289"/>
      <c r="AG928" s="289"/>
      <c r="AH928" s="289"/>
      <c r="AI928" s="289"/>
      <c r="AJ928" s="289"/>
      <c r="AK928" s="289"/>
      <c r="AL928" s="289"/>
      <c r="AM928" s="289"/>
      <c r="AN928" s="289"/>
      <c r="AO928" s="289"/>
      <c r="AP928" s="289"/>
      <c r="AQ928" s="289"/>
      <c r="AR928" s="289"/>
      <c r="AS928" s="289"/>
      <c r="AT928" s="289"/>
      <c r="AU928" s="289"/>
      <c r="AV928" s="289"/>
      <c r="AW928" s="289"/>
      <c r="AX928" s="289"/>
      <c r="AY928" s="289"/>
    </row>
    <row r="929" spans="1:51" ht="13.5" customHeight="1">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c r="AA929" s="289"/>
      <c r="AB929" s="289"/>
      <c r="AC929" s="289"/>
      <c r="AD929" s="289"/>
      <c r="AE929" s="289"/>
      <c r="AF929" s="289"/>
      <c r="AG929" s="289"/>
      <c r="AH929" s="289"/>
      <c r="AI929" s="289"/>
      <c r="AJ929" s="289"/>
      <c r="AK929" s="289"/>
      <c r="AL929" s="289"/>
      <c r="AM929" s="289"/>
      <c r="AN929" s="289"/>
      <c r="AO929" s="289"/>
      <c r="AP929" s="289"/>
      <c r="AQ929" s="289"/>
      <c r="AR929" s="289"/>
      <c r="AS929" s="289"/>
      <c r="AT929" s="289"/>
      <c r="AU929" s="289"/>
      <c r="AV929" s="289"/>
      <c r="AW929" s="289"/>
      <c r="AX929" s="289"/>
      <c r="AY929" s="289"/>
    </row>
    <row r="930" spans="1:51" ht="13.5" customHeight="1">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c r="AA930" s="289"/>
      <c r="AB930" s="289"/>
      <c r="AC930" s="289"/>
      <c r="AD930" s="289"/>
      <c r="AE930" s="289"/>
      <c r="AF930" s="289"/>
      <c r="AG930" s="289"/>
      <c r="AH930" s="289"/>
      <c r="AI930" s="289"/>
      <c r="AJ930" s="289"/>
      <c r="AK930" s="289"/>
      <c r="AL930" s="289"/>
      <c r="AM930" s="289"/>
      <c r="AN930" s="289"/>
      <c r="AO930" s="289"/>
      <c r="AP930" s="289"/>
      <c r="AQ930" s="289"/>
      <c r="AR930" s="289"/>
      <c r="AS930" s="289"/>
      <c r="AT930" s="289"/>
      <c r="AU930" s="289"/>
      <c r="AV930" s="289"/>
      <c r="AW930" s="289"/>
      <c r="AX930" s="289"/>
      <c r="AY930" s="289"/>
    </row>
    <row r="931" spans="1:51" ht="13.5" customHeight="1">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c r="AA931" s="289"/>
      <c r="AB931" s="289"/>
      <c r="AC931" s="289"/>
      <c r="AD931" s="289"/>
      <c r="AE931" s="289"/>
      <c r="AF931" s="289"/>
      <c r="AG931" s="289"/>
      <c r="AH931" s="289"/>
      <c r="AI931" s="289"/>
      <c r="AJ931" s="289"/>
      <c r="AK931" s="289"/>
      <c r="AL931" s="289"/>
      <c r="AM931" s="289"/>
      <c r="AN931" s="289"/>
      <c r="AO931" s="289"/>
      <c r="AP931" s="289"/>
      <c r="AQ931" s="289"/>
      <c r="AR931" s="289"/>
      <c r="AS931" s="289"/>
      <c r="AT931" s="289"/>
      <c r="AU931" s="289"/>
      <c r="AV931" s="289"/>
      <c r="AW931" s="289"/>
      <c r="AX931" s="289"/>
      <c r="AY931" s="289"/>
    </row>
    <row r="932" spans="1:51" ht="13.5" customHeight="1">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c r="AA932" s="289"/>
      <c r="AB932" s="289"/>
      <c r="AC932" s="289"/>
      <c r="AD932" s="289"/>
      <c r="AE932" s="289"/>
      <c r="AF932" s="289"/>
      <c r="AG932" s="289"/>
      <c r="AH932" s="289"/>
      <c r="AI932" s="289"/>
      <c r="AJ932" s="289"/>
      <c r="AK932" s="289"/>
      <c r="AL932" s="289"/>
      <c r="AM932" s="289"/>
      <c r="AN932" s="289"/>
      <c r="AO932" s="289"/>
      <c r="AP932" s="289"/>
      <c r="AQ932" s="289"/>
      <c r="AR932" s="289"/>
      <c r="AS932" s="289"/>
      <c r="AT932" s="289"/>
      <c r="AU932" s="289"/>
      <c r="AV932" s="289"/>
      <c r="AW932" s="289"/>
      <c r="AX932" s="289"/>
      <c r="AY932" s="289"/>
    </row>
    <row r="933" spans="1:51" ht="13.5" customHeight="1">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c r="AA933" s="289"/>
      <c r="AB933" s="289"/>
      <c r="AC933" s="289"/>
      <c r="AD933" s="289"/>
      <c r="AE933" s="289"/>
      <c r="AF933" s="289"/>
      <c r="AG933" s="289"/>
      <c r="AH933" s="289"/>
      <c r="AI933" s="289"/>
      <c r="AJ933" s="289"/>
      <c r="AK933" s="289"/>
      <c r="AL933" s="289"/>
      <c r="AM933" s="289"/>
      <c r="AN933" s="289"/>
      <c r="AO933" s="289"/>
      <c r="AP933" s="289"/>
      <c r="AQ933" s="289"/>
      <c r="AR933" s="289"/>
      <c r="AS933" s="289"/>
      <c r="AT933" s="289"/>
      <c r="AU933" s="289"/>
      <c r="AV933" s="289"/>
      <c r="AW933" s="289"/>
      <c r="AX933" s="289"/>
      <c r="AY933" s="289"/>
    </row>
    <row r="934" spans="1:51" ht="13.5" customHeight="1">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c r="AA934" s="289"/>
      <c r="AB934" s="289"/>
      <c r="AC934" s="289"/>
      <c r="AD934" s="289"/>
      <c r="AE934" s="289"/>
      <c r="AF934" s="289"/>
      <c r="AG934" s="289"/>
      <c r="AH934" s="289"/>
      <c r="AI934" s="289"/>
      <c r="AJ934" s="289"/>
      <c r="AK934" s="289"/>
      <c r="AL934" s="289"/>
      <c r="AM934" s="289"/>
      <c r="AN934" s="289"/>
      <c r="AO934" s="289"/>
      <c r="AP934" s="289"/>
      <c r="AQ934" s="289"/>
      <c r="AR934" s="289"/>
      <c r="AS934" s="289"/>
      <c r="AT934" s="289"/>
      <c r="AU934" s="289"/>
      <c r="AV934" s="289"/>
      <c r="AW934" s="289"/>
      <c r="AX934" s="289"/>
      <c r="AY934" s="289"/>
    </row>
    <row r="935" spans="1:51" ht="13.5" customHeight="1">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c r="AA935" s="289"/>
      <c r="AB935" s="289"/>
      <c r="AC935" s="289"/>
      <c r="AD935" s="289"/>
      <c r="AE935" s="289"/>
      <c r="AF935" s="289"/>
      <c r="AG935" s="289"/>
      <c r="AH935" s="289"/>
      <c r="AI935" s="289"/>
      <c r="AJ935" s="289"/>
      <c r="AK935" s="289"/>
      <c r="AL935" s="289"/>
      <c r="AM935" s="289"/>
      <c r="AN935" s="289"/>
      <c r="AO935" s="289"/>
      <c r="AP935" s="289"/>
      <c r="AQ935" s="289"/>
      <c r="AR935" s="289"/>
      <c r="AS935" s="289"/>
      <c r="AT935" s="289"/>
      <c r="AU935" s="289"/>
      <c r="AV935" s="289"/>
      <c r="AW935" s="289"/>
      <c r="AX935" s="289"/>
      <c r="AY935" s="289"/>
    </row>
    <row r="936" spans="1:51" ht="13.5" customHeight="1">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c r="AA936" s="289"/>
      <c r="AB936" s="289"/>
      <c r="AC936" s="289"/>
      <c r="AD936" s="289"/>
      <c r="AE936" s="289"/>
      <c r="AF936" s="289"/>
      <c r="AG936" s="289"/>
      <c r="AH936" s="289"/>
      <c r="AI936" s="289"/>
      <c r="AJ936" s="289"/>
      <c r="AK936" s="289"/>
      <c r="AL936" s="289"/>
      <c r="AM936" s="289"/>
      <c r="AN936" s="289"/>
      <c r="AO936" s="289"/>
      <c r="AP936" s="289"/>
      <c r="AQ936" s="289"/>
      <c r="AR936" s="289"/>
      <c r="AS936" s="289"/>
      <c r="AT936" s="289"/>
      <c r="AU936" s="289"/>
      <c r="AV936" s="289"/>
      <c r="AW936" s="289"/>
      <c r="AX936" s="289"/>
      <c r="AY936" s="289"/>
    </row>
    <row r="937" spans="1:51" ht="13.5" customHeight="1">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c r="AA937" s="289"/>
      <c r="AB937" s="289"/>
      <c r="AC937" s="289"/>
      <c r="AD937" s="289"/>
      <c r="AE937" s="289"/>
      <c r="AF937" s="289"/>
      <c r="AG937" s="289"/>
      <c r="AH937" s="289"/>
      <c r="AI937" s="289"/>
      <c r="AJ937" s="289"/>
      <c r="AK937" s="289"/>
      <c r="AL937" s="289"/>
      <c r="AM937" s="289"/>
      <c r="AN937" s="289"/>
      <c r="AO937" s="289"/>
      <c r="AP937" s="289"/>
      <c r="AQ937" s="289"/>
      <c r="AR937" s="289"/>
      <c r="AS937" s="289"/>
      <c r="AT937" s="289"/>
      <c r="AU937" s="289"/>
      <c r="AV937" s="289"/>
      <c r="AW937" s="289"/>
      <c r="AX937" s="289"/>
      <c r="AY937" s="289"/>
    </row>
    <row r="938" spans="1:51" ht="13.5" customHeight="1">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c r="AA938" s="289"/>
      <c r="AB938" s="289"/>
      <c r="AC938" s="289"/>
      <c r="AD938" s="289"/>
      <c r="AE938" s="289"/>
      <c r="AF938" s="289"/>
      <c r="AG938" s="289"/>
      <c r="AH938" s="289"/>
      <c r="AI938" s="289"/>
      <c r="AJ938" s="289"/>
      <c r="AK938" s="289"/>
      <c r="AL938" s="289"/>
      <c r="AM938" s="289"/>
      <c r="AN938" s="289"/>
      <c r="AO938" s="289"/>
      <c r="AP938" s="289"/>
      <c r="AQ938" s="289"/>
      <c r="AR938" s="289"/>
      <c r="AS938" s="289"/>
      <c r="AT938" s="289"/>
      <c r="AU938" s="289"/>
      <c r="AV938" s="289"/>
      <c r="AW938" s="289"/>
      <c r="AX938" s="289"/>
      <c r="AY938" s="289"/>
    </row>
    <row r="939" spans="1:51" ht="13.5" customHeight="1">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c r="AA939" s="289"/>
      <c r="AB939" s="289"/>
      <c r="AC939" s="289"/>
      <c r="AD939" s="289"/>
      <c r="AE939" s="289"/>
      <c r="AF939" s="289"/>
      <c r="AG939" s="289"/>
      <c r="AH939" s="289"/>
      <c r="AI939" s="289"/>
      <c r="AJ939" s="289"/>
      <c r="AK939" s="289"/>
      <c r="AL939" s="289"/>
      <c r="AM939" s="289"/>
      <c r="AN939" s="289"/>
      <c r="AO939" s="289"/>
      <c r="AP939" s="289"/>
      <c r="AQ939" s="289"/>
      <c r="AR939" s="289"/>
      <c r="AS939" s="289"/>
      <c r="AT939" s="289"/>
      <c r="AU939" s="289"/>
      <c r="AV939" s="289"/>
      <c r="AW939" s="289"/>
      <c r="AX939" s="289"/>
      <c r="AY939" s="289"/>
    </row>
    <row r="940" spans="1:51" ht="13.5" customHeight="1">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c r="AA940" s="289"/>
      <c r="AB940" s="289"/>
      <c r="AC940" s="289"/>
      <c r="AD940" s="289"/>
      <c r="AE940" s="289"/>
      <c r="AF940" s="289"/>
      <c r="AG940" s="289"/>
      <c r="AH940" s="289"/>
      <c r="AI940" s="289"/>
      <c r="AJ940" s="289"/>
      <c r="AK940" s="289"/>
      <c r="AL940" s="289"/>
      <c r="AM940" s="289"/>
      <c r="AN940" s="289"/>
      <c r="AO940" s="289"/>
      <c r="AP940" s="289"/>
      <c r="AQ940" s="289"/>
      <c r="AR940" s="289"/>
      <c r="AS940" s="289"/>
      <c r="AT940" s="289"/>
      <c r="AU940" s="289"/>
      <c r="AV940" s="289"/>
      <c r="AW940" s="289"/>
      <c r="AX940" s="289"/>
      <c r="AY940" s="289"/>
    </row>
    <row r="941" spans="1:51" ht="13.5" customHeight="1">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c r="AA941" s="289"/>
      <c r="AB941" s="289"/>
      <c r="AC941" s="289"/>
      <c r="AD941" s="289"/>
      <c r="AE941" s="289"/>
      <c r="AF941" s="289"/>
      <c r="AG941" s="289"/>
      <c r="AH941" s="289"/>
      <c r="AI941" s="289"/>
      <c r="AJ941" s="289"/>
      <c r="AK941" s="289"/>
      <c r="AL941" s="289"/>
      <c r="AM941" s="289"/>
      <c r="AN941" s="289"/>
      <c r="AO941" s="289"/>
      <c r="AP941" s="289"/>
      <c r="AQ941" s="289"/>
      <c r="AR941" s="289"/>
      <c r="AS941" s="289"/>
      <c r="AT941" s="289"/>
      <c r="AU941" s="289"/>
      <c r="AV941" s="289"/>
      <c r="AW941" s="289"/>
      <c r="AX941" s="289"/>
      <c r="AY941" s="289"/>
    </row>
    <row r="942" spans="1:51" ht="13.5" customHeight="1">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c r="AA942" s="289"/>
      <c r="AB942" s="289"/>
      <c r="AC942" s="289"/>
      <c r="AD942" s="289"/>
      <c r="AE942" s="289"/>
      <c r="AF942" s="289"/>
      <c r="AG942" s="289"/>
      <c r="AH942" s="289"/>
      <c r="AI942" s="289"/>
      <c r="AJ942" s="289"/>
      <c r="AK942" s="289"/>
      <c r="AL942" s="289"/>
      <c r="AM942" s="289"/>
      <c r="AN942" s="289"/>
      <c r="AO942" s="289"/>
      <c r="AP942" s="289"/>
      <c r="AQ942" s="289"/>
      <c r="AR942" s="289"/>
      <c r="AS942" s="289"/>
      <c r="AT942" s="289"/>
      <c r="AU942" s="289"/>
      <c r="AV942" s="289"/>
      <c r="AW942" s="289"/>
      <c r="AX942" s="289"/>
      <c r="AY942" s="289"/>
    </row>
    <row r="943" spans="1:51" ht="13.5" customHeight="1">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c r="AA943" s="289"/>
      <c r="AB943" s="289"/>
      <c r="AC943" s="289"/>
      <c r="AD943" s="289"/>
      <c r="AE943" s="289"/>
      <c r="AF943" s="289"/>
      <c r="AG943" s="289"/>
      <c r="AH943" s="289"/>
      <c r="AI943" s="289"/>
      <c r="AJ943" s="289"/>
      <c r="AK943" s="289"/>
      <c r="AL943" s="289"/>
      <c r="AM943" s="289"/>
      <c r="AN943" s="289"/>
      <c r="AO943" s="289"/>
      <c r="AP943" s="289"/>
      <c r="AQ943" s="289"/>
      <c r="AR943" s="289"/>
      <c r="AS943" s="289"/>
      <c r="AT943" s="289"/>
      <c r="AU943" s="289"/>
      <c r="AV943" s="289"/>
      <c r="AW943" s="289"/>
      <c r="AX943" s="289"/>
      <c r="AY943" s="289"/>
    </row>
    <row r="944" spans="1:51" ht="13.5" customHeight="1">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c r="AA944" s="289"/>
      <c r="AB944" s="289"/>
      <c r="AC944" s="289"/>
      <c r="AD944" s="289"/>
      <c r="AE944" s="289"/>
      <c r="AF944" s="289"/>
      <c r="AG944" s="289"/>
      <c r="AH944" s="289"/>
      <c r="AI944" s="289"/>
      <c r="AJ944" s="289"/>
      <c r="AK944" s="289"/>
      <c r="AL944" s="289"/>
      <c r="AM944" s="289"/>
      <c r="AN944" s="289"/>
      <c r="AO944" s="289"/>
      <c r="AP944" s="289"/>
      <c r="AQ944" s="289"/>
      <c r="AR944" s="289"/>
      <c r="AS944" s="289"/>
      <c r="AT944" s="289"/>
      <c r="AU944" s="289"/>
      <c r="AV944" s="289"/>
      <c r="AW944" s="289"/>
      <c r="AX944" s="289"/>
      <c r="AY944" s="289"/>
    </row>
    <row r="945" spans="1:51" ht="13.5" customHeight="1">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c r="AA945" s="289"/>
      <c r="AB945" s="289"/>
      <c r="AC945" s="289"/>
      <c r="AD945" s="289"/>
      <c r="AE945" s="289"/>
      <c r="AF945" s="289"/>
      <c r="AG945" s="289"/>
      <c r="AH945" s="289"/>
      <c r="AI945" s="289"/>
      <c r="AJ945" s="289"/>
      <c r="AK945" s="289"/>
      <c r="AL945" s="289"/>
      <c r="AM945" s="289"/>
      <c r="AN945" s="289"/>
      <c r="AO945" s="289"/>
      <c r="AP945" s="289"/>
      <c r="AQ945" s="289"/>
      <c r="AR945" s="289"/>
      <c r="AS945" s="289"/>
      <c r="AT945" s="289"/>
      <c r="AU945" s="289"/>
      <c r="AV945" s="289"/>
      <c r="AW945" s="289"/>
      <c r="AX945" s="289"/>
      <c r="AY945" s="289"/>
    </row>
    <row r="946" spans="1:51" ht="13.5" customHeight="1">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c r="AA946" s="289"/>
      <c r="AB946" s="289"/>
      <c r="AC946" s="289"/>
      <c r="AD946" s="289"/>
      <c r="AE946" s="289"/>
      <c r="AF946" s="289"/>
      <c r="AG946" s="289"/>
      <c r="AH946" s="289"/>
      <c r="AI946" s="289"/>
      <c r="AJ946" s="289"/>
      <c r="AK946" s="289"/>
      <c r="AL946" s="289"/>
      <c r="AM946" s="289"/>
      <c r="AN946" s="289"/>
      <c r="AO946" s="289"/>
      <c r="AP946" s="289"/>
      <c r="AQ946" s="289"/>
      <c r="AR946" s="289"/>
      <c r="AS946" s="289"/>
      <c r="AT946" s="289"/>
      <c r="AU946" s="289"/>
      <c r="AV946" s="289"/>
      <c r="AW946" s="289"/>
      <c r="AX946" s="289"/>
      <c r="AY946" s="289"/>
    </row>
    <row r="947" spans="1:51" ht="13.5" customHeight="1">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c r="AA947" s="289"/>
      <c r="AB947" s="289"/>
      <c r="AC947" s="289"/>
      <c r="AD947" s="289"/>
      <c r="AE947" s="289"/>
      <c r="AF947" s="289"/>
      <c r="AG947" s="289"/>
      <c r="AH947" s="289"/>
      <c r="AI947" s="289"/>
      <c r="AJ947" s="289"/>
      <c r="AK947" s="289"/>
      <c r="AL947" s="289"/>
      <c r="AM947" s="289"/>
      <c r="AN947" s="289"/>
      <c r="AO947" s="289"/>
      <c r="AP947" s="289"/>
      <c r="AQ947" s="289"/>
      <c r="AR947" s="289"/>
      <c r="AS947" s="289"/>
      <c r="AT947" s="289"/>
      <c r="AU947" s="289"/>
      <c r="AV947" s="289"/>
      <c r="AW947" s="289"/>
      <c r="AX947" s="289"/>
      <c r="AY947" s="289"/>
    </row>
    <row r="948" spans="1:51" ht="13.5" customHeight="1">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c r="AA948" s="289"/>
      <c r="AB948" s="289"/>
      <c r="AC948" s="289"/>
      <c r="AD948" s="289"/>
      <c r="AE948" s="289"/>
      <c r="AF948" s="289"/>
      <c r="AG948" s="289"/>
      <c r="AH948" s="289"/>
      <c r="AI948" s="289"/>
      <c r="AJ948" s="289"/>
      <c r="AK948" s="289"/>
      <c r="AL948" s="289"/>
      <c r="AM948" s="289"/>
      <c r="AN948" s="289"/>
      <c r="AO948" s="289"/>
      <c r="AP948" s="289"/>
      <c r="AQ948" s="289"/>
      <c r="AR948" s="289"/>
      <c r="AS948" s="289"/>
      <c r="AT948" s="289"/>
      <c r="AU948" s="289"/>
      <c r="AV948" s="289"/>
      <c r="AW948" s="289"/>
      <c r="AX948" s="289"/>
      <c r="AY948" s="289"/>
    </row>
    <row r="949" spans="1:51" ht="13.5" customHeight="1">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c r="AA949" s="289"/>
      <c r="AB949" s="289"/>
      <c r="AC949" s="289"/>
      <c r="AD949" s="289"/>
      <c r="AE949" s="289"/>
      <c r="AF949" s="289"/>
      <c r="AG949" s="289"/>
      <c r="AH949" s="289"/>
      <c r="AI949" s="289"/>
      <c r="AJ949" s="289"/>
      <c r="AK949" s="289"/>
      <c r="AL949" s="289"/>
      <c r="AM949" s="289"/>
      <c r="AN949" s="289"/>
      <c r="AO949" s="289"/>
      <c r="AP949" s="289"/>
      <c r="AQ949" s="289"/>
      <c r="AR949" s="289"/>
      <c r="AS949" s="289"/>
      <c r="AT949" s="289"/>
      <c r="AU949" s="289"/>
      <c r="AV949" s="289"/>
      <c r="AW949" s="289"/>
      <c r="AX949" s="289"/>
      <c r="AY949" s="289"/>
    </row>
    <row r="950" spans="1:51" ht="13.5" customHeight="1">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c r="AA950" s="289"/>
      <c r="AB950" s="289"/>
      <c r="AC950" s="289"/>
      <c r="AD950" s="289"/>
      <c r="AE950" s="289"/>
      <c r="AF950" s="289"/>
      <c r="AG950" s="289"/>
      <c r="AH950" s="289"/>
      <c r="AI950" s="289"/>
      <c r="AJ950" s="289"/>
      <c r="AK950" s="289"/>
      <c r="AL950" s="289"/>
      <c r="AM950" s="289"/>
      <c r="AN950" s="289"/>
      <c r="AO950" s="289"/>
      <c r="AP950" s="289"/>
      <c r="AQ950" s="289"/>
      <c r="AR950" s="289"/>
      <c r="AS950" s="289"/>
      <c r="AT950" s="289"/>
      <c r="AU950" s="289"/>
      <c r="AV950" s="289"/>
      <c r="AW950" s="289"/>
      <c r="AX950" s="289"/>
      <c r="AY950" s="289"/>
    </row>
    <row r="951" spans="1:51" ht="13.5" customHeight="1">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c r="AA951" s="289"/>
      <c r="AB951" s="289"/>
      <c r="AC951" s="289"/>
      <c r="AD951" s="289"/>
      <c r="AE951" s="289"/>
      <c r="AF951" s="289"/>
      <c r="AG951" s="289"/>
      <c r="AH951" s="289"/>
      <c r="AI951" s="289"/>
      <c r="AJ951" s="289"/>
      <c r="AK951" s="289"/>
      <c r="AL951" s="289"/>
      <c r="AM951" s="289"/>
      <c r="AN951" s="289"/>
      <c r="AO951" s="289"/>
      <c r="AP951" s="289"/>
      <c r="AQ951" s="289"/>
      <c r="AR951" s="289"/>
      <c r="AS951" s="289"/>
      <c r="AT951" s="289"/>
      <c r="AU951" s="289"/>
      <c r="AV951" s="289"/>
      <c r="AW951" s="289"/>
      <c r="AX951" s="289"/>
      <c r="AY951" s="289"/>
    </row>
    <row r="952" spans="1:51" ht="13.5" customHeight="1">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c r="AA952" s="289"/>
      <c r="AB952" s="289"/>
      <c r="AC952" s="289"/>
      <c r="AD952" s="289"/>
      <c r="AE952" s="289"/>
      <c r="AF952" s="289"/>
      <c r="AG952" s="289"/>
      <c r="AH952" s="289"/>
      <c r="AI952" s="289"/>
      <c r="AJ952" s="289"/>
      <c r="AK952" s="289"/>
      <c r="AL952" s="289"/>
      <c r="AM952" s="289"/>
      <c r="AN952" s="289"/>
      <c r="AO952" s="289"/>
      <c r="AP952" s="289"/>
      <c r="AQ952" s="289"/>
      <c r="AR952" s="289"/>
      <c r="AS952" s="289"/>
      <c r="AT952" s="289"/>
      <c r="AU952" s="289"/>
      <c r="AV952" s="289"/>
      <c r="AW952" s="289"/>
      <c r="AX952" s="289"/>
      <c r="AY952" s="289"/>
    </row>
    <row r="953" spans="1:51" ht="13.5" customHeight="1">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c r="AA953" s="289"/>
      <c r="AB953" s="289"/>
      <c r="AC953" s="289"/>
      <c r="AD953" s="289"/>
      <c r="AE953" s="289"/>
      <c r="AF953" s="289"/>
      <c r="AG953" s="289"/>
      <c r="AH953" s="289"/>
      <c r="AI953" s="289"/>
      <c r="AJ953" s="289"/>
      <c r="AK953" s="289"/>
      <c r="AL953" s="289"/>
      <c r="AM953" s="289"/>
      <c r="AN953" s="289"/>
      <c r="AO953" s="289"/>
      <c r="AP953" s="289"/>
      <c r="AQ953" s="289"/>
      <c r="AR953" s="289"/>
      <c r="AS953" s="289"/>
      <c r="AT953" s="289"/>
      <c r="AU953" s="289"/>
      <c r="AV953" s="289"/>
      <c r="AW953" s="289"/>
      <c r="AX953" s="289"/>
      <c r="AY953" s="289"/>
    </row>
    <row r="954" spans="1:51" ht="13.5" customHeight="1">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c r="AA954" s="289"/>
      <c r="AB954" s="289"/>
      <c r="AC954" s="289"/>
      <c r="AD954" s="289"/>
      <c r="AE954" s="289"/>
      <c r="AF954" s="289"/>
      <c r="AG954" s="289"/>
      <c r="AH954" s="289"/>
      <c r="AI954" s="289"/>
      <c r="AJ954" s="289"/>
      <c r="AK954" s="289"/>
      <c r="AL954" s="289"/>
      <c r="AM954" s="289"/>
      <c r="AN954" s="289"/>
      <c r="AO954" s="289"/>
      <c r="AP954" s="289"/>
      <c r="AQ954" s="289"/>
      <c r="AR954" s="289"/>
      <c r="AS954" s="289"/>
      <c r="AT954" s="289"/>
      <c r="AU954" s="289"/>
      <c r="AV954" s="289"/>
      <c r="AW954" s="289"/>
      <c r="AX954" s="289"/>
      <c r="AY954" s="289"/>
    </row>
    <row r="955" spans="1:51" ht="13.5" customHeight="1">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c r="AA955" s="289"/>
      <c r="AB955" s="289"/>
      <c r="AC955" s="289"/>
      <c r="AD955" s="289"/>
      <c r="AE955" s="289"/>
      <c r="AF955" s="289"/>
      <c r="AG955" s="289"/>
      <c r="AH955" s="289"/>
      <c r="AI955" s="289"/>
      <c r="AJ955" s="289"/>
      <c r="AK955" s="289"/>
      <c r="AL955" s="289"/>
      <c r="AM955" s="289"/>
      <c r="AN955" s="289"/>
      <c r="AO955" s="289"/>
      <c r="AP955" s="289"/>
      <c r="AQ955" s="289"/>
      <c r="AR955" s="289"/>
      <c r="AS955" s="289"/>
      <c r="AT955" s="289"/>
      <c r="AU955" s="289"/>
      <c r="AV955" s="289"/>
      <c r="AW955" s="289"/>
      <c r="AX955" s="289"/>
      <c r="AY955" s="289"/>
    </row>
    <row r="956" spans="1:51" ht="13.5" customHeight="1">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c r="AA956" s="289"/>
      <c r="AB956" s="289"/>
      <c r="AC956" s="289"/>
      <c r="AD956" s="289"/>
      <c r="AE956" s="289"/>
      <c r="AF956" s="289"/>
      <c r="AG956" s="289"/>
      <c r="AH956" s="289"/>
      <c r="AI956" s="289"/>
      <c r="AJ956" s="289"/>
      <c r="AK956" s="289"/>
      <c r="AL956" s="289"/>
      <c r="AM956" s="289"/>
      <c r="AN956" s="289"/>
      <c r="AO956" s="289"/>
      <c r="AP956" s="289"/>
      <c r="AQ956" s="289"/>
      <c r="AR956" s="289"/>
      <c r="AS956" s="289"/>
      <c r="AT956" s="289"/>
      <c r="AU956" s="289"/>
      <c r="AV956" s="289"/>
      <c r="AW956" s="289"/>
      <c r="AX956" s="289"/>
      <c r="AY956" s="289"/>
    </row>
    <row r="957" spans="1:51" ht="13.5" customHeight="1">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c r="AA957" s="289"/>
      <c r="AB957" s="289"/>
      <c r="AC957" s="289"/>
      <c r="AD957" s="289"/>
      <c r="AE957" s="289"/>
      <c r="AF957" s="289"/>
      <c r="AG957" s="289"/>
      <c r="AH957" s="289"/>
      <c r="AI957" s="289"/>
      <c r="AJ957" s="289"/>
      <c r="AK957" s="289"/>
      <c r="AL957" s="289"/>
      <c r="AM957" s="289"/>
      <c r="AN957" s="289"/>
      <c r="AO957" s="289"/>
      <c r="AP957" s="289"/>
      <c r="AQ957" s="289"/>
      <c r="AR957" s="289"/>
      <c r="AS957" s="289"/>
      <c r="AT957" s="289"/>
      <c r="AU957" s="289"/>
      <c r="AV957" s="289"/>
      <c r="AW957" s="289"/>
      <c r="AX957" s="289"/>
      <c r="AY957" s="289"/>
    </row>
    <row r="958" spans="1:51" ht="13.5" customHeight="1">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c r="AA958" s="289"/>
      <c r="AB958" s="289"/>
      <c r="AC958" s="289"/>
      <c r="AD958" s="289"/>
      <c r="AE958" s="289"/>
      <c r="AF958" s="289"/>
      <c r="AG958" s="289"/>
      <c r="AH958" s="289"/>
      <c r="AI958" s="289"/>
      <c r="AJ958" s="289"/>
      <c r="AK958" s="289"/>
      <c r="AL958" s="289"/>
      <c r="AM958" s="289"/>
      <c r="AN958" s="289"/>
      <c r="AO958" s="289"/>
      <c r="AP958" s="289"/>
      <c r="AQ958" s="289"/>
      <c r="AR958" s="289"/>
      <c r="AS958" s="289"/>
      <c r="AT958" s="289"/>
      <c r="AU958" s="289"/>
      <c r="AV958" s="289"/>
      <c r="AW958" s="289"/>
      <c r="AX958" s="289"/>
      <c r="AY958" s="289"/>
    </row>
    <row r="959" spans="1:51" ht="13.5" customHeight="1">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c r="AA959" s="289"/>
      <c r="AB959" s="289"/>
      <c r="AC959" s="289"/>
      <c r="AD959" s="289"/>
      <c r="AE959" s="289"/>
      <c r="AF959" s="289"/>
      <c r="AG959" s="289"/>
      <c r="AH959" s="289"/>
      <c r="AI959" s="289"/>
      <c r="AJ959" s="289"/>
      <c r="AK959" s="289"/>
      <c r="AL959" s="289"/>
      <c r="AM959" s="289"/>
      <c r="AN959" s="289"/>
      <c r="AO959" s="289"/>
      <c r="AP959" s="289"/>
      <c r="AQ959" s="289"/>
      <c r="AR959" s="289"/>
      <c r="AS959" s="289"/>
      <c r="AT959" s="289"/>
      <c r="AU959" s="289"/>
      <c r="AV959" s="289"/>
      <c r="AW959" s="289"/>
      <c r="AX959" s="289"/>
      <c r="AY959" s="289"/>
    </row>
    <row r="960" spans="1:51" ht="13.5" customHeight="1">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c r="AA960" s="289"/>
      <c r="AB960" s="289"/>
      <c r="AC960" s="289"/>
      <c r="AD960" s="289"/>
      <c r="AE960" s="289"/>
      <c r="AF960" s="289"/>
      <c r="AG960" s="289"/>
      <c r="AH960" s="289"/>
      <c r="AI960" s="289"/>
      <c r="AJ960" s="289"/>
      <c r="AK960" s="289"/>
      <c r="AL960" s="289"/>
      <c r="AM960" s="289"/>
      <c r="AN960" s="289"/>
      <c r="AO960" s="289"/>
      <c r="AP960" s="289"/>
      <c r="AQ960" s="289"/>
      <c r="AR960" s="289"/>
      <c r="AS960" s="289"/>
      <c r="AT960" s="289"/>
      <c r="AU960" s="289"/>
      <c r="AV960" s="289"/>
      <c r="AW960" s="289"/>
      <c r="AX960" s="289"/>
      <c r="AY960" s="289"/>
    </row>
    <row r="961" spans="1:51" ht="13.5" customHeight="1">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c r="AA961" s="289"/>
      <c r="AB961" s="289"/>
      <c r="AC961" s="289"/>
      <c r="AD961" s="289"/>
      <c r="AE961" s="289"/>
      <c r="AF961" s="289"/>
      <c r="AG961" s="289"/>
      <c r="AH961" s="289"/>
      <c r="AI961" s="289"/>
      <c r="AJ961" s="289"/>
      <c r="AK961" s="289"/>
      <c r="AL961" s="289"/>
      <c r="AM961" s="289"/>
      <c r="AN961" s="289"/>
      <c r="AO961" s="289"/>
      <c r="AP961" s="289"/>
      <c r="AQ961" s="289"/>
      <c r="AR961" s="289"/>
      <c r="AS961" s="289"/>
      <c r="AT961" s="289"/>
      <c r="AU961" s="289"/>
      <c r="AV961" s="289"/>
      <c r="AW961" s="289"/>
      <c r="AX961" s="289"/>
      <c r="AY961" s="289"/>
    </row>
    <row r="962" spans="1:51" ht="13.5" customHeight="1">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c r="AA962" s="289"/>
      <c r="AB962" s="289"/>
      <c r="AC962" s="289"/>
      <c r="AD962" s="289"/>
      <c r="AE962" s="289"/>
      <c r="AF962" s="289"/>
      <c r="AG962" s="289"/>
      <c r="AH962" s="289"/>
      <c r="AI962" s="289"/>
      <c r="AJ962" s="289"/>
      <c r="AK962" s="289"/>
      <c r="AL962" s="289"/>
      <c r="AM962" s="289"/>
      <c r="AN962" s="289"/>
      <c r="AO962" s="289"/>
      <c r="AP962" s="289"/>
      <c r="AQ962" s="289"/>
      <c r="AR962" s="289"/>
      <c r="AS962" s="289"/>
      <c r="AT962" s="289"/>
      <c r="AU962" s="289"/>
      <c r="AV962" s="289"/>
      <c r="AW962" s="289"/>
      <c r="AX962" s="289"/>
      <c r="AY962" s="289"/>
    </row>
    <row r="963" spans="1:51" ht="13.5" customHeight="1">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c r="AA963" s="289"/>
      <c r="AB963" s="289"/>
      <c r="AC963" s="289"/>
      <c r="AD963" s="289"/>
      <c r="AE963" s="289"/>
      <c r="AF963" s="289"/>
      <c r="AG963" s="289"/>
      <c r="AH963" s="289"/>
      <c r="AI963" s="289"/>
      <c r="AJ963" s="289"/>
      <c r="AK963" s="289"/>
      <c r="AL963" s="289"/>
      <c r="AM963" s="289"/>
      <c r="AN963" s="289"/>
      <c r="AO963" s="289"/>
      <c r="AP963" s="289"/>
      <c r="AQ963" s="289"/>
      <c r="AR963" s="289"/>
      <c r="AS963" s="289"/>
      <c r="AT963" s="289"/>
      <c r="AU963" s="289"/>
      <c r="AV963" s="289"/>
      <c r="AW963" s="289"/>
      <c r="AX963" s="289"/>
      <c r="AY963" s="289"/>
    </row>
    <row r="964" spans="1:51" ht="13.5" customHeight="1">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c r="AA964" s="289"/>
      <c r="AB964" s="289"/>
      <c r="AC964" s="289"/>
      <c r="AD964" s="289"/>
      <c r="AE964" s="289"/>
      <c r="AF964" s="289"/>
      <c r="AG964" s="289"/>
      <c r="AH964" s="289"/>
      <c r="AI964" s="289"/>
      <c r="AJ964" s="289"/>
      <c r="AK964" s="289"/>
      <c r="AL964" s="289"/>
      <c r="AM964" s="289"/>
      <c r="AN964" s="289"/>
      <c r="AO964" s="289"/>
      <c r="AP964" s="289"/>
      <c r="AQ964" s="289"/>
      <c r="AR964" s="289"/>
      <c r="AS964" s="289"/>
      <c r="AT964" s="289"/>
      <c r="AU964" s="289"/>
      <c r="AV964" s="289"/>
      <c r="AW964" s="289"/>
      <c r="AX964" s="289"/>
      <c r="AY964" s="289"/>
    </row>
    <row r="965" spans="1:51" ht="13.5" customHeight="1">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c r="AA965" s="289"/>
      <c r="AB965" s="289"/>
      <c r="AC965" s="289"/>
      <c r="AD965" s="289"/>
      <c r="AE965" s="289"/>
      <c r="AF965" s="289"/>
      <c r="AG965" s="289"/>
      <c r="AH965" s="289"/>
      <c r="AI965" s="289"/>
      <c r="AJ965" s="289"/>
      <c r="AK965" s="289"/>
      <c r="AL965" s="289"/>
      <c r="AM965" s="289"/>
      <c r="AN965" s="289"/>
      <c r="AO965" s="289"/>
      <c r="AP965" s="289"/>
      <c r="AQ965" s="289"/>
      <c r="AR965" s="289"/>
      <c r="AS965" s="289"/>
      <c r="AT965" s="289"/>
      <c r="AU965" s="289"/>
      <c r="AV965" s="289"/>
      <c r="AW965" s="289"/>
      <c r="AX965" s="289"/>
      <c r="AY965" s="289"/>
    </row>
    <row r="966" spans="1:51" ht="13.5" customHeight="1">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c r="AA966" s="289"/>
      <c r="AB966" s="289"/>
      <c r="AC966" s="289"/>
      <c r="AD966" s="289"/>
      <c r="AE966" s="289"/>
      <c r="AF966" s="289"/>
      <c r="AG966" s="289"/>
      <c r="AH966" s="289"/>
      <c r="AI966" s="289"/>
      <c r="AJ966" s="289"/>
      <c r="AK966" s="289"/>
      <c r="AL966" s="289"/>
      <c r="AM966" s="289"/>
      <c r="AN966" s="289"/>
      <c r="AO966" s="289"/>
      <c r="AP966" s="289"/>
      <c r="AQ966" s="289"/>
      <c r="AR966" s="289"/>
      <c r="AS966" s="289"/>
      <c r="AT966" s="289"/>
      <c r="AU966" s="289"/>
      <c r="AV966" s="289"/>
      <c r="AW966" s="289"/>
      <c r="AX966" s="289"/>
      <c r="AY966" s="289"/>
    </row>
    <row r="967" spans="1:51" ht="13.5" customHeight="1">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c r="AA967" s="289"/>
      <c r="AB967" s="289"/>
      <c r="AC967" s="289"/>
      <c r="AD967" s="289"/>
      <c r="AE967" s="289"/>
      <c r="AF967" s="289"/>
      <c r="AG967" s="289"/>
      <c r="AH967" s="289"/>
      <c r="AI967" s="289"/>
      <c r="AJ967" s="289"/>
      <c r="AK967" s="289"/>
      <c r="AL967" s="289"/>
      <c r="AM967" s="289"/>
      <c r="AN967" s="289"/>
      <c r="AO967" s="289"/>
      <c r="AP967" s="289"/>
      <c r="AQ967" s="289"/>
      <c r="AR967" s="289"/>
      <c r="AS967" s="289"/>
      <c r="AT967" s="289"/>
      <c r="AU967" s="289"/>
      <c r="AV967" s="289"/>
      <c r="AW967" s="289"/>
      <c r="AX967" s="289"/>
      <c r="AY967" s="289"/>
    </row>
    <row r="968" spans="1:51" ht="13.5" customHeight="1">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c r="AA968" s="289"/>
      <c r="AB968" s="289"/>
      <c r="AC968" s="289"/>
      <c r="AD968" s="289"/>
      <c r="AE968" s="289"/>
      <c r="AF968" s="289"/>
      <c r="AG968" s="289"/>
      <c r="AH968" s="289"/>
      <c r="AI968" s="289"/>
      <c r="AJ968" s="289"/>
      <c r="AK968" s="289"/>
      <c r="AL968" s="289"/>
      <c r="AM968" s="289"/>
      <c r="AN968" s="289"/>
      <c r="AO968" s="289"/>
      <c r="AP968" s="289"/>
      <c r="AQ968" s="289"/>
      <c r="AR968" s="289"/>
      <c r="AS968" s="289"/>
      <c r="AT968" s="289"/>
      <c r="AU968" s="289"/>
      <c r="AV968" s="289"/>
      <c r="AW968" s="289"/>
      <c r="AX968" s="289"/>
      <c r="AY968" s="289"/>
    </row>
    <row r="969" spans="1:51" ht="13.5" customHeight="1">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c r="AA969" s="289"/>
      <c r="AB969" s="289"/>
      <c r="AC969" s="289"/>
      <c r="AD969" s="289"/>
      <c r="AE969" s="289"/>
      <c r="AF969" s="289"/>
      <c r="AG969" s="289"/>
      <c r="AH969" s="289"/>
      <c r="AI969" s="289"/>
      <c r="AJ969" s="289"/>
      <c r="AK969" s="289"/>
      <c r="AL969" s="289"/>
      <c r="AM969" s="289"/>
      <c r="AN969" s="289"/>
      <c r="AO969" s="289"/>
      <c r="AP969" s="289"/>
      <c r="AQ969" s="289"/>
      <c r="AR969" s="289"/>
      <c r="AS969" s="289"/>
      <c r="AT969" s="289"/>
      <c r="AU969" s="289"/>
      <c r="AV969" s="289"/>
      <c r="AW969" s="289"/>
      <c r="AX969" s="289"/>
      <c r="AY969" s="289"/>
    </row>
    <row r="970" spans="1:51" ht="13.5" customHeight="1">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c r="AA970" s="289"/>
      <c r="AB970" s="289"/>
      <c r="AC970" s="289"/>
      <c r="AD970" s="289"/>
      <c r="AE970" s="289"/>
      <c r="AF970" s="289"/>
      <c r="AG970" s="289"/>
      <c r="AH970" s="289"/>
      <c r="AI970" s="289"/>
      <c r="AJ970" s="289"/>
      <c r="AK970" s="289"/>
      <c r="AL970" s="289"/>
      <c r="AM970" s="289"/>
      <c r="AN970" s="289"/>
      <c r="AO970" s="289"/>
      <c r="AP970" s="289"/>
      <c r="AQ970" s="289"/>
      <c r="AR970" s="289"/>
      <c r="AS970" s="289"/>
      <c r="AT970" s="289"/>
      <c r="AU970" s="289"/>
      <c r="AV970" s="289"/>
      <c r="AW970" s="289"/>
      <c r="AX970" s="289"/>
      <c r="AY970" s="289"/>
    </row>
    <row r="971" spans="1:51" ht="13.5" customHeight="1">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c r="AA971" s="289"/>
      <c r="AB971" s="289"/>
      <c r="AC971" s="289"/>
      <c r="AD971" s="289"/>
      <c r="AE971" s="289"/>
      <c r="AF971" s="289"/>
      <c r="AG971" s="289"/>
      <c r="AH971" s="289"/>
      <c r="AI971" s="289"/>
      <c r="AJ971" s="289"/>
      <c r="AK971" s="289"/>
      <c r="AL971" s="289"/>
      <c r="AM971" s="289"/>
      <c r="AN971" s="289"/>
      <c r="AO971" s="289"/>
      <c r="AP971" s="289"/>
      <c r="AQ971" s="289"/>
      <c r="AR971" s="289"/>
      <c r="AS971" s="289"/>
      <c r="AT971" s="289"/>
      <c r="AU971" s="289"/>
      <c r="AV971" s="289"/>
      <c r="AW971" s="289"/>
      <c r="AX971" s="289"/>
      <c r="AY971" s="289"/>
    </row>
    <row r="972" spans="1:51" ht="13.5" customHeight="1">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c r="AA972" s="289"/>
      <c r="AB972" s="289"/>
      <c r="AC972" s="289"/>
      <c r="AD972" s="289"/>
      <c r="AE972" s="289"/>
      <c r="AF972" s="289"/>
      <c r="AG972" s="289"/>
      <c r="AH972" s="289"/>
      <c r="AI972" s="289"/>
      <c r="AJ972" s="289"/>
      <c r="AK972" s="289"/>
      <c r="AL972" s="289"/>
      <c r="AM972" s="289"/>
      <c r="AN972" s="289"/>
      <c r="AO972" s="289"/>
      <c r="AP972" s="289"/>
      <c r="AQ972" s="289"/>
      <c r="AR972" s="289"/>
      <c r="AS972" s="289"/>
      <c r="AT972" s="289"/>
      <c r="AU972" s="289"/>
      <c r="AV972" s="289"/>
      <c r="AW972" s="289"/>
      <c r="AX972" s="289"/>
      <c r="AY972" s="289"/>
    </row>
    <row r="973" spans="1:51" ht="13.5" customHeight="1">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c r="AA973" s="289"/>
      <c r="AB973" s="289"/>
      <c r="AC973" s="289"/>
      <c r="AD973" s="289"/>
      <c r="AE973" s="289"/>
      <c r="AF973" s="289"/>
      <c r="AG973" s="289"/>
      <c r="AH973" s="289"/>
      <c r="AI973" s="289"/>
      <c r="AJ973" s="289"/>
      <c r="AK973" s="289"/>
      <c r="AL973" s="289"/>
      <c r="AM973" s="289"/>
      <c r="AN973" s="289"/>
      <c r="AO973" s="289"/>
      <c r="AP973" s="289"/>
      <c r="AQ973" s="289"/>
      <c r="AR973" s="289"/>
      <c r="AS973" s="289"/>
      <c r="AT973" s="289"/>
      <c r="AU973" s="289"/>
      <c r="AV973" s="289"/>
      <c r="AW973" s="289"/>
      <c r="AX973" s="289"/>
      <c r="AY973" s="289"/>
    </row>
    <row r="974" spans="1:51" ht="13.5" customHeight="1">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c r="AA974" s="289"/>
      <c r="AB974" s="289"/>
      <c r="AC974" s="289"/>
      <c r="AD974" s="289"/>
      <c r="AE974" s="289"/>
      <c r="AF974" s="289"/>
      <c r="AG974" s="289"/>
      <c r="AH974" s="289"/>
      <c r="AI974" s="289"/>
      <c r="AJ974" s="289"/>
      <c r="AK974" s="289"/>
      <c r="AL974" s="289"/>
      <c r="AM974" s="289"/>
      <c r="AN974" s="289"/>
      <c r="AO974" s="289"/>
      <c r="AP974" s="289"/>
      <c r="AQ974" s="289"/>
      <c r="AR974" s="289"/>
      <c r="AS974" s="289"/>
      <c r="AT974" s="289"/>
      <c r="AU974" s="289"/>
      <c r="AV974" s="289"/>
      <c r="AW974" s="289"/>
      <c r="AX974" s="289"/>
      <c r="AY974" s="289"/>
    </row>
    <row r="975" spans="1:51" ht="13.5" customHeight="1">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c r="AA975" s="289"/>
      <c r="AB975" s="289"/>
      <c r="AC975" s="289"/>
      <c r="AD975" s="289"/>
      <c r="AE975" s="289"/>
      <c r="AF975" s="289"/>
      <c r="AG975" s="289"/>
      <c r="AH975" s="289"/>
      <c r="AI975" s="289"/>
      <c r="AJ975" s="289"/>
      <c r="AK975" s="289"/>
      <c r="AL975" s="289"/>
      <c r="AM975" s="289"/>
      <c r="AN975" s="289"/>
      <c r="AO975" s="289"/>
      <c r="AP975" s="289"/>
      <c r="AQ975" s="289"/>
      <c r="AR975" s="289"/>
      <c r="AS975" s="289"/>
      <c r="AT975" s="289"/>
      <c r="AU975" s="289"/>
      <c r="AV975" s="289"/>
      <c r="AW975" s="289"/>
      <c r="AX975" s="289"/>
      <c r="AY975" s="289"/>
    </row>
    <row r="976" spans="1:51" ht="13.5" customHeight="1">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c r="AA976" s="289"/>
      <c r="AB976" s="289"/>
      <c r="AC976" s="289"/>
      <c r="AD976" s="289"/>
      <c r="AE976" s="289"/>
      <c r="AF976" s="289"/>
      <c r="AG976" s="289"/>
      <c r="AH976" s="289"/>
      <c r="AI976" s="289"/>
      <c r="AJ976" s="289"/>
      <c r="AK976" s="289"/>
      <c r="AL976" s="289"/>
      <c r="AM976" s="289"/>
      <c r="AN976" s="289"/>
      <c r="AO976" s="289"/>
      <c r="AP976" s="289"/>
      <c r="AQ976" s="289"/>
      <c r="AR976" s="289"/>
      <c r="AS976" s="289"/>
      <c r="AT976" s="289"/>
      <c r="AU976" s="289"/>
      <c r="AV976" s="289"/>
      <c r="AW976" s="289"/>
      <c r="AX976" s="289"/>
      <c r="AY976" s="289"/>
    </row>
    <row r="977" spans="1:51" ht="13.5" customHeight="1">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c r="AA977" s="289"/>
      <c r="AB977" s="289"/>
      <c r="AC977" s="289"/>
      <c r="AD977" s="289"/>
      <c r="AE977" s="289"/>
      <c r="AF977" s="289"/>
      <c r="AG977" s="289"/>
      <c r="AH977" s="289"/>
      <c r="AI977" s="289"/>
      <c r="AJ977" s="289"/>
      <c r="AK977" s="289"/>
      <c r="AL977" s="289"/>
      <c r="AM977" s="289"/>
      <c r="AN977" s="289"/>
      <c r="AO977" s="289"/>
      <c r="AP977" s="289"/>
      <c r="AQ977" s="289"/>
      <c r="AR977" s="289"/>
      <c r="AS977" s="289"/>
      <c r="AT977" s="289"/>
      <c r="AU977" s="289"/>
      <c r="AV977" s="289"/>
      <c r="AW977" s="289"/>
      <c r="AX977" s="289"/>
      <c r="AY977" s="289"/>
    </row>
    <row r="978" spans="1:51" ht="13.5" customHeight="1">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c r="AA978" s="289"/>
      <c r="AB978" s="289"/>
      <c r="AC978" s="289"/>
      <c r="AD978" s="289"/>
      <c r="AE978" s="289"/>
      <c r="AF978" s="289"/>
      <c r="AG978" s="289"/>
      <c r="AH978" s="289"/>
      <c r="AI978" s="289"/>
      <c r="AJ978" s="289"/>
      <c r="AK978" s="289"/>
      <c r="AL978" s="289"/>
      <c r="AM978" s="289"/>
      <c r="AN978" s="289"/>
      <c r="AO978" s="289"/>
      <c r="AP978" s="289"/>
      <c r="AQ978" s="289"/>
      <c r="AR978" s="289"/>
      <c r="AS978" s="289"/>
      <c r="AT978" s="289"/>
      <c r="AU978" s="289"/>
      <c r="AV978" s="289"/>
      <c r="AW978" s="289"/>
      <c r="AX978" s="289"/>
      <c r="AY978" s="289"/>
    </row>
    <row r="979" spans="1:51" ht="13.5" customHeight="1">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c r="AA979" s="289"/>
      <c r="AB979" s="289"/>
      <c r="AC979" s="289"/>
      <c r="AD979" s="289"/>
      <c r="AE979" s="289"/>
      <c r="AF979" s="289"/>
      <c r="AG979" s="289"/>
      <c r="AH979" s="289"/>
      <c r="AI979" s="289"/>
      <c r="AJ979" s="289"/>
      <c r="AK979" s="289"/>
      <c r="AL979" s="289"/>
      <c r="AM979" s="289"/>
      <c r="AN979" s="289"/>
      <c r="AO979" s="289"/>
      <c r="AP979" s="289"/>
      <c r="AQ979" s="289"/>
      <c r="AR979" s="289"/>
      <c r="AS979" s="289"/>
      <c r="AT979" s="289"/>
      <c r="AU979" s="289"/>
      <c r="AV979" s="289"/>
      <c r="AW979" s="289"/>
      <c r="AX979" s="289"/>
      <c r="AY979" s="289"/>
    </row>
    <row r="980" spans="1:51" ht="13.5" customHeight="1">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c r="AA980" s="289"/>
      <c r="AB980" s="289"/>
      <c r="AC980" s="289"/>
      <c r="AD980" s="289"/>
      <c r="AE980" s="289"/>
      <c r="AF980" s="289"/>
      <c r="AG980" s="289"/>
      <c r="AH980" s="289"/>
      <c r="AI980" s="289"/>
      <c r="AJ980" s="289"/>
      <c r="AK980" s="289"/>
      <c r="AL980" s="289"/>
      <c r="AM980" s="289"/>
      <c r="AN980" s="289"/>
      <c r="AO980" s="289"/>
      <c r="AP980" s="289"/>
      <c r="AQ980" s="289"/>
      <c r="AR980" s="289"/>
      <c r="AS980" s="289"/>
      <c r="AT980" s="289"/>
      <c r="AU980" s="289"/>
      <c r="AV980" s="289"/>
      <c r="AW980" s="289"/>
      <c r="AX980" s="289"/>
      <c r="AY980" s="289"/>
    </row>
    <row r="981" spans="1:51" ht="13.5" customHeight="1">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c r="AA981" s="289"/>
      <c r="AB981" s="289"/>
      <c r="AC981" s="289"/>
      <c r="AD981" s="289"/>
      <c r="AE981" s="289"/>
      <c r="AF981" s="289"/>
      <c r="AG981" s="289"/>
      <c r="AH981" s="289"/>
      <c r="AI981" s="289"/>
      <c r="AJ981" s="289"/>
      <c r="AK981" s="289"/>
      <c r="AL981" s="289"/>
      <c r="AM981" s="289"/>
      <c r="AN981" s="289"/>
      <c r="AO981" s="289"/>
      <c r="AP981" s="289"/>
      <c r="AQ981" s="289"/>
      <c r="AR981" s="289"/>
      <c r="AS981" s="289"/>
      <c r="AT981" s="289"/>
      <c r="AU981" s="289"/>
      <c r="AV981" s="289"/>
      <c r="AW981" s="289"/>
      <c r="AX981" s="289"/>
      <c r="AY981" s="289"/>
    </row>
    <row r="982" spans="1:51" ht="13.5" customHeight="1">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c r="AA982" s="289"/>
      <c r="AB982" s="289"/>
      <c r="AC982" s="289"/>
      <c r="AD982" s="289"/>
      <c r="AE982" s="289"/>
      <c r="AF982" s="289"/>
      <c r="AG982" s="289"/>
      <c r="AH982" s="289"/>
      <c r="AI982" s="289"/>
      <c r="AJ982" s="289"/>
      <c r="AK982" s="289"/>
      <c r="AL982" s="289"/>
      <c r="AM982" s="289"/>
      <c r="AN982" s="289"/>
      <c r="AO982" s="289"/>
      <c r="AP982" s="289"/>
      <c r="AQ982" s="289"/>
      <c r="AR982" s="289"/>
      <c r="AS982" s="289"/>
      <c r="AT982" s="289"/>
      <c r="AU982" s="289"/>
      <c r="AV982" s="289"/>
      <c r="AW982" s="289"/>
      <c r="AX982" s="289"/>
      <c r="AY982" s="289"/>
    </row>
    <row r="983" spans="1:51" ht="13.5" customHeight="1">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c r="AA983" s="289"/>
      <c r="AB983" s="289"/>
      <c r="AC983" s="289"/>
      <c r="AD983" s="289"/>
      <c r="AE983" s="289"/>
      <c r="AF983" s="289"/>
      <c r="AG983" s="289"/>
      <c r="AH983" s="289"/>
      <c r="AI983" s="289"/>
      <c r="AJ983" s="289"/>
      <c r="AK983" s="289"/>
      <c r="AL983" s="289"/>
      <c r="AM983" s="289"/>
      <c r="AN983" s="289"/>
      <c r="AO983" s="289"/>
      <c r="AP983" s="289"/>
      <c r="AQ983" s="289"/>
      <c r="AR983" s="289"/>
      <c r="AS983" s="289"/>
      <c r="AT983" s="289"/>
      <c r="AU983" s="289"/>
      <c r="AV983" s="289"/>
      <c r="AW983" s="289"/>
      <c r="AX983" s="289"/>
      <c r="AY983" s="289"/>
    </row>
    <row r="984" spans="1:51" ht="13.5" customHeight="1">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c r="AA984" s="289"/>
      <c r="AB984" s="289"/>
      <c r="AC984" s="289"/>
      <c r="AD984" s="289"/>
      <c r="AE984" s="289"/>
      <c r="AF984" s="289"/>
      <c r="AG984" s="289"/>
      <c r="AH984" s="289"/>
      <c r="AI984" s="289"/>
      <c r="AJ984" s="289"/>
      <c r="AK984" s="289"/>
      <c r="AL984" s="289"/>
      <c r="AM984" s="289"/>
      <c r="AN984" s="289"/>
      <c r="AO984" s="289"/>
      <c r="AP984" s="289"/>
      <c r="AQ984" s="289"/>
      <c r="AR984" s="289"/>
      <c r="AS984" s="289"/>
      <c r="AT984" s="289"/>
      <c r="AU984" s="289"/>
      <c r="AV984" s="289"/>
      <c r="AW984" s="289"/>
      <c r="AX984" s="289"/>
      <c r="AY984" s="289"/>
    </row>
    <row r="985" spans="1:51" ht="13.5" customHeight="1">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c r="AA985" s="289"/>
      <c r="AB985" s="289"/>
      <c r="AC985" s="289"/>
      <c r="AD985" s="289"/>
      <c r="AE985" s="289"/>
      <c r="AF985" s="289"/>
      <c r="AG985" s="289"/>
      <c r="AH985" s="289"/>
      <c r="AI985" s="289"/>
      <c r="AJ985" s="289"/>
      <c r="AK985" s="289"/>
      <c r="AL985" s="289"/>
      <c r="AM985" s="289"/>
      <c r="AN985" s="289"/>
      <c r="AO985" s="289"/>
      <c r="AP985" s="289"/>
      <c r="AQ985" s="289"/>
      <c r="AR985" s="289"/>
      <c r="AS985" s="289"/>
      <c r="AT985" s="289"/>
      <c r="AU985" s="289"/>
      <c r="AV985" s="289"/>
      <c r="AW985" s="289"/>
      <c r="AX985" s="289"/>
      <c r="AY985" s="289"/>
    </row>
    <row r="986" spans="1:51" ht="13.5" customHeight="1">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c r="AA986" s="289"/>
      <c r="AB986" s="289"/>
      <c r="AC986" s="289"/>
      <c r="AD986" s="289"/>
      <c r="AE986" s="289"/>
      <c r="AF986" s="289"/>
      <c r="AG986" s="289"/>
      <c r="AH986" s="289"/>
      <c r="AI986" s="289"/>
      <c r="AJ986" s="289"/>
      <c r="AK986" s="289"/>
      <c r="AL986" s="289"/>
      <c r="AM986" s="289"/>
      <c r="AN986" s="289"/>
      <c r="AO986" s="289"/>
      <c r="AP986" s="289"/>
      <c r="AQ986" s="289"/>
      <c r="AR986" s="289"/>
      <c r="AS986" s="289"/>
      <c r="AT986" s="289"/>
      <c r="AU986" s="289"/>
      <c r="AV986" s="289"/>
      <c r="AW986" s="289"/>
      <c r="AX986" s="289"/>
      <c r="AY986" s="289"/>
    </row>
    <row r="987" spans="1:51" ht="13.5" customHeight="1">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c r="AA987" s="289"/>
      <c r="AB987" s="289"/>
      <c r="AC987" s="289"/>
      <c r="AD987" s="289"/>
      <c r="AE987" s="289"/>
      <c r="AF987" s="289"/>
      <c r="AG987" s="289"/>
      <c r="AH987" s="289"/>
      <c r="AI987" s="289"/>
      <c r="AJ987" s="289"/>
      <c r="AK987" s="289"/>
      <c r="AL987" s="289"/>
      <c r="AM987" s="289"/>
      <c r="AN987" s="289"/>
      <c r="AO987" s="289"/>
      <c r="AP987" s="289"/>
      <c r="AQ987" s="289"/>
      <c r="AR987" s="289"/>
      <c r="AS987" s="289"/>
      <c r="AT987" s="289"/>
      <c r="AU987" s="289"/>
      <c r="AV987" s="289"/>
      <c r="AW987" s="289"/>
      <c r="AX987" s="289"/>
      <c r="AY987" s="289"/>
    </row>
    <row r="988" spans="1:51" ht="13.5" customHeight="1">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c r="AA988" s="289"/>
      <c r="AB988" s="289"/>
      <c r="AC988" s="289"/>
      <c r="AD988" s="289"/>
      <c r="AE988" s="289"/>
      <c r="AF988" s="289"/>
      <c r="AG988" s="289"/>
      <c r="AH988" s="289"/>
      <c r="AI988" s="289"/>
      <c r="AJ988" s="289"/>
      <c r="AK988" s="289"/>
      <c r="AL988" s="289"/>
      <c r="AM988" s="289"/>
      <c r="AN988" s="289"/>
      <c r="AO988" s="289"/>
      <c r="AP988" s="289"/>
      <c r="AQ988" s="289"/>
      <c r="AR988" s="289"/>
      <c r="AS988" s="289"/>
      <c r="AT988" s="289"/>
      <c r="AU988" s="289"/>
      <c r="AV988" s="289"/>
      <c r="AW988" s="289"/>
      <c r="AX988" s="289"/>
      <c r="AY988" s="289"/>
    </row>
    <row r="989" spans="1:51" ht="13.5" customHeight="1">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c r="AA989" s="289"/>
      <c r="AB989" s="289"/>
      <c r="AC989" s="289"/>
      <c r="AD989" s="289"/>
      <c r="AE989" s="289"/>
      <c r="AF989" s="289"/>
      <c r="AG989" s="289"/>
      <c r="AH989" s="289"/>
      <c r="AI989" s="289"/>
      <c r="AJ989" s="289"/>
      <c r="AK989" s="289"/>
      <c r="AL989" s="289"/>
      <c r="AM989" s="289"/>
      <c r="AN989" s="289"/>
      <c r="AO989" s="289"/>
      <c r="AP989" s="289"/>
      <c r="AQ989" s="289"/>
      <c r="AR989" s="289"/>
      <c r="AS989" s="289"/>
      <c r="AT989" s="289"/>
      <c r="AU989" s="289"/>
      <c r="AV989" s="289"/>
      <c r="AW989" s="289"/>
      <c r="AX989" s="289"/>
      <c r="AY989" s="289"/>
    </row>
    <row r="990" spans="1:51" ht="13.5" customHeight="1">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c r="AA990" s="289"/>
      <c r="AB990" s="289"/>
      <c r="AC990" s="289"/>
      <c r="AD990" s="289"/>
      <c r="AE990" s="289"/>
      <c r="AF990" s="289"/>
      <c r="AG990" s="289"/>
      <c r="AH990" s="289"/>
      <c r="AI990" s="289"/>
      <c r="AJ990" s="289"/>
      <c r="AK990" s="289"/>
      <c r="AL990" s="289"/>
      <c r="AM990" s="289"/>
      <c r="AN990" s="289"/>
      <c r="AO990" s="289"/>
      <c r="AP990" s="289"/>
      <c r="AQ990" s="289"/>
      <c r="AR990" s="289"/>
      <c r="AS990" s="289"/>
      <c r="AT990" s="289"/>
      <c r="AU990" s="289"/>
      <c r="AV990" s="289"/>
      <c r="AW990" s="289"/>
      <c r="AX990" s="289"/>
      <c r="AY990" s="289"/>
    </row>
    <row r="991" spans="1:51" ht="13.5" customHeight="1">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c r="AA991" s="289"/>
      <c r="AB991" s="289"/>
      <c r="AC991" s="289"/>
      <c r="AD991" s="289"/>
      <c r="AE991" s="289"/>
      <c r="AF991" s="289"/>
      <c r="AG991" s="289"/>
      <c r="AH991" s="289"/>
      <c r="AI991" s="289"/>
      <c r="AJ991" s="289"/>
      <c r="AK991" s="289"/>
      <c r="AL991" s="289"/>
      <c r="AM991" s="289"/>
      <c r="AN991" s="289"/>
      <c r="AO991" s="289"/>
      <c r="AP991" s="289"/>
      <c r="AQ991" s="289"/>
      <c r="AR991" s="289"/>
      <c r="AS991" s="289"/>
      <c r="AT991" s="289"/>
      <c r="AU991" s="289"/>
      <c r="AV991" s="289"/>
      <c r="AW991" s="289"/>
      <c r="AX991" s="289"/>
      <c r="AY991" s="289"/>
    </row>
    <row r="992" spans="1:51" ht="13.5" customHeight="1">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c r="AA992" s="289"/>
      <c r="AB992" s="289"/>
      <c r="AC992" s="289"/>
      <c r="AD992" s="289"/>
      <c r="AE992" s="289"/>
      <c r="AF992" s="289"/>
      <c r="AG992" s="289"/>
      <c r="AH992" s="289"/>
      <c r="AI992" s="289"/>
      <c r="AJ992" s="289"/>
      <c r="AK992" s="289"/>
      <c r="AL992" s="289"/>
      <c r="AM992" s="289"/>
      <c r="AN992" s="289"/>
      <c r="AO992" s="289"/>
      <c r="AP992" s="289"/>
      <c r="AQ992" s="289"/>
      <c r="AR992" s="289"/>
      <c r="AS992" s="289"/>
      <c r="AT992" s="289"/>
      <c r="AU992" s="289"/>
      <c r="AV992" s="289"/>
      <c r="AW992" s="289"/>
      <c r="AX992" s="289"/>
      <c r="AY992" s="289"/>
    </row>
    <row r="993" spans="1:51" ht="13.5" customHeight="1">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c r="AA993" s="289"/>
      <c r="AB993" s="289"/>
      <c r="AC993" s="289"/>
      <c r="AD993" s="289"/>
      <c r="AE993" s="289"/>
      <c r="AF993" s="289"/>
      <c r="AG993" s="289"/>
      <c r="AH993" s="289"/>
      <c r="AI993" s="289"/>
      <c r="AJ993" s="289"/>
      <c r="AK993" s="289"/>
      <c r="AL993" s="289"/>
      <c r="AM993" s="289"/>
      <c r="AN993" s="289"/>
      <c r="AO993" s="289"/>
      <c r="AP993" s="289"/>
      <c r="AQ993" s="289"/>
      <c r="AR993" s="289"/>
      <c r="AS993" s="289"/>
      <c r="AT993" s="289"/>
      <c r="AU993" s="289"/>
      <c r="AV993" s="289"/>
      <c r="AW993" s="289"/>
      <c r="AX993" s="289"/>
      <c r="AY993" s="289"/>
    </row>
    <row r="994" spans="1:51" ht="13.5" customHeight="1">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c r="AA994" s="289"/>
      <c r="AB994" s="289"/>
      <c r="AC994" s="289"/>
      <c r="AD994" s="289"/>
      <c r="AE994" s="289"/>
      <c r="AF994" s="289"/>
      <c r="AG994" s="289"/>
      <c r="AH994" s="289"/>
      <c r="AI994" s="289"/>
      <c r="AJ994" s="289"/>
      <c r="AK994" s="289"/>
      <c r="AL994" s="289"/>
      <c r="AM994" s="289"/>
      <c r="AN994" s="289"/>
      <c r="AO994" s="289"/>
      <c r="AP994" s="289"/>
      <c r="AQ994" s="289"/>
      <c r="AR994" s="289"/>
      <c r="AS994" s="289"/>
      <c r="AT994" s="289"/>
      <c r="AU994" s="289"/>
      <c r="AV994" s="289"/>
      <c r="AW994" s="289"/>
      <c r="AX994" s="289"/>
      <c r="AY994" s="289"/>
    </row>
    <row r="995" spans="1:51" ht="13.5" customHeight="1">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c r="AA995" s="289"/>
      <c r="AB995" s="289"/>
      <c r="AC995" s="289"/>
      <c r="AD995" s="289"/>
      <c r="AE995" s="289"/>
      <c r="AF995" s="289"/>
      <c r="AG995" s="289"/>
      <c r="AH995" s="289"/>
      <c r="AI995" s="289"/>
      <c r="AJ995" s="289"/>
      <c r="AK995" s="289"/>
      <c r="AL995" s="289"/>
      <c r="AM995" s="289"/>
      <c r="AN995" s="289"/>
      <c r="AO995" s="289"/>
      <c r="AP995" s="289"/>
      <c r="AQ995" s="289"/>
      <c r="AR995" s="289"/>
      <c r="AS995" s="289"/>
      <c r="AT995" s="289"/>
      <c r="AU995" s="289"/>
      <c r="AV995" s="289"/>
      <c r="AW995" s="289"/>
      <c r="AX995" s="289"/>
      <c r="AY995" s="289"/>
    </row>
    <row r="996" spans="1:51" ht="13.5" customHeight="1">
      <c r="A996" s="289"/>
      <c r="B996" s="289"/>
      <c r="C996" s="289"/>
      <c r="D996" s="289"/>
      <c r="E996" s="289"/>
      <c r="F996" s="289"/>
      <c r="G996" s="289"/>
      <c r="H996" s="289"/>
      <c r="I996" s="289"/>
      <c r="J996" s="289"/>
      <c r="K996" s="289"/>
      <c r="L996" s="289"/>
      <c r="M996" s="289"/>
      <c r="N996" s="289"/>
      <c r="O996" s="289"/>
      <c r="P996" s="289"/>
      <c r="Q996" s="289"/>
      <c r="R996" s="289"/>
      <c r="S996" s="289"/>
      <c r="T996" s="289"/>
      <c r="U996" s="289"/>
      <c r="V996" s="289"/>
      <c r="W996" s="289"/>
      <c r="X996" s="289"/>
      <c r="Y996" s="289"/>
      <c r="Z996" s="289"/>
      <c r="AA996" s="289"/>
      <c r="AB996" s="289"/>
      <c r="AC996" s="289"/>
      <c r="AD996" s="289"/>
      <c r="AE996" s="289"/>
      <c r="AF996" s="289"/>
      <c r="AG996" s="289"/>
      <c r="AH996" s="289"/>
      <c r="AI996" s="289"/>
      <c r="AJ996" s="289"/>
      <c r="AK996" s="289"/>
      <c r="AL996" s="289"/>
      <c r="AM996" s="289"/>
      <c r="AN996" s="289"/>
      <c r="AO996" s="289"/>
      <c r="AP996" s="289"/>
      <c r="AQ996" s="289"/>
      <c r="AR996" s="289"/>
      <c r="AS996" s="289"/>
      <c r="AT996" s="289"/>
      <c r="AU996" s="289"/>
      <c r="AV996" s="289"/>
      <c r="AW996" s="289"/>
      <c r="AX996" s="289"/>
      <c r="AY996" s="289"/>
    </row>
    <row r="997" spans="1:51" ht="13.5" customHeight="1">
      <c r="A997" s="289"/>
      <c r="B997" s="289"/>
      <c r="C997" s="289"/>
      <c r="D997" s="289"/>
      <c r="E997" s="289"/>
      <c r="F997" s="289"/>
      <c r="G997" s="289"/>
      <c r="H997" s="289"/>
      <c r="I997" s="289"/>
      <c r="J997" s="289"/>
      <c r="K997" s="289"/>
      <c r="L997" s="289"/>
      <c r="M997" s="289"/>
      <c r="N997" s="289"/>
      <c r="O997" s="289"/>
      <c r="P997" s="289"/>
      <c r="Q997" s="289"/>
      <c r="R997" s="289"/>
      <c r="S997" s="289"/>
      <c r="T997" s="289"/>
      <c r="U997" s="289"/>
      <c r="V997" s="289"/>
      <c r="W997" s="289"/>
      <c r="X997" s="289"/>
      <c r="Y997" s="289"/>
      <c r="Z997" s="289"/>
      <c r="AA997" s="289"/>
      <c r="AB997" s="289"/>
      <c r="AC997" s="289"/>
      <c r="AD997" s="289"/>
      <c r="AE997" s="289"/>
      <c r="AF997" s="289"/>
      <c r="AG997" s="289"/>
      <c r="AH997" s="289"/>
      <c r="AI997" s="289"/>
      <c r="AJ997" s="289"/>
      <c r="AK997" s="289"/>
      <c r="AL997" s="289"/>
      <c r="AM997" s="289"/>
      <c r="AN997" s="289"/>
      <c r="AO997" s="289"/>
      <c r="AP997" s="289"/>
      <c r="AQ997" s="289"/>
      <c r="AR997" s="289"/>
      <c r="AS997" s="289"/>
      <c r="AT997" s="289"/>
      <c r="AU997" s="289"/>
      <c r="AV997" s="289"/>
      <c r="AW997" s="289"/>
      <c r="AX997" s="289"/>
      <c r="AY997" s="289"/>
    </row>
    <row r="998" spans="1:51" ht="13.5" customHeight="1">
      <c r="A998" s="289"/>
      <c r="B998" s="289"/>
      <c r="C998" s="289"/>
      <c r="D998" s="289"/>
      <c r="E998" s="289"/>
      <c r="F998" s="289"/>
      <c r="G998" s="289"/>
      <c r="H998" s="289"/>
      <c r="I998" s="289"/>
      <c r="J998" s="289"/>
      <c r="K998" s="289"/>
      <c r="L998" s="289"/>
      <c r="M998" s="289"/>
      <c r="N998" s="289"/>
      <c r="O998" s="289"/>
      <c r="P998" s="289"/>
      <c r="Q998" s="289"/>
      <c r="R998" s="289"/>
      <c r="S998" s="289"/>
      <c r="T998" s="289"/>
      <c r="U998" s="289"/>
      <c r="V998" s="289"/>
      <c r="W998" s="289"/>
      <c r="X998" s="289"/>
      <c r="Y998" s="289"/>
      <c r="Z998" s="289"/>
      <c r="AA998" s="289"/>
      <c r="AB998" s="289"/>
      <c r="AC998" s="289"/>
      <c r="AD998" s="289"/>
      <c r="AE998" s="289"/>
      <c r="AF998" s="289"/>
      <c r="AG998" s="289"/>
      <c r="AH998" s="289"/>
      <c r="AI998" s="289"/>
      <c r="AJ998" s="289"/>
      <c r="AK998" s="289"/>
      <c r="AL998" s="289"/>
      <c r="AM998" s="289"/>
      <c r="AN998" s="289"/>
      <c r="AO998" s="289"/>
      <c r="AP998" s="289"/>
      <c r="AQ998" s="289"/>
      <c r="AR998" s="289"/>
      <c r="AS998" s="289"/>
      <c r="AT998" s="289"/>
      <c r="AU998" s="289"/>
      <c r="AV998" s="289"/>
      <c r="AW998" s="289"/>
      <c r="AX998" s="289"/>
      <c r="AY998" s="289"/>
    </row>
    <row r="999" spans="1:51" ht="13.5" customHeight="1">
      <c r="A999" s="289"/>
      <c r="B999" s="289"/>
      <c r="C999" s="289"/>
      <c r="D999" s="289"/>
      <c r="E999" s="289"/>
      <c r="F999" s="289"/>
      <c r="G999" s="289"/>
      <c r="H999" s="289"/>
      <c r="I999" s="289"/>
      <c r="J999" s="289"/>
      <c r="K999" s="289"/>
      <c r="L999" s="289"/>
      <c r="M999" s="289"/>
      <c r="N999" s="289"/>
      <c r="O999" s="289"/>
      <c r="P999" s="289"/>
      <c r="Q999" s="289"/>
      <c r="R999" s="289"/>
      <c r="S999" s="289"/>
      <c r="T999" s="289"/>
      <c r="U999" s="289"/>
      <c r="V999" s="289"/>
      <c r="W999" s="289"/>
      <c r="X999" s="289"/>
      <c r="Y999" s="289"/>
      <c r="Z999" s="289"/>
      <c r="AA999" s="289"/>
      <c r="AB999" s="289"/>
      <c r="AC999" s="289"/>
      <c r="AD999" s="289"/>
      <c r="AE999" s="289"/>
      <c r="AF999" s="289"/>
      <c r="AG999" s="289"/>
      <c r="AH999" s="289"/>
      <c r="AI999" s="289"/>
      <c r="AJ999" s="289"/>
      <c r="AK999" s="289"/>
      <c r="AL999" s="289"/>
      <c r="AM999" s="289"/>
      <c r="AN999" s="289"/>
      <c r="AO999" s="289"/>
      <c r="AP999" s="289"/>
      <c r="AQ999" s="289"/>
      <c r="AR999" s="289"/>
      <c r="AS999" s="289"/>
      <c r="AT999" s="289"/>
      <c r="AU999" s="289"/>
      <c r="AV999" s="289"/>
      <c r="AW999" s="289"/>
      <c r="AX999" s="289"/>
      <c r="AY999" s="289"/>
    </row>
    <row r="1000" spans="1:51" ht="13.5" customHeight="1">
      <c r="A1000" s="289"/>
      <c r="B1000" s="289"/>
      <c r="C1000" s="289"/>
      <c r="D1000" s="289"/>
      <c r="E1000" s="289"/>
      <c r="F1000" s="289"/>
      <c r="G1000" s="289"/>
      <c r="H1000" s="289"/>
      <c r="I1000" s="289"/>
      <c r="J1000" s="289"/>
      <c r="K1000" s="289"/>
      <c r="L1000" s="289"/>
      <c r="M1000" s="289"/>
      <c r="N1000" s="289"/>
      <c r="O1000" s="289"/>
      <c r="P1000" s="289"/>
      <c r="Q1000" s="289"/>
      <c r="R1000" s="289"/>
      <c r="S1000" s="289"/>
      <c r="T1000" s="289"/>
      <c r="U1000" s="289"/>
      <c r="V1000" s="289"/>
      <c r="W1000" s="289"/>
      <c r="X1000" s="289"/>
      <c r="Y1000" s="289"/>
      <c r="Z1000" s="289"/>
      <c r="AA1000" s="289"/>
      <c r="AB1000" s="289"/>
      <c r="AC1000" s="289"/>
      <c r="AD1000" s="289"/>
      <c r="AE1000" s="289"/>
      <c r="AF1000" s="289"/>
      <c r="AG1000" s="289"/>
      <c r="AH1000" s="289"/>
      <c r="AI1000" s="289"/>
      <c r="AJ1000" s="289"/>
      <c r="AK1000" s="289"/>
      <c r="AL1000" s="289"/>
      <c r="AM1000" s="289"/>
      <c r="AN1000" s="289"/>
      <c r="AO1000" s="289"/>
      <c r="AP1000" s="289"/>
      <c r="AQ1000" s="289"/>
      <c r="AR1000" s="289"/>
      <c r="AS1000" s="289"/>
      <c r="AT1000" s="289"/>
      <c r="AU1000" s="289"/>
      <c r="AV1000" s="289"/>
      <c r="AW1000" s="289"/>
      <c r="AX1000" s="289"/>
      <c r="AY1000" s="289"/>
    </row>
    <row r="1001" spans="1:51" ht="13.5" customHeight="1">
      <c r="A1001" s="289"/>
      <c r="B1001" s="289"/>
      <c r="C1001" s="289"/>
      <c r="D1001" s="289"/>
      <c r="E1001" s="289"/>
      <c r="F1001" s="289"/>
      <c r="G1001" s="289"/>
      <c r="H1001" s="289"/>
      <c r="I1001" s="289"/>
      <c r="J1001" s="289"/>
      <c r="K1001" s="289"/>
      <c r="L1001" s="289"/>
      <c r="M1001" s="289"/>
      <c r="N1001" s="289"/>
      <c r="O1001" s="289"/>
      <c r="P1001" s="289"/>
      <c r="Q1001" s="289"/>
      <c r="R1001" s="289"/>
      <c r="S1001" s="289"/>
      <c r="T1001" s="289"/>
      <c r="U1001" s="289"/>
      <c r="V1001" s="289"/>
      <c r="W1001" s="289"/>
      <c r="X1001" s="289"/>
      <c r="Y1001" s="289"/>
      <c r="Z1001" s="289"/>
      <c r="AA1001" s="289"/>
      <c r="AB1001" s="289"/>
      <c r="AC1001" s="289"/>
      <c r="AD1001" s="289"/>
      <c r="AE1001" s="289"/>
      <c r="AF1001" s="289"/>
      <c r="AG1001" s="289"/>
      <c r="AH1001" s="289"/>
      <c r="AI1001" s="289"/>
      <c r="AJ1001" s="289"/>
      <c r="AK1001" s="289"/>
      <c r="AL1001" s="289"/>
      <c r="AM1001" s="289"/>
      <c r="AN1001" s="289"/>
      <c r="AO1001" s="289"/>
      <c r="AP1001" s="289"/>
      <c r="AQ1001" s="289"/>
      <c r="AR1001" s="289"/>
      <c r="AS1001" s="289"/>
      <c r="AT1001" s="289"/>
      <c r="AU1001" s="289"/>
      <c r="AV1001" s="289"/>
      <c r="AW1001" s="289"/>
      <c r="AX1001" s="289"/>
      <c r="AY1001" s="289"/>
    </row>
    <row r="1002" spans="1:51" ht="13.5" customHeight="1">
      <c r="A1002" s="289"/>
      <c r="B1002" s="289"/>
      <c r="C1002" s="289"/>
      <c r="D1002" s="289"/>
      <c r="E1002" s="289"/>
      <c r="F1002" s="289"/>
      <c r="G1002" s="289"/>
      <c r="H1002" s="289"/>
      <c r="I1002" s="289"/>
      <c r="J1002" s="289"/>
      <c r="K1002" s="289"/>
      <c r="L1002" s="289"/>
      <c r="M1002" s="289"/>
      <c r="N1002" s="289"/>
      <c r="O1002" s="289"/>
      <c r="P1002" s="289"/>
      <c r="Q1002" s="289"/>
      <c r="R1002" s="289"/>
      <c r="S1002" s="289"/>
      <c r="T1002" s="289"/>
      <c r="U1002" s="289"/>
      <c r="V1002" s="289"/>
      <c r="W1002" s="289"/>
      <c r="X1002" s="289"/>
      <c r="Y1002" s="289"/>
      <c r="Z1002" s="289"/>
      <c r="AA1002" s="289"/>
      <c r="AB1002" s="289"/>
      <c r="AC1002" s="289"/>
      <c r="AD1002" s="289"/>
      <c r="AE1002" s="289"/>
      <c r="AF1002" s="289"/>
      <c r="AG1002" s="289"/>
      <c r="AH1002" s="289"/>
      <c r="AI1002" s="289"/>
      <c r="AJ1002" s="289"/>
      <c r="AK1002" s="289"/>
      <c r="AL1002" s="289"/>
      <c r="AM1002" s="289"/>
      <c r="AN1002" s="289"/>
      <c r="AO1002" s="289"/>
      <c r="AP1002" s="289"/>
      <c r="AQ1002" s="289"/>
      <c r="AR1002" s="289"/>
      <c r="AS1002" s="289"/>
      <c r="AT1002" s="289"/>
      <c r="AU1002" s="289"/>
      <c r="AV1002" s="289"/>
      <c r="AW1002" s="289"/>
      <c r="AX1002" s="289"/>
      <c r="AY1002" s="289"/>
    </row>
    <row r="1003" spans="1:51" ht="13.5" customHeight="1">
      <c r="A1003" s="289"/>
      <c r="B1003" s="289"/>
      <c r="C1003" s="289"/>
      <c r="D1003" s="289"/>
      <c r="E1003" s="289"/>
      <c r="F1003" s="289"/>
      <c r="G1003" s="289"/>
      <c r="H1003" s="289"/>
      <c r="I1003" s="289"/>
      <c r="J1003" s="289"/>
      <c r="K1003" s="289"/>
      <c r="L1003" s="289"/>
      <c r="M1003" s="289"/>
      <c r="N1003" s="289"/>
      <c r="O1003" s="289"/>
      <c r="P1003" s="289"/>
      <c r="Q1003" s="289"/>
      <c r="R1003" s="289"/>
      <c r="S1003" s="289"/>
      <c r="T1003" s="289"/>
      <c r="U1003" s="289"/>
      <c r="V1003" s="289"/>
      <c r="W1003" s="289"/>
      <c r="X1003" s="289"/>
      <c r="Y1003" s="289"/>
      <c r="Z1003" s="289"/>
      <c r="AA1003" s="289"/>
      <c r="AB1003" s="289"/>
      <c r="AC1003" s="289"/>
      <c r="AD1003" s="289"/>
      <c r="AE1003" s="289"/>
      <c r="AF1003" s="289"/>
      <c r="AG1003" s="289"/>
      <c r="AH1003" s="289"/>
      <c r="AI1003" s="289"/>
      <c r="AJ1003" s="289"/>
      <c r="AK1003" s="289"/>
      <c r="AL1003" s="289"/>
      <c r="AM1003" s="289"/>
      <c r="AN1003" s="289"/>
      <c r="AO1003" s="289"/>
      <c r="AP1003" s="289"/>
      <c r="AQ1003" s="289"/>
      <c r="AR1003" s="289"/>
      <c r="AS1003" s="289"/>
      <c r="AT1003" s="289"/>
      <c r="AU1003" s="289"/>
      <c r="AV1003" s="289"/>
      <c r="AW1003" s="289"/>
      <c r="AX1003" s="289"/>
      <c r="AY1003" s="289"/>
    </row>
    <row r="1004" spans="1:51" ht="13.5" customHeight="1">
      <c r="A1004" s="289"/>
      <c r="B1004" s="289"/>
      <c r="C1004" s="289"/>
      <c r="D1004" s="289"/>
      <c r="E1004" s="289"/>
      <c r="F1004" s="289"/>
      <c r="G1004" s="289"/>
      <c r="H1004" s="289"/>
      <c r="I1004" s="289"/>
      <c r="J1004" s="289"/>
      <c r="K1004" s="289"/>
      <c r="L1004" s="289"/>
      <c r="M1004" s="289"/>
      <c r="N1004" s="289"/>
      <c r="O1004" s="289"/>
      <c r="P1004" s="289"/>
      <c r="Q1004" s="289"/>
      <c r="R1004" s="289"/>
      <c r="S1004" s="289"/>
      <c r="T1004" s="289"/>
      <c r="U1004" s="289"/>
      <c r="V1004" s="289"/>
      <c r="W1004" s="289"/>
      <c r="X1004" s="289"/>
      <c r="Y1004" s="289"/>
      <c r="Z1004" s="289"/>
      <c r="AA1004" s="289"/>
      <c r="AB1004" s="289"/>
      <c r="AC1004" s="289"/>
      <c r="AD1004" s="289"/>
      <c r="AE1004" s="289"/>
      <c r="AF1004" s="289"/>
      <c r="AG1004" s="289"/>
      <c r="AH1004" s="289"/>
      <c r="AI1004" s="289"/>
      <c r="AJ1004" s="289"/>
      <c r="AK1004" s="289"/>
      <c r="AL1004" s="289"/>
      <c r="AM1004" s="289"/>
      <c r="AN1004" s="289"/>
      <c r="AO1004" s="289"/>
      <c r="AP1004" s="289"/>
      <c r="AQ1004" s="289"/>
      <c r="AR1004" s="289"/>
      <c r="AS1004" s="289"/>
      <c r="AT1004" s="289"/>
      <c r="AU1004" s="289"/>
      <c r="AV1004" s="289"/>
      <c r="AW1004" s="289"/>
      <c r="AX1004" s="289"/>
      <c r="AY1004" s="289"/>
    </row>
    <row r="1005" spans="1:51" ht="13.5" customHeight="1">
      <c r="A1005" s="289"/>
      <c r="B1005" s="289"/>
      <c r="C1005" s="289"/>
      <c r="D1005" s="289"/>
      <c r="E1005" s="289"/>
      <c r="F1005" s="289"/>
      <c r="G1005" s="289"/>
      <c r="H1005" s="289"/>
      <c r="I1005" s="289"/>
      <c r="J1005" s="289"/>
      <c r="K1005" s="289"/>
      <c r="L1005" s="289"/>
      <c r="M1005" s="289"/>
      <c r="N1005" s="289"/>
      <c r="O1005" s="289"/>
      <c r="P1005" s="289"/>
      <c r="Q1005" s="289"/>
      <c r="R1005" s="289"/>
      <c r="S1005" s="289"/>
      <c r="T1005" s="289"/>
      <c r="U1005" s="289"/>
      <c r="V1005" s="289"/>
      <c r="W1005" s="289"/>
      <c r="X1005" s="289"/>
      <c r="Y1005" s="289"/>
      <c r="Z1005" s="289"/>
      <c r="AA1005" s="289"/>
      <c r="AB1005" s="289"/>
      <c r="AC1005" s="289"/>
      <c r="AD1005" s="289"/>
      <c r="AE1005" s="289"/>
      <c r="AF1005" s="289"/>
      <c r="AG1005" s="289"/>
      <c r="AH1005" s="289"/>
      <c r="AI1005" s="289"/>
      <c r="AJ1005" s="289"/>
      <c r="AK1005" s="289"/>
      <c r="AL1005" s="289"/>
      <c r="AM1005" s="289"/>
      <c r="AN1005" s="289"/>
      <c r="AO1005" s="289"/>
      <c r="AP1005" s="289"/>
      <c r="AQ1005" s="289"/>
      <c r="AR1005" s="289"/>
      <c r="AS1005" s="289"/>
      <c r="AT1005" s="289"/>
      <c r="AU1005" s="289"/>
      <c r="AV1005" s="289"/>
      <c r="AW1005" s="289"/>
      <c r="AX1005" s="289"/>
      <c r="AY1005" s="289"/>
    </row>
    <row r="1006" spans="1:51" ht="13.5" customHeight="1">
      <c r="A1006" s="289"/>
      <c r="B1006" s="289"/>
      <c r="C1006" s="289"/>
      <c r="D1006" s="289"/>
      <c r="E1006" s="289"/>
      <c r="F1006" s="289"/>
      <c r="G1006" s="289"/>
      <c r="H1006" s="289"/>
      <c r="I1006" s="289"/>
      <c r="J1006" s="289"/>
      <c r="K1006" s="289"/>
      <c r="L1006" s="289"/>
      <c r="M1006" s="289"/>
      <c r="N1006" s="289"/>
      <c r="O1006" s="289"/>
      <c r="P1006" s="289"/>
      <c r="Q1006" s="289"/>
      <c r="R1006" s="289"/>
      <c r="S1006" s="289"/>
      <c r="T1006" s="289"/>
      <c r="U1006" s="289"/>
      <c r="V1006" s="289"/>
      <c r="W1006" s="289"/>
      <c r="X1006" s="289"/>
      <c r="Y1006" s="289"/>
      <c r="Z1006" s="289"/>
      <c r="AA1006" s="289"/>
      <c r="AB1006" s="289"/>
      <c r="AC1006" s="289"/>
      <c r="AD1006" s="289"/>
      <c r="AE1006" s="289"/>
      <c r="AF1006" s="289"/>
      <c r="AG1006" s="289"/>
      <c r="AH1006" s="289"/>
      <c r="AI1006" s="289"/>
      <c r="AJ1006" s="289"/>
      <c r="AK1006" s="289"/>
      <c r="AL1006" s="289"/>
      <c r="AM1006" s="289"/>
      <c r="AN1006" s="289"/>
      <c r="AO1006" s="289"/>
      <c r="AP1006" s="289"/>
      <c r="AQ1006" s="289"/>
      <c r="AR1006" s="289"/>
      <c r="AS1006" s="289"/>
      <c r="AT1006" s="289"/>
      <c r="AU1006" s="289"/>
      <c r="AV1006" s="289"/>
      <c r="AW1006" s="289"/>
      <c r="AX1006" s="289"/>
      <c r="AY1006" s="289"/>
    </row>
    <row r="1007" spans="1:51" ht="13.5" customHeight="1">
      <c r="A1007" s="289"/>
      <c r="B1007" s="289"/>
      <c r="C1007" s="289"/>
      <c r="D1007" s="289"/>
      <c r="E1007" s="289"/>
      <c r="F1007" s="289"/>
      <c r="G1007" s="289"/>
      <c r="H1007" s="289"/>
      <c r="I1007" s="289"/>
      <c r="J1007" s="289"/>
      <c r="K1007" s="289"/>
      <c r="L1007" s="289"/>
      <c r="M1007" s="289"/>
      <c r="N1007" s="289"/>
      <c r="O1007" s="289"/>
      <c r="P1007" s="289"/>
      <c r="Q1007" s="289"/>
      <c r="R1007" s="289"/>
      <c r="S1007" s="289"/>
      <c r="T1007" s="289"/>
      <c r="U1007" s="289"/>
      <c r="V1007" s="289"/>
      <c r="W1007" s="289"/>
      <c r="X1007" s="289"/>
      <c r="Y1007" s="289"/>
      <c r="Z1007" s="289"/>
      <c r="AA1007" s="289"/>
      <c r="AB1007" s="289"/>
      <c r="AC1007" s="289"/>
      <c r="AD1007" s="289"/>
      <c r="AE1007" s="289"/>
      <c r="AF1007" s="289"/>
      <c r="AG1007" s="289"/>
      <c r="AH1007" s="289"/>
      <c r="AI1007" s="289"/>
      <c r="AJ1007" s="289"/>
      <c r="AK1007" s="289"/>
      <c r="AL1007" s="289"/>
      <c r="AM1007" s="289"/>
      <c r="AN1007" s="289"/>
      <c r="AO1007" s="289"/>
      <c r="AP1007" s="289"/>
      <c r="AQ1007" s="289"/>
      <c r="AR1007" s="289"/>
      <c r="AS1007" s="289"/>
      <c r="AT1007" s="289"/>
      <c r="AU1007" s="289"/>
      <c r="AV1007" s="289"/>
      <c r="AW1007" s="289"/>
      <c r="AX1007" s="289"/>
      <c r="AY1007" s="289"/>
    </row>
    <row r="1008" spans="1:51" ht="13.5" customHeight="1">
      <c r="A1008" s="289"/>
      <c r="B1008" s="289"/>
      <c r="C1008" s="289"/>
      <c r="D1008" s="289"/>
      <c r="E1008" s="289"/>
      <c r="F1008" s="289"/>
      <c r="G1008" s="289"/>
      <c r="H1008" s="289"/>
      <c r="I1008" s="289"/>
      <c r="J1008" s="289"/>
      <c r="K1008" s="289"/>
      <c r="L1008" s="289"/>
      <c r="M1008" s="289"/>
      <c r="N1008" s="289"/>
      <c r="O1008" s="289"/>
      <c r="P1008" s="289"/>
      <c r="Q1008" s="289"/>
      <c r="R1008" s="289"/>
      <c r="S1008" s="289"/>
      <c r="T1008" s="289"/>
      <c r="U1008" s="289"/>
      <c r="V1008" s="289"/>
      <c r="W1008" s="289"/>
      <c r="X1008" s="289"/>
      <c r="Y1008" s="289"/>
      <c r="Z1008" s="289"/>
      <c r="AA1008" s="289"/>
      <c r="AB1008" s="289"/>
      <c r="AC1008" s="289"/>
      <c r="AD1008" s="289"/>
      <c r="AE1008" s="289"/>
      <c r="AF1008" s="289"/>
      <c r="AG1008" s="289"/>
      <c r="AH1008" s="289"/>
      <c r="AI1008" s="289"/>
      <c r="AJ1008" s="289"/>
      <c r="AK1008" s="289"/>
      <c r="AL1008" s="289"/>
      <c r="AM1008" s="289"/>
      <c r="AN1008" s="289"/>
      <c r="AO1008" s="289"/>
      <c r="AP1008" s="289"/>
      <c r="AQ1008" s="289"/>
      <c r="AR1008" s="289"/>
      <c r="AS1008" s="289"/>
      <c r="AT1008" s="289"/>
      <c r="AU1008" s="289"/>
      <c r="AV1008" s="289"/>
      <c r="AW1008" s="289"/>
      <c r="AX1008" s="289"/>
      <c r="AY1008" s="289"/>
    </row>
    <row r="1009" spans="1:51" ht="13.5" customHeight="1">
      <c r="A1009" s="289"/>
      <c r="B1009" s="289"/>
      <c r="C1009" s="289"/>
      <c r="D1009" s="289"/>
      <c r="E1009" s="289"/>
      <c r="F1009" s="289"/>
      <c r="G1009" s="289"/>
      <c r="H1009" s="289"/>
      <c r="I1009" s="289"/>
      <c r="J1009" s="289"/>
      <c r="K1009" s="289"/>
      <c r="L1009" s="289"/>
      <c r="M1009" s="289"/>
      <c r="N1009" s="289"/>
      <c r="O1009" s="289"/>
      <c r="P1009" s="289"/>
      <c r="Q1009" s="289"/>
      <c r="R1009" s="289"/>
      <c r="S1009" s="289"/>
      <c r="T1009" s="289"/>
      <c r="U1009" s="289"/>
      <c r="V1009" s="289"/>
      <c r="W1009" s="289"/>
      <c r="X1009" s="289"/>
      <c r="Y1009" s="289"/>
      <c r="Z1009" s="289"/>
      <c r="AA1009" s="289"/>
      <c r="AB1009" s="289"/>
      <c r="AC1009" s="289"/>
      <c r="AD1009" s="289"/>
      <c r="AE1009" s="289"/>
      <c r="AF1009" s="289"/>
      <c r="AG1009" s="289"/>
      <c r="AH1009" s="289"/>
      <c r="AI1009" s="289"/>
      <c r="AJ1009" s="289"/>
      <c r="AK1009" s="289"/>
      <c r="AL1009" s="289"/>
      <c r="AM1009" s="289"/>
      <c r="AN1009" s="289"/>
      <c r="AO1009" s="289"/>
      <c r="AP1009" s="289"/>
      <c r="AQ1009" s="289"/>
      <c r="AR1009" s="289"/>
      <c r="AS1009" s="289"/>
      <c r="AT1009" s="289"/>
      <c r="AU1009" s="289"/>
      <c r="AV1009" s="289"/>
      <c r="AW1009" s="289"/>
      <c r="AX1009" s="289"/>
      <c r="AY1009" s="289"/>
    </row>
  </sheetData>
  <sheetProtection algorithmName="SHA-512" hashValue="sbYo2B3y5FyhA6Lidupga7P9yma2WDwiJJZGc2nQcBeyGnvbw+pIIdhf9jiesNnvaUk7uCrV5g4HAFWIhDZI/w==" saltValue="1pgb6Kb1c+tdeNunNQ4IpA==" spinCount="100000" sheet="1" formatColumns="0" formatRows="0"/>
  <mergeCells count="10">
    <mergeCell ref="B33:V33"/>
    <mergeCell ref="B44:J44"/>
    <mergeCell ref="B53:V53"/>
    <mergeCell ref="B2:V2"/>
    <mergeCell ref="B4:V5"/>
    <mergeCell ref="B7:V7"/>
    <mergeCell ref="F10:G10"/>
    <mergeCell ref="I10:J10"/>
    <mergeCell ref="D15:D16"/>
    <mergeCell ref="B35:N35"/>
  </mergeCells>
  <phoneticPr fontId="18" type="noConversion"/>
  <pageMargins left="0.7" right="0.7" top="0.75" bottom="0.75" header="0" footer="0"/>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8DCD-5141-4525-AC6B-8F06DAA0E1A1}">
  <sheetPr>
    <pageSetUpPr fitToPage="1"/>
  </sheetPr>
  <dimension ref="A1:AY948"/>
  <sheetViews>
    <sheetView showGridLines="0" zoomScale="70" zoomScaleNormal="70" workbookViewId="0"/>
  </sheetViews>
  <sheetFormatPr defaultColWidth="12.625" defaultRowHeight="15" customHeight="1"/>
  <cols>
    <col min="1" max="1" width="2.875" style="290" customWidth="1"/>
    <col min="2" max="2" width="35.75" style="290" bestFit="1" customWidth="1"/>
    <col min="3" max="3" width="13.5" style="290" bestFit="1" customWidth="1"/>
    <col min="4" max="4" width="17.375" style="290" customWidth="1"/>
    <col min="5" max="6" width="11.25" style="290" customWidth="1"/>
    <col min="7" max="7" width="12.5" style="290" customWidth="1"/>
    <col min="8" max="8" width="11.25" style="290" customWidth="1"/>
    <col min="9" max="9" width="16.25" style="290" customWidth="1"/>
    <col min="10" max="10" width="18.625" style="290" customWidth="1"/>
    <col min="11" max="58" width="11.25" style="290" customWidth="1"/>
    <col min="59" max="16384" width="12.625" style="290"/>
  </cols>
  <sheetData>
    <row r="1" spans="1:51" ht="13.5" customHeight="1">
      <c r="A1" s="289"/>
      <c r="B1" s="289"/>
      <c r="C1" s="289"/>
      <c r="D1" s="289"/>
      <c r="E1" s="289"/>
      <c r="F1" s="289"/>
      <c r="G1" s="289"/>
      <c r="H1" s="289"/>
      <c r="I1" s="289"/>
      <c r="J1" s="289"/>
      <c r="K1" s="289"/>
      <c r="L1" s="289"/>
      <c r="M1" s="289"/>
      <c r="N1" s="289"/>
      <c r="O1" s="289"/>
      <c r="P1" s="289"/>
      <c r="Q1" s="289"/>
      <c r="R1" s="289"/>
      <c r="S1" s="289"/>
      <c r="T1" s="289"/>
      <c r="U1" s="289"/>
      <c r="V1" s="289"/>
      <c r="W1" s="289"/>
      <c r="X1" s="289"/>
      <c r="Y1" s="289"/>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row>
    <row r="2" spans="1:51" ht="37.5" customHeight="1">
      <c r="A2" s="289"/>
      <c r="B2" s="432" t="s">
        <v>225</v>
      </c>
      <c r="C2" s="457"/>
      <c r="D2" s="457"/>
      <c r="E2" s="457"/>
      <c r="F2" s="457"/>
      <c r="G2" s="457"/>
      <c r="H2" s="457"/>
      <c r="I2" s="457"/>
      <c r="J2" s="457"/>
      <c r="K2" s="457"/>
      <c r="L2" s="457"/>
      <c r="M2" s="457"/>
      <c r="N2" s="457"/>
      <c r="O2" s="457"/>
      <c r="P2" s="457"/>
      <c r="Q2" s="457"/>
      <c r="R2" s="457"/>
      <c r="S2" s="457"/>
      <c r="T2" s="457"/>
      <c r="U2" s="457"/>
      <c r="V2" s="457"/>
      <c r="W2" s="291"/>
      <c r="X2" s="291"/>
    </row>
    <row r="3" spans="1:51" ht="9" customHeight="1">
      <c r="A3" s="289"/>
      <c r="B3" s="292"/>
      <c r="C3" s="292"/>
      <c r="D3" s="292"/>
      <c r="E3" s="292"/>
      <c r="F3" s="292"/>
      <c r="G3" s="292"/>
      <c r="H3" s="292"/>
      <c r="I3" s="292"/>
      <c r="J3" s="292"/>
      <c r="K3" s="292"/>
      <c r="L3" s="292"/>
      <c r="M3" s="292"/>
      <c r="N3" s="292"/>
      <c r="O3" s="292"/>
      <c r="P3" s="289"/>
      <c r="Q3" s="289"/>
      <c r="R3" s="289"/>
      <c r="S3" s="289"/>
      <c r="T3" s="289"/>
      <c r="U3" s="289"/>
      <c r="V3" s="289"/>
      <c r="W3" s="289"/>
      <c r="X3" s="289"/>
      <c r="Y3" s="289"/>
      <c r="Z3" s="289"/>
      <c r="AA3" s="289"/>
      <c r="AB3" s="289"/>
      <c r="AC3" s="289"/>
      <c r="AD3" s="289"/>
      <c r="AE3" s="289"/>
      <c r="AF3" s="289"/>
      <c r="AG3" s="289"/>
      <c r="AH3" s="289"/>
      <c r="AI3" s="289"/>
      <c r="AJ3" s="289"/>
      <c r="AK3" s="289"/>
      <c r="AL3" s="289"/>
      <c r="AM3" s="289"/>
      <c r="AN3" s="289"/>
      <c r="AO3" s="289"/>
      <c r="AP3" s="289"/>
      <c r="AQ3" s="289"/>
      <c r="AR3" s="289"/>
      <c r="AS3" s="289"/>
      <c r="AT3" s="289"/>
      <c r="AU3" s="289"/>
      <c r="AV3" s="289"/>
      <c r="AW3" s="289"/>
      <c r="AX3" s="289"/>
      <c r="AY3" s="289"/>
    </row>
    <row r="4" spans="1:51" ht="13.5" customHeight="1">
      <c r="A4" s="289"/>
      <c r="B4" s="447" t="s">
        <v>226</v>
      </c>
      <c r="C4" s="459"/>
      <c r="D4" s="459"/>
      <c r="E4" s="459"/>
      <c r="F4" s="459"/>
      <c r="G4" s="459"/>
      <c r="H4" s="459"/>
      <c r="I4" s="459"/>
      <c r="J4" s="459"/>
      <c r="K4" s="459"/>
      <c r="L4" s="459"/>
      <c r="M4" s="459"/>
      <c r="N4" s="459"/>
      <c r="O4" s="459"/>
      <c r="P4" s="459"/>
      <c r="Q4" s="459"/>
      <c r="R4" s="459"/>
      <c r="S4" s="459"/>
      <c r="T4" s="459"/>
      <c r="U4" s="459"/>
      <c r="V4" s="460"/>
      <c r="W4" s="293"/>
      <c r="X4" s="293"/>
      <c r="Y4" s="294"/>
      <c r="Z4" s="294"/>
      <c r="AA4" s="294"/>
      <c r="AB4" s="294"/>
      <c r="AC4" s="294"/>
      <c r="AD4" s="294"/>
      <c r="AE4" s="294"/>
      <c r="AF4" s="294"/>
      <c r="AG4" s="294"/>
      <c r="AH4" s="294"/>
      <c r="AI4" s="294"/>
      <c r="AJ4" s="294"/>
      <c r="AK4" s="294"/>
      <c r="AL4" s="294"/>
      <c r="AM4" s="294"/>
      <c r="AN4" s="294"/>
      <c r="AO4" s="294"/>
      <c r="AP4" s="294"/>
      <c r="AQ4" s="294"/>
      <c r="AR4" s="294"/>
      <c r="AS4" s="294"/>
      <c r="AT4" s="294"/>
      <c r="AU4" s="294"/>
      <c r="AV4" s="294"/>
      <c r="AW4" s="294"/>
      <c r="AX4" s="294"/>
      <c r="AY4" s="294"/>
    </row>
    <row r="5" spans="1:51" ht="13.5" customHeight="1">
      <c r="A5" s="289"/>
      <c r="B5" s="461"/>
      <c r="C5" s="462"/>
      <c r="D5" s="462"/>
      <c r="E5" s="462"/>
      <c r="F5" s="462"/>
      <c r="G5" s="462"/>
      <c r="H5" s="462"/>
      <c r="I5" s="462"/>
      <c r="J5" s="462"/>
      <c r="K5" s="462"/>
      <c r="L5" s="462"/>
      <c r="M5" s="462"/>
      <c r="N5" s="462"/>
      <c r="O5" s="462"/>
      <c r="P5" s="462"/>
      <c r="Q5" s="462"/>
      <c r="R5" s="462"/>
      <c r="S5" s="462"/>
      <c r="T5" s="462"/>
      <c r="U5" s="462"/>
      <c r="V5" s="463"/>
      <c r="W5" s="293"/>
      <c r="X5" s="293"/>
      <c r="Y5" s="294"/>
      <c r="Z5" s="294"/>
      <c r="AA5" s="294"/>
      <c r="AB5" s="294"/>
      <c r="AC5" s="294"/>
      <c r="AD5" s="294"/>
      <c r="AE5" s="294"/>
      <c r="AF5" s="294"/>
      <c r="AG5" s="294"/>
      <c r="AH5" s="294"/>
      <c r="AI5" s="294"/>
      <c r="AJ5" s="294"/>
      <c r="AK5" s="294"/>
      <c r="AL5" s="294"/>
      <c r="AM5" s="294"/>
      <c r="AN5" s="294"/>
      <c r="AO5" s="294"/>
      <c r="AP5" s="294"/>
      <c r="AQ5" s="294"/>
      <c r="AR5" s="294"/>
      <c r="AS5" s="294"/>
      <c r="AT5" s="294"/>
      <c r="AU5" s="294"/>
      <c r="AV5" s="294"/>
      <c r="AW5" s="294"/>
      <c r="AX5" s="294"/>
      <c r="AY5" s="294"/>
    </row>
    <row r="6" spans="1:51" ht="13.5" customHeight="1">
      <c r="A6" s="289"/>
      <c r="B6" s="295"/>
      <c r="C6" s="295"/>
      <c r="D6" s="295"/>
      <c r="E6" s="295"/>
      <c r="F6" s="295"/>
      <c r="G6" s="295"/>
      <c r="H6" s="295"/>
      <c r="I6" s="295"/>
      <c r="J6" s="295"/>
      <c r="K6" s="295"/>
      <c r="L6" s="295"/>
      <c r="M6" s="295"/>
      <c r="N6" s="295"/>
      <c r="O6" s="295"/>
      <c r="P6" s="289"/>
      <c r="Q6" s="289"/>
      <c r="R6" s="289"/>
      <c r="S6" s="289"/>
      <c r="T6" s="289"/>
      <c r="U6" s="289"/>
      <c r="V6" s="289"/>
      <c r="W6" s="289"/>
      <c r="X6" s="289"/>
      <c r="Y6" s="289"/>
      <c r="Z6" s="289"/>
      <c r="AA6" s="289"/>
      <c r="AB6" s="289"/>
      <c r="AC6" s="289"/>
      <c r="AD6" s="289"/>
      <c r="AE6" s="289"/>
      <c r="AF6" s="289"/>
      <c r="AG6" s="289"/>
      <c r="AH6" s="289"/>
      <c r="AI6" s="289"/>
      <c r="AJ6" s="289"/>
      <c r="AK6" s="289"/>
      <c r="AL6" s="289"/>
      <c r="AM6" s="289"/>
      <c r="AN6" s="289"/>
      <c r="AO6" s="289"/>
      <c r="AP6" s="289"/>
      <c r="AQ6" s="289"/>
      <c r="AR6" s="289"/>
      <c r="AS6" s="289"/>
      <c r="AT6" s="289"/>
      <c r="AU6" s="289"/>
      <c r="AV6" s="289"/>
      <c r="AW6" s="289"/>
      <c r="AX6" s="289"/>
      <c r="AY6" s="289"/>
    </row>
    <row r="7" spans="1:51" ht="17.100000000000001" customHeight="1">
      <c r="A7" s="289"/>
      <c r="B7" s="444" t="s">
        <v>110</v>
      </c>
      <c r="C7" s="464"/>
      <c r="D7" s="464"/>
      <c r="E7" s="464"/>
      <c r="F7" s="464"/>
      <c r="G7" s="464"/>
      <c r="H7" s="464"/>
      <c r="I7" s="464"/>
      <c r="J7" s="464"/>
      <c r="K7" s="464"/>
      <c r="L7" s="464"/>
      <c r="M7" s="464"/>
      <c r="N7" s="464"/>
      <c r="O7" s="464"/>
      <c r="P7" s="464"/>
      <c r="Q7" s="464"/>
      <c r="R7" s="464"/>
      <c r="S7" s="464"/>
      <c r="T7" s="464"/>
      <c r="U7" s="464"/>
      <c r="V7" s="464"/>
      <c r="W7" s="296"/>
      <c r="X7" s="296"/>
      <c r="Y7" s="289"/>
      <c r="Z7" s="289"/>
      <c r="AA7" s="289"/>
      <c r="AB7" s="289"/>
      <c r="AC7" s="289"/>
      <c r="AD7" s="289"/>
      <c r="AE7" s="289"/>
      <c r="AF7" s="289"/>
      <c r="AG7" s="289"/>
      <c r="AH7" s="289"/>
      <c r="AI7" s="289"/>
      <c r="AJ7" s="289"/>
      <c r="AK7" s="289"/>
      <c r="AL7" s="289"/>
      <c r="AM7" s="289"/>
      <c r="AN7" s="289"/>
      <c r="AO7" s="289"/>
      <c r="AP7" s="289"/>
      <c r="AQ7" s="289"/>
      <c r="AR7" s="289"/>
      <c r="AS7" s="289"/>
      <c r="AT7" s="289"/>
      <c r="AU7" s="289"/>
      <c r="AV7" s="289"/>
      <c r="AW7" s="289"/>
      <c r="AX7" s="289"/>
      <c r="AY7" s="289"/>
    </row>
    <row r="8" spans="1:51" ht="3" customHeight="1">
      <c r="A8" s="289"/>
      <c r="B8" s="297"/>
      <c r="C8" s="297"/>
      <c r="D8" s="297"/>
      <c r="E8" s="297"/>
      <c r="F8" s="297"/>
      <c r="G8" s="297"/>
      <c r="H8" s="297"/>
      <c r="I8" s="297"/>
      <c r="J8" s="297"/>
      <c r="K8" s="297"/>
      <c r="L8" s="297"/>
      <c r="M8" s="297"/>
      <c r="N8" s="297"/>
      <c r="O8" s="297"/>
      <c r="P8" s="289"/>
      <c r="Q8" s="289"/>
      <c r="R8" s="289"/>
      <c r="S8" s="289"/>
      <c r="T8" s="289"/>
      <c r="U8" s="289"/>
      <c r="V8" s="289"/>
      <c r="W8" s="289"/>
      <c r="X8" s="289"/>
      <c r="Y8" s="289"/>
      <c r="Z8" s="289"/>
      <c r="AA8" s="289"/>
      <c r="AB8" s="289"/>
      <c r="AC8" s="289"/>
      <c r="AD8" s="334"/>
      <c r="AE8" s="334"/>
      <c r="AF8" s="289"/>
      <c r="AG8" s="289"/>
      <c r="AH8" s="289"/>
      <c r="AI8" s="289"/>
      <c r="AJ8" s="289"/>
      <c r="AK8" s="289"/>
      <c r="AL8" s="289"/>
      <c r="AM8" s="289"/>
      <c r="AN8" s="289"/>
      <c r="AO8" s="289"/>
      <c r="AP8" s="289"/>
      <c r="AQ8" s="289"/>
      <c r="AR8" s="289"/>
      <c r="AS8" s="289"/>
      <c r="AT8" s="289"/>
      <c r="AU8" s="289"/>
      <c r="AV8" s="289"/>
      <c r="AW8" s="289"/>
      <c r="AX8" s="289"/>
      <c r="AY8" s="289"/>
    </row>
    <row r="9" spans="1:51" ht="13.5" customHeight="1">
      <c r="A9" s="289"/>
      <c r="B9" s="9" t="s">
        <v>111</v>
      </c>
      <c r="C9" s="299">
        <f>'3. Repayment Calc Template'!C9</f>
        <v>0</v>
      </c>
      <c r="D9" s="297"/>
      <c r="E9" s="297"/>
      <c r="F9" s="297"/>
      <c r="G9" s="297"/>
      <c r="H9" s="297"/>
      <c r="I9" s="297"/>
      <c r="J9" s="297"/>
      <c r="K9" s="297"/>
      <c r="L9" s="297"/>
      <c r="M9" s="297"/>
      <c r="N9" s="297"/>
      <c r="O9" s="297"/>
      <c r="P9" s="289"/>
      <c r="Q9" s="289"/>
      <c r="R9" s="289"/>
      <c r="S9" s="289"/>
      <c r="T9" s="289"/>
      <c r="U9" s="289"/>
      <c r="V9" s="289"/>
      <c r="W9" s="289"/>
      <c r="X9" s="289"/>
      <c r="Y9" s="289"/>
      <c r="Z9" s="289"/>
      <c r="AA9" s="289"/>
      <c r="AB9" s="289"/>
      <c r="AC9" s="289"/>
      <c r="AD9" s="334"/>
      <c r="AE9" s="334"/>
      <c r="AF9" s="289"/>
      <c r="AG9" s="289"/>
      <c r="AH9" s="289"/>
      <c r="AI9" s="289"/>
      <c r="AJ9" s="289"/>
      <c r="AK9" s="289"/>
      <c r="AL9" s="289"/>
      <c r="AM9" s="289"/>
      <c r="AN9" s="289"/>
      <c r="AO9" s="289"/>
      <c r="AP9" s="289"/>
      <c r="AQ9" s="289"/>
      <c r="AR9" s="289"/>
      <c r="AS9" s="289"/>
      <c r="AT9" s="289"/>
      <c r="AU9" s="289"/>
      <c r="AV9" s="289"/>
      <c r="AW9" s="289"/>
      <c r="AX9" s="289"/>
      <c r="AY9" s="289"/>
    </row>
    <row r="10" spans="1:51" ht="13.5" customHeight="1">
      <c r="A10" s="289"/>
      <c r="B10" s="298" t="s">
        <v>112</v>
      </c>
      <c r="C10" s="299">
        <f>'3. Repayment Calc Template'!C10</f>
        <v>0</v>
      </c>
      <c r="E10" s="289"/>
      <c r="F10" s="439" t="s">
        <v>113</v>
      </c>
      <c r="G10" s="458"/>
      <c r="H10" s="289"/>
      <c r="I10" s="439" t="s">
        <v>114</v>
      </c>
      <c r="J10" s="458"/>
      <c r="K10" s="289"/>
      <c r="L10" s="300" t="s">
        <v>115</v>
      </c>
      <c r="M10" s="289"/>
      <c r="N10" s="289"/>
      <c r="O10" s="289"/>
      <c r="P10" s="289"/>
      <c r="Q10" s="289"/>
      <c r="R10" s="289"/>
      <c r="S10" s="289"/>
      <c r="T10" s="289"/>
      <c r="U10" s="289"/>
      <c r="V10" s="289"/>
      <c r="W10" s="289"/>
      <c r="X10" s="289"/>
      <c r="AD10" s="335">
        <v>1</v>
      </c>
      <c r="AE10" s="335" t="s">
        <v>116</v>
      </c>
    </row>
    <row r="11" spans="1:51" ht="13.5" customHeight="1">
      <c r="A11" s="289"/>
      <c r="B11" s="289"/>
      <c r="C11" s="301" t="s">
        <v>117</v>
      </c>
      <c r="D11" s="302" t="s">
        <v>118</v>
      </c>
      <c r="E11" s="289"/>
      <c r="F11" s="349" t="s">
        <v>119</v>
      </c>
      <c r="G11" s="350">
        <f>'3. Repayment Calc Template'!G11</f>
        <v>0</v>
      </c>
      <c r="H11" s="289"/>
      <c r="I11" s="349" t="s">
        <v>119</v>
      </c>
      <c r="J11" s="350">
        <f>G11</f>
        <v>0</v>
      </c>
      <c r="K11" s="289"/>
      <c r="L11" s="303" t="s">
        <v>120</v>
      </c>
      <c r="M11" s="306">
        <f>'5. Reference Rate Template'!M11-'3. Repayment Calc Template'!M11</f>
        <v>0.03</v>
      </c>
      <c r="N11" s="289"/>
      <c r="O11" s="289"/>
      <c r="P11" s="289"/>
      <c r="Q11" s="289"/>
      <c r="R11" s="289"/>
      <c r="S11" s="289"/>
      <c r="T11" s="289"/>
      <c r="U11" s="289"/>
      <c r="V11" s="289"/>
      <c r="W11" s="289"/>
      <c r="X11" s="289"/>
      <c r="AD11" s="335">
        <v>2</v>
      </c>
      <c r="AE11" s="335" t="s">
        <v>121</v>
      </c>
    </row>
    <row r="12" spans="1:51" ht="13.5" customHeight="1">
      <c r="A12" s="289"/>
      <c r="B12" s="298" t="s">
        <v>122</v>
      </c>
      <c r="C12" s="304">
        <f>'3. Repayment Calc Template'!C12</f>
        <v>0</v>
      </c>
      <c r="D12" s="305" t="e">
        <f>VLOOKUP(C12,AD:AE,2,FALSE)</f>
        <v>#N/A</v>
      </c>
      <c r="E12" s="289"/>
      <c r="F12" s="349" t="s">
        <v>123</v>
      </c>
      <c r="G12" s="350">
        <f>'3. Repayment Calc Template'!G12</f>
        <v>0</v>
      </c>
      <c r="H12" s="289"/>
      <c r="I12" s="349" t="s">
        <v>123</v>
      </c>
      <c r="J12" s="350">
        <f>+J11+G12</f>
        <v>0</v>
      </c>
      <c r="K12" s="289"/>
      <c r="L12" s="303" t="s">
        <v>124</v>
      </c>
      <c r="M12" s="306">
        <f>'5. Reference Rate Template'!M12-'3. Repayment Calc Template'!M12</f>
        <v>7.4999999999999997E-3</v>
      </c>
      <c r="N12" s="289"/>
      <c r="O12" s="289"/>
      <c r="P12" s="289"/>
      <c r="Q12" s="289"/>
      <c r="R12" s="289"/>
      <c r="S12" s="289"/>
      <c r="T12" s="289"/>
      <c r="U12" s="289"/>
      <c r="V12" s="289"/>
      <c r="W12" s="289"/>
      <c r="X12" s="289"/>
      <c r="AD12" s="335">
        <v>3</v>
      </c>
      <c r="AE12" s="335" t="s">
        <v>125</v>
      </c>
    </row>
    <row r="13" spans="1:51" ht="13.5" customHeight="1">
      <c r="A13" s="289"/>
      <c r="B13" s="298" t="s">
        <v>126</v>
      </c>
      <c r="C13" s="304">
        <f>'3. Repayment Calc Template'!C13</f>
        <v>0</v>
      </c>
      <c r="D13" s="305" t="e">
        <f>VLOOKUP(C13,AD:AE,2,FALSE)</f>
        <v>#N/A</v>
      </c>
      <c r="E13" s="289"/>
      <c r="F13" s="349" t="s">
        <v>127</v>
      </c>
      <c r="G13" s="350">
        <f>'3. Repayment Calc Template'!G13</f>
        <v>0</v>
      </c>
      <c r="H13" s="289"/>
      <c r="I13" s="349" t="s">
        <v>127</v>
      </c>
      <c r="J13" s="350">
        <f t="shared" ref="J13:J14" si="0">+J12+G13</f>
        <v>0</v>
      </c>
      <c r="K13" s="289"/>
      <c r="L13" s="300" t="s">
        <v>128</v>
      </c>
      <c r="M13" s="289"/>
      <c r="N13" s="289"/>
      <c r="O13" s="289"/>
      <c r="P13" s="289"/>
      <c r="Q13" s="289"/>
      <c r="R13" s="289"/>
      <c r="S13" s="289"/>
      <c r="T13" s="289"/>
      <c r="U13" s="289"/>
      <c r="V13" s="289"/>
      <c r="W13" s="289"/>
      <c r="X13" s="289"/>
      <c r="AD13" s="335">
        <v>4</v>
      </c>
      <c r="AE13" s="335" t="s">
        <v>129</v>
      </c>
    </row>
    <row r="14" spans="1:51" ht="13.5" customHeight="1">
      <c r="A14" s="289"/>
      <c r="B14" s="298" t="s">
        <v>130</v>
      </c>
      <c r="C14" s="304">
        <f>'3. Repayment Calc Template'!C14</f>
        <v>0</v>
      </c>
      <c r="D14" s="305" t="e">
        <f>VLOOKUP(C14,AD:AE,2,FALSE)</f>
        <v>#N/A</v>
      </c>
      <c r="E14" s="289"/>
      <c r="F14" s="349" t="s">
        <v>131</v>
      </c>
      <c r="G14" s="350">
        <f>'3. Repayment Calc Template'!G14</f>
        <v>0</v>
      </c>
      <c r="H14" s="289"/>
      <c r="I14" s="349" t="s">
        <v>131</v>
      </c>
      <c r="J14" s="350">
        <f t="shared" si="0"/>
        <v>0</v>
      </c>
      <c r="K14" s="289"/>
      <c r="L14" s="300" t="s">
        <v>132</v>
      </c>
      <c r="M14" s="126">
        <v>0.1424</v>
      </c>
      <c r="N14" s="11" t="s">
        <v>133</v>
      </c>
      <c r="O14" s="289"/>
      <c r="P14" s="289"/>
      <c r="Q14" s="289"/>
      <c r="R14" s="289"/>
      <c r="S14" s="289"/>
      <c r="T14" s="289"/>
      <c r="U14" s="289"/>
      <c r="V14" s="289"/>
      <c r="W14" s="289"/>
      <c r="X14" s="289"/>
      <c r="AD14" s="335">
        <v>5</v>
      </c>
      <c r="AE14" s="335" t="s">
        <v>134</v>
      </c>
    </row>
    <row r="15" spans="1:51" ht="13.5" customHeight="1">
      <c r="A15" s="289"/>
      <c r="B15" s="307" t="s">
        <v>135</v>
      </c>
      <c r="C15" s="308">
        <f>C14</f>
        <v>0</v>
      </c>
      <c r="D15" s="440" t="str">
        <f>IF(SUM(C12:C14)&gt;28,"Total loan term exceeds 7 years","")</f>
        <v/>
      </c>
      <c r="E15" s="289"/>
      <c r="F15" s="349" t="s">
        <v>136</v>
      </c>
      <c r="G15" s="350">
        <f>'3. Repayment Calc Template'!G15</f>
        <v>0</v>
      </c>
      <c r="H15" s="335"/>
      <c r="I15" s="349" t="s">
        <v>136</v>
      </c>
      <c r="J15" s="350">
        <f>+J14+G15</f>
        <v>0</v>
      </c>
      <c r="K15" s="289"/>
      <c r="L15" s="303" t="s">
        <v>11</v>
      </c>
      <c r="M15" s="309">
        <f>M16+M17</f>
        <v>7.3999999999999996E-2</v>
      </c>
      <c r="N15" s="310"/>
      <c r="O15" s="289"/>
      <c r="P15" s="289"/>
      <c r="Q15" s="289"/>
      <c r="R15" s="289"/>
      <c r="S15" s="289"/>
      <c r="T15" s="289"/>
      <c r="U15" s="289"/>
      <c r="V15" s="289"/>
      <c r="W15" s="289"/>
      <c r="X15" s="289"/>
      <c r="AD15" s="335">
        <v>6</v>
      </c>
      <c r="AE15" s="335" t="s">
        <v>137</v>
      </c>
    </row>
    <row r="16" spans="1:51" ht="13.5" customHeight="1">
      <c r="A16" s="289"/>
      <c r="B16" s="307"/>
      <c r="C16" s="308"/>
      <c r="D16" s="440"/>
      <c r="E16" s="289"/>
      <c r="F16" s="349" t="s">
        <v>138</v>
      </c>
      <c r="G16" s="350">
        <f>'3. Repayment Calc Template'!G16</f>
        <v>0</v>
      </c>
      <c r="H16" s="335"/>
      <c r="I16" s="349" t="s">
        <v>138</v>
      </c>
      <c r="J16" s="350">
        <f>+J15+G16</f>
        <v>0</v>
      </c>
      <c r="K16" s="289"/>
      <c r="L16" s="289" t="s">
        <v>139</v>
      </c>
      <c r="M16" s="306">
        <v>3.6999999999999998E-2</v>
      </c>
      <c r="N16" s="310"/>
      <c r="O16" s="289"/>
      <c r="P16" s="289"/>
      <c r="Q16" s="289"/>
      <c r="R16" s="289"/>
      <c r="S16" s="289"/>
      <c r="T16" s="289"/>
      <c r="U16" s="289"/>
      <c r="V16" s="289"/>
      <c r="W16" s="289"/>
      <c r="X16" s="289"/>
      <c r="AD16" s="335"/>
      <c r="AE16" s="335"/>
    </row>
    <row r="17" spans="1:31" ht="13.5" customHeight="1">
      <c r="A17" s="289"/>
      <c r="B17" s="289"/>
      <c r="C17" s="289"/>
      <c r="D17" s="289"/>
      <c r="E17" s="289"/>
      <c r="F17" s="349" t="s">
        <v>140</v>
      </c>
      <c r="G17" s="350">
        <f>'3. Repayment Calc Template'!G17</f>
        <v>0</v>
      </c>
      <c r="H17" s="335"/>
      <c r="I17" s="349" t="s">
        <v>140</v>
      </c>
      <c r="J17" s="350">
        <f>+J16+G17</f>
        <v>0</v>
      </c>
      <c r="K17" s="289"/>
      <c r="L17" s="289" t="s">
        <v>141</v>
      </c>
      <c r="M17" s="306">
        <v>3.6999999999999998E-2</v>
      </c>
      <c r="N17" s="289"/>
      <c r="O17" s="289"/>
      <c r="P17" s="289"/>
      <c r="Q17" s="289"/>
      <c r="R17" s="289"/>
      <c r="S17" s="289"/>
      <c r="T17" s="289"/>
      <c r="U17" s="289"/>
      <c r="V17" s="289"/>
      <c r="W17" s="289"/>
      <c r="X17" s="289"/>
      <c r="AD17" s="335">
        <v>7</v>
      </c>
      <c r="AE17" s="335" t="s">
        <v>142</v>
      </c>
    </row>
    <row r="18" spans="1:31" ht="13.5" customHeight="1">
      <c r="A18" s="289"/>
      <c r="B18" s="298" t="s">
        <v>143</v>
      </c>
      <c r="C18" s="298" t="s">
        <v>224</v>
      </c>
      <c r="D18" s="298" t="s">
        <v>145</v>
      </c>
      <c r="E18" s="289"/>
      <c r="F18" s="349" t="s">
        <v>146</v>
      </c>
      <c r="G18" s="350">
        <f>'3. Repayment Calc Template'!G18</f>
        <v>0</v>
      </c>
      <c r="H18" s="335"/>
      <c r="I18" s="349" t="s">
        <v>146</v>
      </c>
      <c r="J18" s="350">
        <f>+J17+G18</f>
        <v>0</v>
      </c>
      <c r="K18" s="289"/>
      <c r="L18" s="289"/>
      <c r="M18" s="289"/>
      <c r="N18" s="289"/>
      <c r="O18" s="289"/>
      <c r="P18" s="289"/>
      <c r="Q18" s="289"/>
      <c r="R18" s="289"/>
      <c r="S18" s="289"/>
      <c r="T18" s="289"/>
      <c r="U18" s="289"/>
      <c r="V18" s="289"/>
      <c r="W18" s="289"/>
      <c r="X18" s="289"/>
      <c r="AD18" s="335">
        <v>8</v>
      </c>
      <c r="AE18" s="335" t="s">
        <v>147</v>
      </c>
    </row>
    <row r="19" spans="1:31" ht="13.5" customHeight="1">
      <c r="A19" s="289"/>
      <c r="B19" s="298" t="s">
        <v>148</v>
      </c>
      <c r="C19" s="311">
        <f>'5. Reference Rate Template'!C19-'3. Repayment Calc Template'!C19</f>
        <v>2.6349999999999998E-2</v>
      </c>
      <c r="D19" s="311">
        <f>'5. Reference Rate Template'!D19-'3. Repayment Calc Template'!D19</f>
        <v>-9.2499999999999995E-3</v>
      </c>
      <c r="E19" s="289"/>
      <c r="F19" s="349" t="s">
        <v>149</v>
      </c>
      <c r="G19" s="350">
        <f>'3. Repayment Calc Template'!G19</f>
        <v>0</v>
      </c>
      <c r="I19" s="349" t="s">
        <v>149</v>
      </c>
      <c r="J19" s="350">
        <f t="shared" ref="J19:J22" si="1">+J18+G19</f>
        <v>0</v>
      </c>
      <c r="N19" s="289"/>
      <c r="O19" s="289"/>
      <c r="P19" s="289"/>
      <c r="Q19" s="289"/>
      <c r="R19" s="289"/>
      <c r="S19" s="289"/>
      <c r="T19" s="289"/>
      <c r="U19" s="289"/>
      <c r="V19" s="289"/>
      <c r="W19" s="289"/>
      <c r="X19" s="289"/>
      <c r="AD19" s="335">
        <v>9</v>
      </c>
      <c r="AE19" s="335" t="s">
        <v>150</v>
      </c>
    </row>
    <row r="20" spans="1:31" ht="13.5" customHeight="1">
      <c r="A20" s="289"/>
      <c r="B20" s="298" t="s">
        <v>126</v>
      </c>
      <c r="C20" s="311">
        <f>'5. Reference Rate Template'!C20-'3. Repayment Calc Template'!C20</f>
        <v>2.6349999999999998E-2</v>
      </c>
      <c r="D20" s="311">
        <f>'5. Reference Rate Template'!D20-'3. Repayment Calc Template'!D20</f>
        <v>-9.2499999999999995E-3</v>
      </c>
      <c r="E20" s="289"/>
      <c r="F20" s="349" t="s">
        <v>151</v>
      </c>
      <c r="G20" s="350">
        <f>'3. Repayment Calc Template'!G20</f>
        <v>0</v>
      </c>
      <c r="I20" s="349" t="s">
        <v>151</v>
      </c>
      <c r="J20" s="350">
        <f t="shared" si="1"/>
        <v>0</v>
      </c>
      <c r="N20" s="289"/>
      <c r="O20" s="289"/>
      <c r="P20" s="289"/>
      <c r="Q20" s="289"/>
      <c r="R20" s="289"/>
      <c r="S20" s="289"/>
      <c r="T20" s="289"/>
      <c r="U20" s="289"/>
      <c r="V20" s="289"/>
      <c r="W20" s="289"/>
      <c r="X20" s="289"/>
      <c r="AD20" s="335">
        <v>10</v>
      </c>
      <c r="AE20" s="335" t="s">
        <v>152</v>
      </c>
    </row>
    <row r="21" spans="1:31" ht="13.5" customHeight="1">
      <c r="A21" s="289"/>
      <c r="B21" s="298" t="s">
        <v>130</v>
      </c>
      <c r="C21" s="311">
        <f>'5. Reference Rate Template'!C21-'3. Repayment Calc Template'!C21</f>
        <v>1.7100000000000001E-2</v>
      </c>
      <c r="D21" s="311">
        <f>'5. Reference Rate Template'!D21-'3. Repayment Calc Template'!D21</f>
        <v>0</v>
      </c>
      <c r="E21" s="289"/>
      <c r="F21" s="349" t="s">
        <v>153</v>
      </c>
      <c r="G21" s="350">
        <f>'3. Repayment Calc Template'!G21</f>
        <v>0</v>
      </c>
      <c r="I21" s="349" t="s">
        <v>153</v>
      </c>
      <c r="J21" s="350">
        <f t="shared" si="1"/>
        <v>0</v>
      </c>
      <c r="N21" s="289"/>
      <c r="O21" s="289"/>
      <c r="P21" s="289"/>
      <c r="Q21" s="289"/>
      <c r="R21" s="289"/>
      <c r="S21" s="289"/>
      <c r="T21" s="289"/>
      <c r="U21" s="289"/>
      <c r="V21" s="289"/>
      <c r="W21" s="289"/>
      <c r="X21" s="289"/>
      <c r="AD21" s="335">
        <v>11</v>
      </c>
      <c r="AE21" s="335" t="s">
        <v>154</v>
      </c>
    </row>
    <row r="22" spans="1:31" ht="13.5" customHeight="1">
      <c r="A22" s="289"/>
      <c r="D22" s="289"/>
      <c r="E22" s="289"/>
      <c r="F22" s="349" t="s">
        <v>155</v>
      </c>
      <c r="G22" s="350">
        <f>'3. Repayment Calc Template'!G22</f>
        <v>0</v>
      </c>
      <c r="H22" s="289"/>
      <c r="I22" s="349" t="s">
        <v>155</v>
      </c>
      <c r="J22" s="350">
        <f t="shared" si="1"/>
        <v>0</v>
      </c>
      <c r="K22" s="289"/>
      <c r="L22" s="289"/>
      <c r="M22" s="289"/>
      <c r="N22" s="289"/>
      <c r="O22" s="289"/>
      <c r="P22" s="289"/>
      <c r="Q22" s="289"/>
      <c r="R22" s="289"/>
      <c r="S22" s="289"/>
      <c r="T22" s="289"/>
      <c r="U22" s="289"/>
      <c r="V22" s="289"/>
      <c r="W22" s="289"/>
      <c r="X22" s="289"/>
      <c r="AD22" s="335">
        <v>12</v>
      </c>
      <c r="AE22" s="335" t="s">
        <v>156</v>
      </c>
    </row>
    <row r="23" spans="1:31" ht="13.5" customHeight="1">
      <c r="A23" s="289"/>
      <c r="B23" s="298" t="s">
        <v>157</v>
      </c>
      <c r="C23" s="336">
        <f>'5. Reference Rate Template'!C23-'3. Repayment Calc Template'!C23</f>
        <v>0</v>
      </c>
      <c r="D23" s="289"/>
      <c r="E23" s="289"/>
      <c r="F23" s="289"/>
      <c r="G23" s="289"/>
      <c r="H23" s="289"/>
      <c r="I23" s="289"/>
      <c r="J23" s="289"/>
      <c r="K23" s="289"/>
      <c r="L23" s="289"/>
      <c r="M23" s="289"/>
      <c r="N23" s="289"/>
      <c r="O23" s="289"/>
      <c r="P23" s="289"/>
      <c r="Q23" s="289"/>
      <c r="R23" s="289"/>
      <c r="S23" s="289"/>
      <c r="T23" s="289"/>
      <c r="U23" s="289"/>
      <c r="V23" s="289"/>
      <c r="W23" s="289"/>
      <c r="X23" s="289"/>
      <c r="AD23" s="335">
        <v>13</v>
      </c>
      <c r="AE23" s="335" t="s">
        <v>158</v>
      </c>
    </row>
    <row r="24" spans="1:31" ht="13.5" customHeight="1">
      <c r="A24" s="289"/>
      <c r="B24" s="298" t="s">
        <v>159</v>
      </c>
      <c r="C24" s="336">
        <f>'5. Reference Rate Template'!C24-'3. Repayment Calc Template'!C24</f>
        <v>0</v>
      </c>
      <c r="D24" s="289"/>
      <c r="E24" s="289"/>
      <c r="F24" s="289"/>
      <c r="G24" s="289"/>
      <c r="H24" s="289"/>
      <c r="I24" s="289"/>
      <c r="J24" s="289"/>
      <c r="K24" s="289"/>
      <c r="L24" s="289"/>
      <c r="M24" s="289"/>
      <c r="N24" s="289"/>
      <c r="O24" s="289"/>
      <c r="P24" s="289"/>
      <c r="Q24" s="289"/>
      <c r="R24" s="289"/>
      <c r="S24" s="289"/>
      <c r="T24" s="289"/>
      <c r="U24" s="289"/>
      <c r="V24" s="289"/>
      <c r="W24" s="289"/>
      <c r="X24" s="289"/>
      <c r="AD24" s="335">
        <v>14</v>
      </c>
      <c r="AE24" s="335" t="s">
        <v>160</v>
      </c>
    </row>
    <row r="25" spans="1:31" ht="13.5" customHeight="1">
      <c r="A25" s="289"/>
      <c r="B25" s="298" t="s">
        <v>161</v>
      </c>
      <c r="C25" s="336">
        <f>'5. Reference Rate Template'!C25-'3. Repayment Calc Template'!C25</f>
        <v>0</v>
      </c>
      <c r="D25" s="289"/>
      <c r="E25" s="289"/>
      <c r="F25" s="289"/>
      <c r="G25" s="289"/>
      <c r="H25" s="289"/>
      <c r="I25" s="289"/>
      <c r="J25" s="289"/>
      <c r="K25" s="289"/>
      <c r="L25" s="289"/>
      <c r="M25" s="289"/>
      <c r="N25" s="289"/>
      <c r="O25" s="289"/>
      <c r="P25" s="289"/>
      <c r="Q25" s="289"/>
      <c r="R25" s="289"/>
      <c r="S25" s="289"/>
      <c r="T25" s="289"/>
      <c r="U25" s="289"/>
      <c r="V25" s="289"/>
      <c r="W25" s="289"/>
      <c r="X25" s="289"/>
      <c r="AD25" s="335">
        <v>15</v>
      </c>
      <c r="AE25" s="335" t="s">
        <v>162</v>
      </c>
    </row>
    <row r="26" spans="1:31" ht="13.5" customHeight="1">
      <c r="A26" s="289"/>
      <c r="B26" s="298" t="s">
        <v>163</v>
      </c>
      <c r="C26" s="336">
        <f>'5. Reference Rate Template'!C26-'3. Repayment Calc Template'!C26</f>
        <v>0</v>
      </c>
      <c r="D26" s="310"/>
      <c r="E26" s="289"/>
      <c r="F26" s="289"/>
      <c r="G26" s="289"/>
      <c r="H26" s="289"/>
      <c r="I26" s="289"/>
      <c r="J26" s="289"/>
      <c r="K26" s="289"/>
      <c r="L26" s="289"/>
      <c r="M26" s="289"/>
      <c r="N26" s="289"/>
      <c r="O26" s="289"/>
      <c r="P26" s="289"/>
      <c r="Q26" s="289"/>
      <c r="R26" s="289"/>
      <c r="S26" s="289"/>
      <c r="T26" s="289"/>
      <c r="U26" s="289"/>
      <c r="V26" s="289"/>
      <c r="W26" s="289"/>
      <c r="X26" s="289"/>
      <c r="AD26" s="335"/>
      <c r="AE26" s="335"/>
    </row>
    <row r="27" spans="1:31" ht="13.5" customHeight="1">
      <c r="A27" s="289"/>
      <c r="B27" s="298" t="s">
        <v>164</v>
      </c>
      <c r="C27" s="336">
        <f>'5. Reference Rate Template'!C27-'3. Repayment Calc Template'!C27</f>
        <v>0</v>
      </c>
      <c r="D27" s="310"/>
      <c r="E27" s="289"/>
      <c r="F27" s="289"/>
      <c r="G27" s="289"/>
      <c r="H27" s="289"/>
      <c r="I27" s="289"/>
      <c r="J27" s="289"/>
      <c r="K27" s="289"/>
      <c r="L27" s="289"/>
      <c r="M27" s="289"/>
      <c r="N27" s="289"/>
      <c r="O27" s="289"/>
      <c r="P27" s="289"/>
      <c r="Q27" s="289"/>
      <c r="R27" s="289"/>
      <c r="S27" s="289"/>
      <c r="T27" s="289"/>
      <c r="U27" s="289"/>
      <c r="V27" s="289"/>
      <c r="W27" s="289"/>
      <c r="X27" s="289"/>
      <c r="AD27" s="335"/>
      <c r="AE27" s="335"/>
    </row>
    <row r="28" spans="1:31" ht="13.5" customHeight="1">
      <c r="A28" s="289"/>
      <c r="B28" s="298" t="s">
        <v>165</v>
      </c>
      <c r="C28" s="336">
        <f>'5. Reference Rate Template'!C28-'3. Repayment Calc Template'!C28</f>
        <v>0</v>
      </c>
      <c r="D28" s="310"/>
      <c r="E28" s="289"/>
      <c r="F28" s="289"/>
      <c r="G28" s="289"/>
      <c r="H28" s="289"/>
      <c r="I28" s="289"/>
      <c r="J28" s="289"/>
      <c r="K28" s="289"/>
      <c r="L28" s="289"/>
      <c r="M28" s="289"/>
      <c r="N28" s="289"/>
      <c r="O28" s="289"/>
      <c r="P28" s="289"/>
      <c r="Q28" s="289"/>
      <c r="R28" s="289"/>
      <c r="S28" s="289"/>
      <c r="T28" s="289"/>
      <c r="U28" s="289"/>
      <c r="V28" s="289"/>
      <c r="W28" s="289"/>
      <c r="X28" s="289"/>
      <c r="AD28" s="335"/>
      <c r="AE28" s="335"/>
    </row>
    <row r="29" spans="1:31" ht="13.5" customHeight="1">
      <c r="A29" s="289"/>
      <c r="B29" s="298" t="s">
        <v>166</v>
      </c>
      <c r="C29" s="336">
        <f>'5. Reference Rate Template'!C29-'3. Repayment Calc Template'!C29</f>
        <v>0</v>
      </c>
      <c r="D29" s="310"/>
      <c r="E29" s="289"/>
      <c r="F29" s="289"/>
      <c r="G29" s="289"/>
      <c r="H29" s="289"/>
      <c r="I29" s="289"/>
      <c r="J29" s="289"/>
      <c r="K29" s="289"/>
      <c r="L29" s="289"/>
      <c r="M29" s="289"/>
      <c r="N29" s="289"/>
      <c r="O29" s="289"/>
      <c r="P29" s="289"/>
      <c r="Q29" s="289"/>
      <c r="R29" s="289"/>
      <c r="S29" s="289"/>
      <c r="T29" s="289"/>
      <c r="U29" s="289"/>
      <c r="V29" s="289"/>
      <c r="W29" s="289"/>
      <c r="X29" s="289"/>
      <c r="AD29" s="335"/>
      <c r="AE29" s="335"/>
    </row>
    <row r="30" spans="1:31" ht="13.5" customHeight="1">
      <c r="A30" s="289"/>
      <c r="B30" s="298" t="s">
        <v>167</v>
      </c>
      <c r="C30" s="336">
        <f>'5. Reference Rate Template'!C30-'3. Repayment Calc Template'!C30</f>
        <v>0</v>
      </c>
      <c r="D30" s="310"/>
      <c r="E30" s="289"/>
      <c r="F30" s="289"/>
      <c r="G30" s="289"/>
      <c r="H30" s="289"/>
      <c r="I30" s="289"/>
      <c r="J30" s="289"/>
      <c r="K30" s="289"/>
      <c r="L30" s="289"/>
      <c r="M30" s="289"/>
      <c r="N30" s="289"/>
      <c r="O30" s="289"/>
      <c r="P30" s="289"/>
      <c r="Q30" s="289"/>
      <c r="R30" s="289"/>
      <c r="S30" s="289"/>
      <c r="T30" s="289"/>
      <c r="U30" s="289"/>
      <c r="V30" s="289"/>
      <c r="W30" s="289"/>
      <c r="X30" s="289"/>
      <c r="AD30" s="335"/>
      <c r="AE30" s="335"/>
    </row>
    <row r="31" spans="1:31" ht="13.5" customHeight="1">
      <c r="A31" s="289"/>
      <c r="B31" s="298" t="s">
        <v>168</v>
      </c>
      <c r="C31" s="336">
        <f>'5. Reference Rate Template'!C31-'3. Repayment Calc Template'!C31</f>
        <v>0</v>
      </c>
      <c r="D31" s="315">
        <f>C31*12</f>
        <v>0</v>
      </c>
      <c r="E31" s="289"/>
      <c r="F31" s="289"/>
      <c r="G31" s="289"/>
      <c r="H31" s="289"/>
      <c r="I31" s="289"/>
      <c r="J31" s="289"/>
      <c r="K31" s="289"/>
      <c r="L31" s="289"/>
      <c r="M31" s="289"/>
      <c r="N31" s="289"/>
      <c r="O31" s="289"/>
      <c r="P31" s="289"/>
      <c r="Q31" s="289"/>
      <c r="R31" s="289"/>
      <c r="S31" s="289"/>
      <c r="T31" s="289"/>
      <c r="U31" s="289"/>
      <c r="V31" s="289"/>
      <c r="W31" s="289"/>
      <c r="X31" s="289"/>
      <c r="AD31" s="335"/>
      <c r="AE31" s="335"/>
    </row>
    <row r="32" spans="1:31" ht="13.5" customHeight="1">
      <c r="A32" s="289"/>
      <c r="B32" s="300"/>
      <c r="C32" s="316"/>
      <c r="D32" s="310"/>
      <c r="E32" s="289"/>
      <c r="F32" s="289"/>
      <c r="G32" s="289"/>
      <c r="H32" s="289"/>
      <c r="I32" s="289"/>
      <c r="J32" s="289"/>
      <c r="K32" s="289"/>
      <c r="L32" s="289"/>
      <c r="M32" s="289"/>
      <c r="N32" s="289"/>
      <c r="O32" s="289"/>
      <c r="P32" s="289"/>
      <c r="Q32" s="289"/>
      <c r="R32" s="289"/>
      <c r="S32" s="289"/>
      <c r="T32" s="289"/>
      <c r="U32" s="289"/>
      <c r="V32" s="289"/>
      <c r="W32" s="289"/>
      <c r="X32" s="289"/>
      <c r="AD32" s="335"/>
      <c r="AE32" s="335"/>
    </row>
    <row r="33" spans="1:51" ht="17.45" customHeight="1">
      <c r="A33" s="289"/>
      <c r="B33" s="444" t="s">
        <v>169</v>
      </c>
      <c r="C33" s="464"/>
      <c r="D33" s="464"/>
      <c r="E33" s="464"/>
      <c r="F33" s="464"/>
      <c r="G33" s="464"/>
      <c r="H33" s="464"/>
      <c r="I33" s="464"/>
      <c r="J33" s="464"/>
      <c r="K33" s="464"/>
      <c r="L33" s="464"/>
      <c r="M33" s="464"/>
      <c r="N33" s="464"/>
      <c r="O33" s="464"/>
      <c r="P33" s="464"/>
      <c r="Q33" s="464"/>
      <c r="R33" s="464"/>
      <c r="S33" s="464"/>
      <c r="T33" s="464"/>
      <c r="U33" s="464"/>
      <c r="V33" s="464"/>
      <c r="W33" s="289"/>
      <c r="X33" s="289"/>
      <c r="AD33" s="335"/>
      <c r="AE33" s="335"/>
    </row>
    <row r="34" spans="1:51" ht="13.5" customHeight="1">
      <c r="A34" s="289"/>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AD34" s="335">
        <v>16</v>
      </c>
      <c r="AE34" s="335" t="s">
        <v>170</v>
      </c>
    </row>
    <row r="35" spans="1:51" ht="15" customHeight="1">
      <c r="A35" s="289"/>
      <c r="B35" s="445" t="s">
        <v>171</v>
      </c>
      <c r="C35" s="446"/>
      <c r="D35" s="446"/>
      <c r="E35" s="446"/>
      <c r="F35" s="446"/>
      <c r="G35" s="446"/>
      <c r="H35" s="446"/>
      <c r="I35" s="446"/>
      <c r="J35" s="446"/>
      <c r="K35" s="446"/>
      <c r="L35" s="446"/>
      <c r="M35" s="446"/>
      <c r="N35" s="446"/>
      <c r="O35" s="289"/>
      <c r="P35" s="289"/>
      <c r="Q35" s="289"/>
      <c r="R35" s="289"/>
      <c r="S35" s="289"/>
      <c r="T35" s="289"/>
      <c r="U35" s="289"/>
      <c r="V35" s="289"/>
      <c r="W35" s="289"/>
      <c r="X35" s="289"/>
      <c r="AD35" s="335">
        <v>17</v>
      </c>
      <c r="AE35" s="335" t="s">
        <v>172</v>
      </c>
    </row>
    <row r="36" spans="1:51" ht="13.5" customHeight="1">
      <c r="A36" s="289"/>
      <c r="B36" s="317"/>
      <c r="C36" s="318" t="s">
        <v>119</v>
      </c>
      <c r="D36" s="318" t="s">
        <v>123</v>
      </c>
      <c r="E36" s="318" t="s">
        <v>127</v>
      </c>
      <c r="F36" s="346" t="s">
        <v>131</v>
      </c>
      <c r="G36" s="346" t="s">
        <v>136</v>
      </c>
      <c r="H36" s="346" t="s">
        <v>138</v>
      </c>
      <c r="I36" s="346" t="s">
        <v>140</v>
      </c>
      <c r="J36" s="346" t="s">
        <v>146</v>
      </c>
      <c r="K36" s="346" t="s">
        <v>149</v>
      </c>
      <c r="L36" s="346" t="s">
        <v>151</v>
      </c>
      <c r="M36" s="346" t="s">
        <v>153</v>
      </c>
      <c r="N36" s="346" t="s">
        <v>155</v>
      </c>
      <c r="O36" s="289"/>
      <c r="P36" s="289"/>
      <c r="Q36" s="289"/>
      <c r="R36" s="289"/>
      <c r="S36" s="289"/>
      <c r="T36" s="289"/>
      <c r="U36" s="289"/>
      <c r="V36" s="289"/>
      <c r="W36" s="289"/>
      <c r="X36" s="289"/>
      <c r="AD36" s="335">
        <v>18</v>
      </c>
      <c r="AE36" s="335" t="s">
        <v>173</v>
      </c>
    </row>
    <row r="37" spans="1:51" ht="13.5" customHeight="1">
      <c r="A37" s="319"/>
      <c r="B37" s="314" t="s">
        <v>159</v>
      </c>
      <c r="C37" s="336">
        <f>'5. Reference Rate Template'!C38-'3. Repayment Calc Template'!C38</f>
        <v>0</v>
      </c>
      <c r="D37" s="336">
        <f>'5. Reference Rate Template'!D38-'3. Repayment Calc Template'!D38</f>
        <v>0</v>
      </c>
      <c r="E37" s="336">
        <f>'5. Reference Rate Template'!E38-'3. Repayment Calc Template'!E38</f>
        <v>0</v>
      </c>
      <c r="F37" s="347">
        <f>'5. Reference Rate Template'!F38-'3. Repayment Calc Template'!F38</f>
        <v>0</v>
      </c>
      <c r="G37" s="347">
        <f>'5. Reference Rate Template'!G38-'3. Repayment Calc Template'!G38</f>
        <v>0</v>
      </c>
      <c r="H37" s="347">
        <f>'5. Reference Rate Template'!H38-'3. Repayment Calc Template'!H38</f>
        <v>0</v>
      </c>
      <c r="I37" s="347">
        <f>'5. Reference Rate Template'!I38-'3. Repayment Calc Template'!I38</f>
        <v>0</v>
      </c>
      <c r="J37" s="347">
        <f>'5. Reference Rate Template'!J38-'3. Repayment Calc Template'!J38</f>
        <v>0</v>
      </c>
      <c r="K37" s="347">
        <f>'5. Reference Rate Template'!K38-'3. Repayment Calc Template'!K38</f>
        <v>0</v>
      </c>
      <c r="L37" s="347">
        <f>'5. Reference Rate Template'!L38-'3. Repayment Calc Template'!L38</f>
        <v>0</v>
      </c>
      <c r="M37" s="347">
        <f>'5. Reference Rate Template'!M38-'3. Repayment Calc Template'!M38</f>
        <v>0</v>
      </c>
      <c r="N37" s="347">
        <f>'5. Reference Rate Template'!N38-'3. Repayment Calc Template'!N38</f>
        <v>0</v>
      </c>
      <c r="O37" s="319"/>
      <c r="P37" s="319"/>
      <c r="Q37" s="319"/>
      <c r="R37" s="319"/>
      <c r="S37" s="319"/>
      <c r="T37" s="319"/>
      <c r="U37" s="319"/>
      <c r="V37" s="319"/>
      <c r="W37" s="319"/>
      <c r="X37" s="319"/>
      <c r="Y37" s="320"/>
      <c r="Z37" s="320"/>
      <c r="AA37" s="320"/>
      <c r="AB37" s="320"/>
      <c r="AC37" s="320"/>
      <c r="AD37" s="337">
        <v>19</v>
      </c>
      <c r="AE37" s="337" t="s">
        <v>175</v>
      </c>
      <c r="AF37" s="320"/>
      <c r="AG37" s="320"/>
      <c r="AH37" s="320"/>
      <c r="AI37" s="320"/>
      <c r="AJ37" s="320"/>
      <c r="AK37" s="320"/>
      <c r="AL37" s="320"/>
      <c r="AM37" s="320"/>
      <c r="AN37" s="320"/>
      <c r="AO37" s="320"/>
      <c r="AP37" s="320"/>
      <c r="AQ37" s="320"/>
      <c r="AR37" s="320"/>
      <c r="AS37" s="320"/>
      <c r="AT37" s="320"/>
      <c r="AU37" s="320"/>
      <c r="AV37" s="320"/>
      <c r="AW37" s="320"/>
      <c r="AX37" s="320"/>
      <c r="AY37" s="320"/>
    </row>
    <row r="38" spans="1:51" ht="13.5" customHeight="1">
      <c r="A38" s="319"/>
      <c r="B38" s="314" t="s">
        <v>176</v>
      </c>
      <c r="C38" s="336">
        <f>'5. Reference Rate Template'!C39-'3. Repayment Calc Template'!C39</f>
        <v>0</v>
      </c>
      <c r="D38" s="336">
        <f>'5. Reference Rate Template'!D39-'3. Repayment Calc Template'!D39</f>
        <v>0</v>
      </c>
      <c r="E38" s="336">
        <f>'5. Reference Rate Template'!E39-'3. Repayment Calc Template'!E39</f>
        <v>0</v>
      </c>
      <c r="F38" s="347">
        <f>'5. Reference Rate Template'!F39-'3. Repayment Calc Template'!F39</f>
        <v>0</v>
      </c>
      <c r="G38" s="347">
        <f>'5. Reference Rate Template'!G39-'3. Repayment Calc Template'!G39</f>
        <v>0</v>
      </c>
      <c r="H38" s="347">
        <f>'5. Reference Rate Template'!H39-'3. Repayment Calc Template'!H39</f>
        <v>0</v>
      </c>
      <c r="I38" s="347">
        <f>'5. Reference Rate Template'!I39-'3. Repayment Calc Template'!I39</f>
        <v>0</v>
      </c>
      <c r="J38" s="347">
        <f>'5. Reference Rate Template'!J39-'3. Repayment Calc Template'!J39</f>
        <v>0</v>
      </c>
      <c r="K38" s="347">
        <f>'5. Reference Rate Template'!K39-'3. Repayment Calc Template'!K39</f>
        <v>0</v>
      </c>
      <c r="L38" s="347">
        <f>'5. Reference Rate Template'!L39-'3. Repayment Calc Template'!L39</f>
        <v>0</v>
      </c>
      <c r="M38" s="347">
        <f>'5. Reference Rate Template'!M39-'3. Repayment Calc Template'!M39</f>
        <v>0</v>
      </c>
      <c r="N38" s="347">
        <f>'5. Reference Rate Template'!N39-'3. Repayment Calc Template'!N39</f>
        <v>0</v>
      </c>
      <c r="O38" s="319"/>
      <c r="P38" s="319"/>
      <c r="Q38" s="319"/>
      <c r="R38" s="319"/>
      <c r="S38" s="319"/>
      <c r="T38" s="319"/>
      <c r="U38" s="319"/>
      <c r="V38" s="319"/>
      <c r="W38" s="319"/>
      <c r="X38" s="319"/>
      <c r="Y38" s="320"/>
      <c r="Z38" s="320"/>
      <c r="AA38" s="320"/>
      <c r="AB38" s="320"/>
      <c r="AC38" s="320"/>
      <c r="AD38" s="337">
        <v>20</v>
      </c>
      <c r="AE38" s="337" t="s">
        <v>177</v>
      </c>
      <c r="AF38" s="320"/>
      <c r="AG38" s="320"/>
      <c r="AH38" s="320"/>
      <c r="AI38" s="320"/>
      <c r="AJ38" s="320"/>
      <c r="AK38" s="320"/>
      <c r="AL38" s="320"/>
      <c r="AM38" s="320"/>
      <c r="AN38" s="320"/>
      <c r="AO38" s="320"/>
      <c r="AP38" s="320"/>
      <c r="AQ38" s="320"/>
      <c r="AR38" s="320"/>
      <c r="AS38" s="320"/>
      <c r="AT38" s="320"/>
      <c r="AU38" s="320"/>
      <c r="AV38" s="320"/>
      <c r="AW38" s="320"/>
      <c r="AX38" s="320"/>
      <c r="AY38" s="320"/>
    </row>
    <row r="39" spans="1:51" ht="13.5" customHeight="1">
      <c r="A39" s="319"/>
      <c r="B39" s="314" t="s">
        <v>115</v>
      </c>
      <c r="C39" s="336">
        <f>'5. Reference Rate Template'!C40-'3. Repayment Calc Template'!C40</f>
        <v>0</v>
      </c>
      <c r="D39" s="336">
        <f>'5. Reference Rate Template'!D40-'3. Repayment Calc Template'!D40</f>
        <v>0</v>
      </c>
      <c r="E39" s="336">
        <f>'5. Reference Rate Template'!E40-'3. Repayment Calc Template'!E40</f>
        <v>0</v>
      </c>
      <c r="F39" s="347">
        <f>'5. Reference Rate Template'!F40-'3. Repayment Calc Template'!F40</f>
        <v>0</v>
      </c>
      <c r="G39" s="347">
        <f>'5. Reference Rate Template'!G40-'3. Repayment Calc Template'!G40</f>
        <v>0</v>
      </c>
      <c r="H39" s="347">
        <f>'5. Reference Rate Template'!H40-'3. Repayment Calc Template'!H40</f>
        <v>0</v>
      </c>
      <c r="I39" s="347">
        <f>'5. Reference Rate Template'!I40-'3. Repayment Calc Template'!I40</f>
        <v>0</v>
      </c>
      <c r="J39" s="347">
        <f>'5. Reference Rate Template'!J40-'3. Repayment Calc Template'!J40</f>
        <v>0</v>
      </c>
      <c r="K39" s="347">
        <f>'5. Reference Rate Template'!K40-'3. Repayment Calc Template'!K40</f>
        <v>0</v>
      </c>
      <c r="L39" s="347">
        <f>'5. Reference Rate Template'!L40-'3. Repayment Calc Template'!L40</f>
        <v>0</v>
      </c>
      <c r="M39" s="347">
        <f>'5. Reference Rate Template'!M40-'3. Repayment Calc Template'!M40</f>
        <v>0</v>
      </c>
      <c r="N39" s="347">
        <f>'5. Reference Rate Template'!N40-'3. Repayment Calc Template'!N40</f>
        <v>0</v>
      </c>
      <c r="O39" s="319"/>
      <c r="P39" s="319"/>
      <c r="Q39" s="319"/>
      <c r="R39" s="319"/>
      <c r="S39" s="319"/>
      <c r="T39" s="319"/>
      <c r="U39" s="319"/>
      <c r="V39" s="319"/>
      <c r="W39" s="319"/>
      <c r="X39" s="319"/>
      <c r="Y39" s="320"/>
      <c r="Z39" s="320"/>
      <c r="AA39" s="320"/>
      <c r="AB39" s="320"/>
      <c r="AC39" s="320"/>
      <c r="AD39" s="337"/>
      <c r="AE39" s="337"/>
      <c r="AF39" s="320"/>
      <c r="AG39" s="320"/>
      <c r="AH39" s="320"/>
      <c r="AI39" s="320"/>
      <c r="AJ39" s="320"/>
      <c r="AK39" s="320"/>
      <c r="AL39" s="320"/>
      <c r="AM39" s="320"/>
      <c r="AN39" s="320"/>
      <c r="AO39" s="320"/>
      <c r="AP39" s="320"/>
      <c r="AQ39" s="320"/>
      <c r="AR39" s="320"/>
      <c r="AS39" s="320"/>
      <c r="AT39" s="320"/>
      <c r="AU39" s="320"/>
      <c r="AV39" s="320"/>
      <c r="AW39" s="320"/>
      <c r="AX39" s="320"/>
      <c r="AY39" s="320"/>
    </row>
    <row r="40" spans="1:51" ht="13.5" customHeight="1" thickBot="1">
      <c r="A40" s="319"/>
      <c r="B40" s="321" t="s">
        <v>178</v>
      </c>
      <c r="C40" s="338">
        <f>SUM(C37:C39)</f>
        <v>0</v>
      </c>
      <c r="D40" s="338">
        <f t="shared" ref="D40:F40" si="2">SUM(D37:D39)</f>
        <v>0</v>
      </c>
      <c r="E40" s="338">
        <f t="shared" si="2"/>
        <v>0</v>
      </c>
      <c r="F40" s="348">
        <f t="shared" si="2"/>
        <v>0</v>
      </c>
      <c r="G40" s="348">
        <f t="shared" ref="G40:J40" si="3">SUM(G37:G39)</f>
        <v>0</v>
      </c>
      <c r="H40" s="348">
        <f t="shared" si="3"/>
        <v>0</v>
      </c>
      <c r="I40" s="348">
        <f t="shared" si="3"/>
        <v>0</v>
      </c>
      <c r="J40" s="348">
        <f t="shared" si="3"/>
        <v>0</v>
      </c>
      <c r="K40" s="348">
        <f t="shared" ref="K40:N40" si="4">SUM(K37:K39)</f>
        <v>0</v>
      </c>
      <c r="L40" s="348">
        <f t="shared" si="4"/>
        <v>0</v>
      </c>
      <c r="M40" s="348">
        <f t="shared" si="4"/>
        <v>0</v>
      </c>
      <c r="N40" s="348">
        <f t="shared" si="4"/>
        <v>0</v>
      </c>
      <c r="O40" s="319"/>
      <c r="P40" s="319"/>
      <c r="Q40" s="319"/>
      <c r="R40" s="319"/>
      <c r="S40" s="319"/>
      <c r="T40" s="319"/>
      <c r="U40" s="319"/>
      <c r="V40" s="319"/>
      <c r="W40" s="319"/>
      <c r="X40" s="319"/>
      <c r="Y40" s="320"/>
      <c r="Z40" s="320"/>
      <c r="AA40" s="320"/>
      <c r="AB40" s="320"/>
      <c r="AC40" s="320"/>
      <c r="AD40" s="339"/>
      <c r="AE40" s="339"/>
      <c r="AF40" s="320"/>
      <c r="AG40" s="320"/>
      <c r="AH40" s="320"/>
      <c r="AI40" s="320"/>
      <c r="AJ40" s="320"/>
      <c r="AK40" s="320"/>
      <c r="AL40" s="320"/>
      <c r="AM40" s="320"/>
      <c r="AN40" s="320"/>
      <c r="AO40" s="320"/>
      <c r="AP40" s="320"/>
      <c r="AQ40" s="320"/>
      <c r="AR40" s="320"/>
      <c r="AS40" s="320"/>
      <c r="AT40" s="320"/>
      <c r="AU40" s="320"/>
      <c r="AV40" s="320"/>
      <c r="AW40" s="320"/>
      <c r="AX40" s="320"/>
      <c r="AY40" s="320"/>
    </row>
    <row r="41" spans="1:51" ht="13.5" customHeight="1" thickTop="1">
      <c r="A41" s="289"/>
      <c r="B41" s="289"/>
      <c r="C41" s="289"/>
      <c r="D41" s="289"/>
      <c r="E41" s="289"/>
      <c r="F41" s="323"/>
      <c r="G41" s="323"/>
      <c r="H41" s="323"/>
      <c r="I41" s="323"/>
      <c r="J41" s="323"/>
      <c r="K41" s="289"/>
      <c r="L41" s="289"/>
      <c r="M41" s="289"/>
      <c r="N41" s="289"/>
      <c r="O41" s="289"/>
      <c r="P41" s="289"/>
      <c r="Q41" s="289"/>
      <c r="R41" s="289"/>
      <c r="S41" s="289"/>
      <c r="T41" s="289"/>
      <c r="U41" s="289"/>
      <c r="V41" s="289"/>
      <c r="W41" s="289"/>
      <c r="X41" s="289"/>
      <c r="Y41" s="289"/>
      <c r="Z41" s="289"/>
      <c r="AA41" s="289"/>
      <c r="AB41" s="289"/>
      <c r="AC41" s="289"/>
      <c r="AD41" s="340"/>
      <c r="AE41" s="340"/>
      <c r="AF41" s="289"/>
      <c r="AG41" s="289"/>
      <c r="AH41" s="289"/>
      <c r="AI41" s="289"/>
      <c r="AJ41" s="289"/>
      <c r="AK41" s="289"/>
      <c r="AL41" s="289"/>
      <c r="AM41" s="289"/>
      <c r="AN41" s="289"/>
      <c r="AO41" s="289"/>
      <c r="AP41" s="289"/>
      <c r="AQ41" s="289"/>
      <c r="AR41" s="289"/>
      <c r="AS41" s="289"/>
      <c r="AT41" s="289"/>
      <c r="AU41" s="289"/>
      <c r="AV41" s="289"/>
      <c r="AW41" s="289"/>
      <c r="AX41" s="289"/>
      <c r="AY41" s="289"/>
    </row>
    <row r="42" spans="1:51" ht="13.5" customHeight="1">
      <c r="A42" s="289"/>
      <c r="B42" s="289"/>
      <c r="C42" s="289"/>
      <c r="D42" s="289"/>
      <c r="E42" s="289"/>
      <c r="F42" s="289"/>
      <c r="G42" s="323"/>
      <c r="H42" s="323"/>
      <c r="I42" s="323"/>
      <c r="J42" s="323"/>
      <c r="K42" s="289"/>
      <c r="L42" s="289"/>
      <c r="M42" s="289"/>
      <c r="N42" s="289"/>
      <c r="O42" s="289"/>
      <c r="P42" s="289"/>
      <c r="Q42" s="289"/>
      <c r="R42" s="289"/>
      <c r="S42" s="289"/>
      <c r="T42" s="289"/>
      <c r="U42" s="289"/>
      <c r="V42" s="289"/>
      <c r="W42" s="289"/>
      <c r="X42" s="289"/>
      <c r="Y42" s="289"/>
      <c r="Z42" s="289"/>
      <c r="AA42" s="289"/>
      <c r="AB42" s="289"/>
      <c r="AC42" s="289"/>
      <c r="AD42" s="340"/>
      <c r="AE42" s="340"/>
      <c r="AF42" s="289"/>
      <c r="AG42" s="289"/>
      <c r="AH42" s="289"/>
      <c r="AI42" s="289"/>
      <c r="AJ42" s="289"/>
      <c r="AK42" s="289"/>
      <c r="AL42" s="289"/>
      <c r="AM42" s="289"/>
      <c r="AN42" s="289"/>
      <c r="AO42" s="289"/>
      <c r="AP42" s="289"/>
      <c r="AQ42" s="289"/>
      <c r="AR42" s="289"/>
      <c r="AS42" s="289"/>
      <c r="AT42" s="289"/>
      <c r="AU42" s="289"/>
      <c r="AV42" s="289"/>
      <c r="AW42" s="289"/>
      <c r="AX42" s="289"/>
      <c r="AY42" s="289"/>
    </row>
    <row r="43" spans="1:51" ht="15" customHeight="1">
      <c r="A43" s="289"/>
      <c r="B43" s="430" t="s">
        <v>179</v>
      </c>
      <c r="C43" s="458"/>
      <c r="D43" s="458"/>
      <c r="E43" s="458"/>
      <c r="F43" s="458"/>
      <c r="G43" s="458"/>
      <c r="H43" s="458"/>
      <c r="I43" s="458"/>
      <c r="J43" s="458"/>
      <c r="K43" s="289"/>
      <c r="L43" s="289"/>
      <c r="M43" s="289"/>
      <c r="N43" s="289"/>
      <c r="O43" s="289"/>
      <c r="P43" s="289"/>
      <c r="Q43" s="289"/>
      <c r="R43" s="289"/>
      <c r="S43" s="289"/>
      <c r="T43" s="289"/>
      <c r="U43" s="289"/>
      <c r="V43" s="289"/>
      <c r="W43" s="289"/>
      <c r="X43" s="289"/>
      <c r="AD43" s="341"/>
      <c r="AE43" s="341"/>
    </row>
    <row r="44" spans="1:51" ht="13.5" customHeight="1">
      <c r="A44" s="289"/>
      <c r="B44" s="324"/>
      <c r="C44" s="325" t="s">
        <v>119</v>
      </c>
      <c r="D44" s="325" t="s">
        <v>123</v>
      </c>
      <c r="E44" s="325" t="s">
        <v>127</v>
      </c>
      <c r="F44" s="325" t="s">
        <v>131</v>
      </c>
      <c r="G44" s="325" t="s">
        <v>136</v>
      </c>
      <c r="H44" s="325" t="s">
        <v>138</v>
      </c>
      <c r="I44" s="325" t="s">
        <v>140</v>
      </c>
      <c r="J44" s="325" t="s">
        <v>146</v>
      </c>
      <c r="K44" s="289"/>
      <c r="L44" s="289"/>
      <c r="M44" s="289"/>
      <c r="N44" s="289"/>
      <c r="O44" s="289"/>
      <c r="P44" s="289"/>
      <c r="Q44" s="289"/>
      <c r="R44" s="289"/>
      <c r="S44" s="289"/>
      <c r="T44" s="289"/>
      <c r="U44" s="289"/>
      <c r="V44" s="289"/>
      <c r="W44" s="289"/>
      <c r="X44" s="289"/>
      <c r="Y44" s="289"/>
      <c r="Z44" s="289"/>
      <c r="AA44" s="289"/>
      <c r="AB44" s="289"/>
      <c r="AC44" s="289"/>
      <c r="AD44" s="340"/>
      <c r="AE44" s="340"/>
      <c r="AF44" s="289"/>
      <c r="AG44" s="289"/>
      <c r="AH44" s="289"/>
      <c r="AI44" s="289"/>
      <c r="AJ44" s="289"/>
      <c r="AK44" s="289"/>
      <c r="AL44" s="289"/>
      <c r="AM44" s="289"/>
      <c r="AN44" s="289"/>
      <c r="AO44" s="289"/>
      <c r="AP44" s="289"/>
      <c r="AQ44" s="289"/>
      <c r="AR44" s="289"/>
      <c r="AS44" s="289"/>
      <c r="AT44" s="289"/>
      <c r="AU44" s="289"/>
      <c r="AV44" s="289"/>
      <c r="AW44" s="289"/>
      <c r="AX44" s="289"/>
      <c r="AY44" s="289"/>
    </row>
    <row r="45" spans="1:51" ht="13.5" customHeight="1">
      <c r="A45" s="326"/>
      <c r="B45" s="327" t="s">
        <v>159</v>
      </c>
      <c r="C45" s="336">
        <f>'5. Reference Rate Template'!C47-'3. Repayment Calc Template'!C47</f>
        <v>0</v>
      </c>
      <c r="D45" s="336">
        <f>'5. Reference Rate Template'!D47-'3. Repayment Calc Template'!D47</f>
        <v>0</v>
      </c>
      <c r="E45" s="336">
        <f>'5. Reference Rate Template'!E47-'3. Repayment Calc Template'!E47</f>
        <v>0</v>
      </c>
      <c r="F45" s="336">
        <f>'5. Reference Rate Template'!F47-'3. Repayment Calc Template'!F47</f>
        <v>0</v>
      </c>
      <c r="G45" s="336">
        <f>'5. Reference Rate Template'!G47-'3. Repayment Calc Template'!G47</f>
        <v>0</v>
      </c>
      <c r="H45" s="336">
        <f>'5. Reference Rate Template'!H47-'3. Repayment Calc Template'!H47</f>
        <v>0</v>
      </c>
      <c r="I45" s="336">
        <f>'5. Reference Rate Template'!I47-'3. Repayment Calc Template'!I47</f>
        <v>0</v>
      </c>
      <c r="J45" s="336">
        <f>'5. Reference Rate Template'!J47-'3. Repayment Calc Template'!J47</f>
        <v>0</v>
      </c>
      <c r="K45" s="326"/>
      <c r="L45" s="326"/>
      <c r="M45" s="326"/>
      <c r="N45" s="326"/>
      <c r="O45" s="326"/>
      <c r="P45" s="326"/>
      <c r="Q45" s="326"/>
      <c r="R45" s="326"/>
      <c r="S45" s="326"/>
      <c r="T45" s="326"/>
      <c r="U45" s="326"/>
      <c r="V45" s="326"/>
      <c r="W45" s="326"/>
      <c r="X45" s="326"/>
      <c r="Y45" s="326"/>
      <c r="Z45" s="326"/>
      <c r="AA45" s="326"/>
      <c r="AB45" s="326"/>
      <c r="AC45" s="326"/>
      <c r="AD45" s="342"/>
      <c r="AE45" s="342"/>
      <c r="AF45" s="326"/>
      <c r="AG45" s="326"/>
      <c r="AH45" s="326"/>
      <c r="AI45" s="326"/>
      <c r="AJ45" s="326"/>
      <c r="AK45" s="326"/>
      <c r="AL45" s="326"/>
      <c r="AM45" s="326"/>
      <c r="AN45" s="326"/>
      <c r="AO45" s="326"/>
      <c r="AP45" s="326"/>
      <c r="AQ45" s="326"/>
      <c r="AR45" s="326"/>
      <c r="AS45" s="326"/>
      <c r="AT45" s="326"/>
      <c r="AU45" s="326"/>
      <c r="AV45" s="326"/>
      <c r="AW45" s="326"/>
      <c r="AX45" s="326"/>
      <c r="AY45" s="326"/>
    </row>
    <row r="46" spans="1:51" ht="13.5" customHeight="1">
      <c r="A46" s="326"/>
      <c r="B46" s="327" t="s">
        <v>176</v>
      </c>
      <c r="C46" s="336">
        <f>'5. Reference Rate Template'!C48-'3. Repayment Calc Template'!C48</f>
        <v>0</v>
      </c>
      <c r="D46" s="336">
        <f>'5. Reference Rate Template'!D48-'3. Repayment Calc Template'!D48</f>
        <v>0</v>
      </c>
      <c r="E46" s="336">
        <f>'5. Reference Rate Template'!E48-'3. Repayment Calc Template'!E48</f>
        <v>0</v>
      </c>
      <c r="F46" s="336">
        <f>'5. Reference Rate Template'!F48-'3. Repayment Calc Template'!F48</f>
        <v>0</v>
      </c>
      <c r="G46" s="336">
        <f>'5. Reference Rate Template'!G48-'3. Repayment Calc Template'!G48</f>
        <v>0</v>
      </c>
      <c r="H46" s="336">
        <f>'5. Reference Rate Template'!H48-'3. Repayment Calc Template'!H48</f>
        <v>0</v>
      </c>
      <c r="I46" s="336">
        <f>'5. Reference Rate Template'!I48-'3. Repayment Calc Template'!I48</f>
        <v>0</v>
      </c>
      <c r="J46" s="336">
        <f>'5. Reference Rate Template'!J48-'3. Repayment Calc Template'!J48</f>
        <v>0</v>
      </c>
      <c r="K46" s="326"/>
      <c r="L46" s="326"/>
      <c r="M46" s="326"/>
      <c r="N46" s="326"/>
      <c r="O46" s="326"/>
      <c r="P46" s="326"/>
      <c r="Q46" s="326"/>
      <c r="R46" s="326"/>
      <c r="S46" s="326"/>
      <c r="T46" s="326"/>
      <c r="U46" s="326"/>
      <c r="V46" s="326"/>
      <c r="W46" s="326"/>
      <c r="X46" s="326"/>
      <c r="Y46" s="326"/>
      <c r="Z46" s="326"/>
      <c r="AA46" s="326"/>
      <c r="AB46" s="326"/>
      <c r="AC46" s="326"/>
      <c r="AD46" s="342"/>
      <c r="AE46" s="342"/>
      <c r="AF46" s="326"/>
      <c r="AG46" s="326"/>
      <c r="AH46" s="326"/>
      <c r="AI46" s="326"/>
      <c r="AJ46" s="326"/>
      <c r="AK46" s="326"/>
      <c r="AL46" s="326"/>
      <c r="AM46" s="326"/>
      <c r="AN46" s="326"/>
      <c r="AO46" s="326"/>
      <c r="AP46" s="326"/>
      <c r="AQ46" s="326"/>
      <c r="AR46" s="326"/>
      <c r="AS46" s="326"/>
      <c r="AT46" s="326"/>
      <c r="AU46" s="326"/>
      <c r="AV46" s="326"/>
      <c r="AW46" s="326"/>
      <c r="AX46" s="326"/>
      <c r="AY46" s="326"/>
    </row>
    <row r="47" spans="1:51" ht="13.5" customHeight="1">
      <c r="A47" s="319"/>
      <c r="B47" s="314" t="s">
        <v>115</v>
      </c>
      <c r="C47" s="336">
        <f>'5. Reference Rate Template'!C49-'3. Repayment Calc Template'!C49</f>
        <v>0</v>
      </c>
      <c r="D47" s="336">
        <f>'5. Reference Rate Template'!D49-'3. Repayment Calc Template'!D49</f>
        <v>0</v>
      </c>
      <c r="E47" s="336">
        <f>'5. Reference Rate Template'!E49-'3. Repayment Calc Template'!E49</f>
        <v>0</v>
      </c>
      <c r="F47" s="336">
        <f>'5. Reference Rate Template'!F49-'3. Repayment Calc Template'!F49</f>
        <v>0</v>
      </c>
      <c r="G47" s="336">
        <f>'5. Reference Rate Template'!G49-'3. Repayment Calc Template'!G49</f>
        <v>0</v>
      </c>
      <c r="H47" s="336">
        <f>'5. Reference Rate Template'!H49-'3. Repayment Calc Template'!H49</f>
        <v>0</v>
      </c>
      <c r="I47" s="336">
        <f>'5. Reference Rate Template'!I49-'3. Repayment Calc Template'!I49</f>
        <v>0</v>
      </c>
      <c r="J47" s="336">
        <f>'5. Reference Rate Template'!J49-'3. Repayment Calc Template'!J49</f>
        <v>0</v>
      </c>
      <c r="K47" s="326"/>
      <c r="L47" s="326"/>
      <c r="M47" s="326"/>
      <c r="N47" s="326"/>
      <c r="O47" s="319"/>
      <c r="P47" s="319"/>
      <c r="Q47" s="319"/>
      <c r="R47" s="319"/>
      <c r="S47" s="319"/>
      <c r="T47" s="319"/>
      <c r="U47" s="319"/>
      <c r="V47" s="319"/>
      <c r="W47" s="319"/>
      <c r="X47" s="319"/>
      <c r="Y47" s="320"/>
      <c r="Z47" s="320"/>
      <c r="AA47" s="320"/>
      <c r="AB47" s="320"/>
      <c r="AC47" s="320"/>
      <c r="AD47" s="339"/>
      <c r="AE47" s="339"/>
      <c r="AF47" s="320"/>
      <c r="AG47" s="320"/>
      <c r="AH47" s="320"/>
      <c r="AI47" s="320"/>
      <c r="AJ47" s="320"/>
      <c r="AK47" s="320"/>
      <c r="AL47" s="320"/>
      <c r="AM47" s="320"/>
      <c r="AN47" s="320"/>
      <c r="AO47" s="320"/>
      <c r="AP47" s="320"/>
      <c r="AQ47" s="320"/>
      <c r="AR47" s="320"/>
      <c r="AS47" s="320"/>
      <c r="AT47" s="320"/>
      <c r="AU47" s="320"/>
      <c r="AV47" s="320"/>
      <c r="AW47" s="320"/>
      <c r="AX47" s="320"/>
      <c r="AY47" s="320"/>
    </row>
    <row r="48" spans="1:51" ht="13.5" customHeight="1" thickBot="1">
      <c r="A48" s="326"/>
      <c r="B48" s="330" t="s">
        <v>178</v>
      </c>
      <c r="C48" s="338">
        <f>SUM(C45:C47)</f>
        <v>0</v>
      </c>
      <c r="D48" s="338">
        <f t="shared" ref="D48:J48" si="5">SUM(D45:D47)</f>
        <v>0</v>
      </c>
      <c r="E48" s="338">
        <f t="shared" si="5"/>
        <v>0</v>
      </c>
      <c r="F48" s="338">
        <f t="shared" si="5"/>
        <v>0</v>
      </c>
      <c r="G48" s="338">
        <f t="shared" si="5"/>
        <v>0</v>
      </c>
      <c r="H48" s="338">
        <f t="shared" si="5"/>
        <v>0</v>
      </c>
      <c r="I48" s="338">
        <f t="shared" si="5"/>
        <v>0</v>
      </c>
      <c r="J48" s="338">
        <f t="shared" si="5"/>
        <v>0</v>
      </c>
      <c r="K48" s="326"/>
      <c r="L48" s="326"/>
      <c r="M48" s="326"/>
      <c r="N48" s="326"/>
      <c r="O48" s="326"/>
      <c r="P48" s="326"/>
      <c r="Q48" s="326"/>
      <c r="R48" s="326"/>
      <c r="S48" s="326"/>
      <c r="T48" s="326"/>
      <c r="U48" s="326"/>
      <c r="V48" s="326"/>
      <c r="W48" s="326"/>
      <c r="X48" s="326"/>
      <c r="Y48" s="326"/>
      <c r="Z48" s="326"/>
      <c r="AA48" s="326"/>
      <c r="AB48" s="326"/>
      <c r="AC48" s="326"/>
      <c r="AD48" s="342"/>
      <c r="AE48" s="342"/>
      <c r="AF48" s="326"/>
      <c r="AG48" s="326"/>
      <c r="AH48" s="326"/>
      <c r="AI48" s="326"/>
      <c r="AJ48" s="326"/>
      <c r="AK48" s="326"/>
      <c r="AL48" s="326"/>
      <c r="AM48" s="326"/>
      <c r="AN48" s="326"/>
      <c r="AO48" s="326"/>
      <c r="AP48" s="326"/>
      <c r="AQ48" s="326"/>
      <c r="AR48" s="326"/>
      <c r="AS48" s="326"/>
      <c r="AT48" s="326"/>
      <c r="AU48" s="326"/>
      <c r="AV48" s="326"/>
      <c r="AW48" s="326"/>
      <c r="AX48" s="326"/>
      <c r="AY48" s="326"/>
    </row>
    <row r="49" spans="1:51" ht="13.5" customHeight="1" thickTop="1">
      <c r="A49" s="28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340"/>
      <c r="AE49" s="340"/>
      <c r="AF49" s="289"/>
      <c r="AG49" s="289"/>
      <c r="AH49" s="289"/>
      <c r="AI49" s="289"/>
      <c r="AJ49" s="289"/>
      <c r="AK49" s="289"/>
      <c r="AL49" s="289"/>
      <c r="AM49" s="289"/>
      <c r="AN49" s="289"/>
      <c r="AO49" s="289"/>
      <c r="AP49" s="289"/>
      <c r="AQ49" s="289"/>
      <c r="AR49" s="289"/>
      <c r="AS49" s="289"/>
      <c r="AT49" s="289"/>
      <c r="AU49" s="289"/>
      <c r="AV49" s="289"/>
      <c r="AW49" s="289"/>
      <c r="AX49" s="289"/>
      <c r="AY49" s="289"/>
    </row>
    <row r="50" spans="1:51" ht="13.5" customHeight="1">
      <c r="A50" s="289"/>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c r="AA50" s="289"/>
      <c r="AB50" s="289"/>
      <c r="AC50" s="289"/>
      <c r="AD50" s="340"/>
      <c r="AE50" s="340"/>
      <c r="AF50" s="289"/>
      <c r="AG50" s="289"/>
      <c r="AH50" s="289"/>
      <c r="AI50" s="289"/>
      <c r="AJ50" s="289"/>
      <c r="AK50" s="289"/>
      <c r="AL50" s="289"/>
      <c r="AM50" s="289"/>
      <c r="AN50" s="289"/>
      <c r="AO50" s="289"/>
      <c r="AP50" s="289"/>
      <c r="AQ50" s="289"/>
      <c r="AR50" s="289"/>
      <c r="AS50" s="289"/>
      <c r="AT50" s="289"/>
      <c r="AU50" s="289"/>
      <c r="AV50" s="289"/>
      <c r="AW50" s="289"/>
      <c r="AX50" s="289"/>
      <c r="AY50" s="289"/>
    </row>
    <row r="51" spans="1:51" ht="15" customHeight="1">
      <c r="A51" s="289"/>
      <c r="B51" s="431" t="s">
        <v>181</v>
      </c>
      <c r="C51" s="458"/>
      <c r="D51" s="458"/>
      <c r="E51" s="458"/>
      <c r="F51" s="458"/>
      <c r="G51" s="458"/>
      <c r="H51" s="458"/>
      <c r="I51" s="458"/>
      <c r="J51" s="458"/>
      <c r="K51" s="458"/>
      <c r="L51" s="458"/>
      <c r="M51" s="458"/>
      <c r="N51" s="458"/>
      <c r="O51" s="458"/>
      <c r="P51" s="458"/>
      <c r="Q51" s="458"/>
      <c r="R51" s="458"/>
      <c r="S51" s="458"/>
      <c r="T51" s="458"/>
      <c r="U51" s="458"/>
      <c r="V51" s="458"/>
      <c r="W51" s="289"/>
      <c r="X51" s="289"/>
      <c r="AD51" s="341"/>
      <c r="AE51" s="341"/>
    </row>
    <row r="52" spans="1:51" ht="13.5" customHeight="1">
      <c r="A52" s="289"/>
      <c r="B52" s="317"/>
      <c r="C52" s="318" t="s">
        <v>119</v>
      </c>
      <c r="D52" s="318" t="s">
        <v>123</v>
      </c>
      <c r="E52" s="318" t="s">
        <v>127</v>
      </c>
      <c r="F52" s="318" t="s">
        <v>131</v>
      </c>
      <c r="G52" s="318" t="s">
        <v>136</v>
      </c>
      <c r="H52" s="318" t="s">
        <v>138</v>
      </c>
      <c r="I52" s="318" t="s">
        <v>140</v>
      </c>
      <c r="J52" s="318" t="s">
        <v>146</v>
      </c>
      <c r="K52" s="318" t="s">
        <v>149</v>
      </c>
      <c r="L52" s="318" t="s">
        <v>151</v>
      </c>
      <c r="M52" s="318" t="s">
        <v>153</v>
      </c>
      <c r="N52" s="318" t="s">
        <v>155</v>
      </c>
      <c r="O52" s="318" t="s">
        <v>182</v>
      </c>
      <c r="P52" s="318" t="s">
        <v>183</v>
      </c>
      <c r="Q52" s="318" t="s">
        <v>184</v>
      </c>
      <c r="R52" s="318" t="s">
        <v>185</v>
      </c>
      <c r="S52" s="318" t="s">
        <v>186</v>
      </c>
      <c r="T52" s="318" t="s">
        <v>187</v>
      </c>
      <c r="U52" s="318" t="s">
        <v>188</v>
      </c>
      <c r="V52" s="318" t="s">
        <v>189</v>
      </c>
      <c r="W52" s="289"/>
      <c r="X52" s="289"/>
      <c r="AD52" s="341"/>
      <c r="AE52" s="341"/>
    </row>
    <row r="53" spans="1:51" ht="13.5" customHeight="1">
      <c r="A53" s="289"/>
      <c r="B53" s="331" t="s">
        <v>190</v>
      </c>
      <c r="C53" s="336">
        <f>'5. Reference Rate Template'!C56-'3. Repayment Calc Template'!C56</f>
        <v>0</v>
      </c>
      <c r="D53" s="336">
        <f>'5. Reference Rate Template'!D56-'3. Repayment Calc Template'!D56</f>
        <v>0</v>
      </c>
      <c r="E53" s="336">
        <f>'5. Reference Rate Template'!E56-'3. Repayment Calc Template'!E56</f>
        <v>0</v>
      </c>
      <c r="F53" s="336">
        <f>'5. Reference Rate Template'!F56-'3. Repayment Calc Template'!F56</f>
        <v>0</v>
      </c>
      <c r="G53" s="336">
        <f>'5. Reference Rate Template'!G56-'3. Repayment Calc Template'!G56</f>
        <v>0</v>
      </c>
      <c r="H53" s="336">
        <f>'5. Reference Rate Template'!H56-'3. Repayment Calc Template'!H56</f>
        <v>0</v>
      </c>
      <c r="I53" s="336">
        <f>'5. Reference Rate Template'!I56-'3. Repayment Calc Template'!I56</f>
        <v>0</v>
      </c>
      <c r="J53" s="336">
        <f>'5. Reference Rate Template'!J56-'3. Repayment Calc Template'!J56</f>
        <v>0</v>
      </c>
      <c r="K53" s="336">
        <f>'5. Reference Rate Template'!K56-'3. Repayment Calc Template'!K56</f>
        <v>0</v>
      </c>
      <c r="L53" s="336">
        <f>'5. Reference Rate Template'!L56-'3. Repayment Calc Template'!L56</f>
        <v>0</v>
      </c>
      <c r="M53" s="336">
        <f>'5. Reference Rate Template'!M56-'3. Repayment Calc Template'!M56</f>
        <v>0</v>
      </c>
      <c r="N53" s="336">
        <f>'5. Reference Rate Template'!N56-'3. Repayment Calc Template'!N56</f>
        <v>0</v>
      </c>
      <c r="O53" s="336">
        <f>'5. Reference Rate Template'!O56-'3. Repayment Calc Template'!O56</f>
        <v>0</v>
      </c>
      <c r="P53" s="336">
        <f>'5. Reference Rate Template'!P56-'3. Repayment Calc Template'!P56</f>
        <v>0</v>
      </c>
      <c r="Q53" s="336">
        <f>'5. Reference Rate Template'!Q56-'3. Repayment Calc Template'!Q56</f>
        <v>0</v>
      </c>
      <c r="R53" s="336">
        <f>'5. Reference Rate Template'!R56-'3. Repayment Calc Template'!R56</f>
        <v>0</v>
      </c>
      <c r="S53" s="336">
        <f>'5. Reference Rate Template'!S56-'3. Repayment Calc Template'!S56</f>
        <v>0</v>
      </c>
      <c r="T53" s="336">
        <f>'5. Reference Rate Template'!T56-'3. Repayment Calc Template'!T56</f>
        <v>0</v>
      </c>
      <c r="U53" s="336">
        <f>'5. Reference Rate Template'!U56-'3. Repayment Calc Template'!U56</f>
        <v>0</v>
      </c>
      <c r="V53" s="336">
        <f>'5. Reference Rate Template'!V56-'3. Repayment Calc Template'!V56</f>
        <v>0</v>
      </c>
      <c r="W53" s="289"/>
      <c r="X53" s="289"/>
      <c r="AD53" s="341"/>
      <c r="AE53" s="341"/>
    </row>
    <row r="54" spans="1:51" ht="13.5" customHeight="1">
      <c r="A54" s="289"/>
      <c r="B54" s="331" t="s">
        <v>128</v>
      </c>
      <c r="C54" s="336">
        <f>'5. Reference Rate Template'!C57-'3. Repayment Calc Template'!C57</f>
        <v>0</v>
      </c>
      <c r="D54" s="336">
        <f>'5. Reference Rate Template'!D57-'3. Repayment Calc Template'!D57</f>
        <v>0</v>
      </c>
      <c r="E54" s="336">
        <f>'5. Reference Rate Template'!E57-'3. Repayment Calc Template'!E57</f>
        <v>0</v>
      </c>
      <c r="F54" s="336">
        <f>'5. Reference Rate Template'!F57-'3. Repayment Calc Template'!F57</f>
        <v>0</v>
      </c>
      <c r="G54" s="336">
        <f>'5. Reference Rate Template'!G57-'3. Repayment Calc Template'!G57</f>
        <v>0</v>
      </c>
      <c r="H54" s="336">
        <f>'5. Reference Rate Template'!H57-'3. Repayment Calc Template'!H57</f>
        <v>0</v>
      </c>
      <c r="I54" s="336">
        <f>'5. Reference Rate Template'!I57-'3. Repayment Calc Template'!I57</f>
        <v>0</v>
      </c>
      <c r="J54" s="336">
        <f>'5. Reference Rate Template'!J57-'3. Repayment Calc Template'!J57</f>
        <v>0</v>
      </c>
      <c r="K54" s="336">
        <f>'5. Reference Rate Template'!K57-'3. Repayment Calc Template'!K57</f>
        <v>0</v>
      </c>
      <c r="L54" s="336">
        <f>'5. Reference Rate Template'!L57-'3. Repayment Calc Template'!L57</f>
        <v>0</v>
      </c>
      <c r="M54" s="336">
        <f>'5. Reference Rate Template'!M57-'3. Repayment Calc Template'!M57</f>
        <v>0</v>
      </c>
      <c r="N54" s="336">
        <f>'5. Reference Rate Template'!N57-'3. Repayment Calc Template'!N57</f>
        <v>0</v>
      </c>
      <c r="O54" s="336">
        <f>'5. Reference Rate Template'!O57-'3. Repayment Calc Template'!O57</f>
        <v>0</v>
      </c>
      <c r="P54" s="336">
        <f>'5. Reference Rate Template'!P57-'3. Repayment Calc Template'!P57</f>
        <v>0</v>
      </c>
      <c r="Q54" s="336">
        <f>'5. Reference Rate Template'!Q57-'3. Repayment Calc Template'!Q57</f>
        <v>0</v>
      </c>
      <c r="R54" s="336">
        <f>'5. Reference Rate Template'!R57-'3. Repayment Calc Template'!R57</f>
        <v>0</v>
      </c>
      <c r="S54" s="336">
        <f>'5. Reference Rate Template'!S57-'3. Repayment Calc Template'!S57</f>
        <v>0</v>
      </c>
      <c r="T54" s="336">
        <f>'5. Reference Rate Template'!T57-'3. Repayment Calc Template'!T57</f>
        <v>0</v>
      </c>
      <c r="U54" s="336">
        <f>'5. Reference Rate Template'!U57-'3. Repayment Calc Template'!U57</f>
        <v>0</v>
      </c>
      <c r="V54" s="336">
        <f>'5. Reference Rate Template'!V57-'3. Repayment Calc Template'!V57</f>
        <v>0</v>
      </c>
      <c r="W54" s="289"/>
      <c r="X54" s="289"/>
      <c r="AD54" s="341"/>
      <c r="AE54" s="341"/>
    </row>
    <row r="55" spans="1:51" ht="13.5" customHeight="1">
      <c r="A55" s="319"/>
      <c r="B55" s="314" t="s">
        <v>115</v>
      </c>
      <c r="C55" s="336">
        <f>'5. Reference Rate Template'!C58-'3. Repayment Calc Template'!C58</f>
        <v>0</v>
      </c>
      <c r="D55" s="336">
        <f>'5. Reference Rate Template'!D58-'3. Repayment Calc Template'!D58</f>
        <v>0</v>
      </c>
      <c r="E55" s="336">
        <f>'5. Reference Rate Template'!E58-'3. Repayment Calc Template'!E58</f>
        <v>0</v>
      </c>
      <c r="F55" s="336">
        <f>'5. Reference Rate Template'!F58-'3. Repayment Calc Template'!F58</f>
        <v>0</v>
      </c>
      <c r="G55" s="336">
        <f>'5. Reference Rate Template'!G58-'3. Repayment Calc Template'!G58</f>
        <v>0</v>
      </c>
      <c r="H55" s="336">
        <f>'5. Reference Rate Template'!H58-'3. Repayment Calc Template'!H58</f>
        <v>0</v>
      </c>
      <c r="I55" s="336">
        <f>'5. Reference Rate Template'!I58-'3. Repayment Calc Template'!I58</f>
        <v>0</v>
      </c>
      <c r="J55" s="336">
        <f>'5. Reference Rate Template'!J58-'3. Repayment Calc Template'!J58</f>
        <v>0</v>
      </c>
      <c r="K55" s="336">
        <f>'5. Reference Rate Template'!K58-'3. Repayment Calc Template'!K58</f>
        <v>0</v>
      </c>
      <c r="L55" s="336">
        <f>'5. Reference Rate Template'!L58-'3. Repayment Calc Template'!L58</f>
        <v>0</v>
      </c>
      <c r="M55" s="336">
        <f>'5. Reference Rate Template'!M58-'3. Repayment Calc Template'!M58</f>
        <v>0</v>
      </c>
      <c r="N55" s="336">
        <f>'5. Reference Rate Template'!N58-'3. Repayment Calc Template'!N58</f>
        <v>0</v>
      </c>
      <c r="O55" s="336">
        <f>'5. Reference Rate Template'!O58-'3. Repayment Calc Template'!O58</f>
        <v>0</v>
      </c>
      <c r="P55" s="336">
        <f>'5. Reference Rate Template'!P58-'3. Repayment Calc Template'!P58</f>
        <v>0</v>
      </c>
      <c r="Q55" s="336">
        <f>'5. Reference Rate Template'!Q58-'3. Repayment Calc Template'!Q58</f>
        <v>0</v>
      </c>
      <c r="R55" s="336">
        <f>'5. Reference Rate Template'!R58-'3. Repayment Calc Template'!R58</f>
        <v>0</v>
      </c>
      <c r="S55" s="336">
        <f>'5. Reference Rate Template'!S58-'3. Repayment Calc Template'!S58</f>
        <v>0</v>
      </c>
      <c r="T55" s="336">
        <f>'5. Reference Rate Template'!T58-'3. Repayment Calc Template'!T58</f>
        <v>0</v>
      </c>
      <c r="U55" s="336">
        <f>'5. Reference Rate Template'!U58-'3. Repayment Calc Template'!U58</f>
        <v>0</v>
      </c>
      <c r="V55" s="336">
        <f>'5. Reference Rate Template'!V58-'3. Repayment Calc Template'!V58</f>
        <v>0</v>
      </c>
      <c r="W55" s="319"/>
      <c r="X55" s="319"/>
      <c r="Y55" s="320"/>
      <c r="Z55" s="320"/>
      <c r="AA55" s="320"/>
      <c r="AB55" s="320"/>
      <c r="AC55" s="320"/>
      <c r="AD55" s="339"/>
      <c r="AE55" s="339"/>
      <c r="AF55" s="320"/>
      <c r="AG55" s="320"/>
      <c r="AH55" s="320"/>
      <c r="AI55" s="320"/>
      <c r="AJ55" s="320"/>
      <c r="AK55" s="320"/>
      <c r="AL55" s="320"/>
      <c r="AM55" s="320"/>
      <c r="AN55" s="320"/>
      <c r="AO55" s="320"/>
      <c r="AP55" s="320"/>
      <c r="AQ55" s="320"/>
      <c r="AR55" s="320"/>
      <c r="AS55" s="320"/>
      <c r="AT55" s="320"/>
      <c r="AU55" s="320"/>
      <c r="AV55" s="320"/>
      <c r="AW55" s="320"/>
      <c r="AX55" s="320"/>
      <c r="AY55" s="320"/>
    </row>
    <row r="56" spans="1:51" ht="13.5" customHeight="1" thickBot="1">
      <c r="A56" s="289"/>
      <c r="B56" s="330" t="s">
        <v>178</v>
      </c>
      <c r="C56" s="338">
        <f>SUM(C53:C55)</f>
        <v>0</v>
      </c>
      <c r="D56" s="338">
        <f t="shared" ref="D56:R56" si="6">SUM(D53:D55)</f>
        <v>0</v>
      </c>
      <c r="E56" s="338">
        <f t="shared" si="6"/>
        <v>0</v>
      </c>
      <c r="F56" s="338">
        <f t="shared" si="6"/>
        <v>0</v>
      </c>
      <c r="G56" s="338">
        <f t="shared" si="6"/>
        <v>0</v>
      </c>
      <c r="H56" s="338">
        <f t="shared" si="6"/>
        <v>0</v>
      </c>
      <c r="I56" s="338">
        <f t="shared" si="6"/>
        <v>0</v>
      </c>
      <c r="J56" s="338">
        <f t="shared" si="6"/>
        <v>0</v>
      </c>
      <c r="K56" s="338">
        <f t="shared" si="6"/>
        <v>0</v>
      </c>
      <c r="L56" s="338">
        <f t="shared" si="6"/>
        <v>0</v>
      </c>
      <c r="M56" s="338">
        <f t="shared" si="6"/>
        <v>0</v>
      </c>
      <c r="N56" s="338">
        <f t="shared" si="6"/>
        <v>0</v>
      </c>
      <c r="O56" s="338">
        <f t="shared" si="6"/>
        <v>0</v>
      </c>
      <c r="P56" s="338">
        <f t="shared" si="6"/>
        <v>0</v>
      </c>
      <c r="Q56" s="338">
        <f t="shared" si="6"/>
        <v>0</v>
      </c>
      <c r="R56" s="338">
        <f t="shared" si="6"/>
        <v>0</v>
      </c>
      <c r="S56" s="338">
        <f t="shared" ref="S56:V56" si="7">SUM(S53:S54)</f>
        <v>0</v>
      </c>
      <c r="T56" s="338">
        <f t="shared" si="7"/>
        <v>0</v>
      </c>
      <c r="U56" s="338">
        <f t="shared" si="7"/>
        <v>0</v>
      </c>
      <c r="V56" s="338">
        <f t="shared" si="7"/>
        <v>0</v>
      </c>
      <c r="W56" s="289"/>
      <c r="X56" s="289"/>
      <c r="AD56" s="341"/>
      <c r="AE56" s="341"/>
    </row>
    <row r="57" spans="1:51" ht="13.5" customHeight="1" thickTop="1">
      <c r="A57" s="289"/>
      <c r="B57" s="326"/>
      <c r="C57" s="326"/>
      <c r="D57" s="326"/>
      <c r="E57" s="326"/>
      <c r="F57" s="326"/>
      <c r="G57" s="326"/>
      <c r="H57" s="326"/>
      <c r="I57" s="326"/>
      <c r="J57" s="326"/>
      <c r="K57" s="326"/>
      <c r="L57" s="326"/>
      <c r="M57" s="326"/>
      <c r="N57" s="326"/>
      <c r="O57" s="326"/>
      <c r="P57" s="326"/>
      <c r="Q57" s="326"/>
      <c r="R57" s="326"/>
      <c r="S57" s="326"/>
      <c r="T57" s="326"/>
      <c r="U57" s="326"/>
      <c r="V57" s="326"/>
      <c r="W57" s="289"/>
      <c r="X57" s="289"/>
      <c r="Y57" s="289"/>
      <c r="Z57" s="289"/>
      <c r="AA57" s="289"/>
      <c r="AB57" s="289"/>
      <c r="AC57" s="289"/>
      <c r="AD57" s="340"/>
      <c r="AE57" s="340"/>
      <c r="AF57" s="289"/>
      <c r="AG57" s="289"/>
      <c r="AH57" s="289"/>
      <c r="AI57" s="289"/>
      <c r="AJ57" s="289"/>
      <c r="AK57" s="289"/>
      <c r="AL57" s="289"/>
      <c r="AM57" s="289"/>
      <c r="AN57" s="289"/>
      <c r="AO57" s="289"/>
      <c r="AP57" s="289"/>
      <c r="AQ57" s="289"/>
      <c r="AR57" s="289"/>
      <c r="AS57" s="289"/>
      <c r="AT57" s="289"/>
      <c r="AU57" s="289"/>
      <c r="AV57" s="289"/>
      <c r="AW57" s="289"/>
      <c r="AX57" s="289"/>
      <c r="AY57" s="289"/>
    </row>
    <row r="58" spans="1:51" ht="13.5" customHeight="1">
      <c r="A58" s="289"/>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c r="AA58" s="289"/>
      <c r="AB58" s="289"/>
      <c r="AC58" s="289"/>
      <c r="AD58" s="289"/>
      <c r="AE58" s="289"/>
      <c r="AF58" s="289"/>
      <c r="AG58" s="289"/>
      <c r="AH58" s="289"/>
      <c r="AI58" s="289"/>
      <c r="AJ58" s="289"/>
      <c r="AK58" s="289"/>
      <c r="AL58" s="289"/>
      <c r="AM58" s="289"/>
      <c r="AN58" s="289"/>
      <c r="AO58" s="289"/>
      <c r="AP58" s="289"/>
      <c r="AQ58" s="289"/>
      <c r="AR58" s="289"/>
      <c r="AS58" s="289"/>
      <c r="AT58" s="289"/>
      <c r="AU58" s="289"/>
      <c r="AV58" s="289"/>
      <c r="AW58" s="289"/>
      <c r="AX58" s="289"/>
      <c r="AY58" s="289"/>
    </row>
    <row r="59" spans="1:51" ht="13.5" customHeight="1">
      <c r="A59" s="289"/>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289"/>
      <c r="AX59" s="289"/>
      <c r="AY59" s="289"/>
    </row>
    <row r="60" spans="1:51" ht="13.5" customHeight="1">
      <c r="A60" s="289"/>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c r="AA60" s="289"/>
      <c r="AB60" s="289"/>
      <c r="AC60" s="289"/>
      <c r="AD60" s="289"/>
      <c r="AE60" s="289"/>
      <c r="AF60" s="289"/>
      <c r="AG60" s="289"/>
      <c r="AH60" s="289"/>
      <c r="AI60" s="289"/>
      <c r="AJ60" s="289"/>
      <c r="AK60" s="289"/>
      <c r="AL60" s="289"/>
      <c r="AM60" s="289"/>
      <c r="AN60" s="289"/>
      <c r="AO60" s="289"/>
      <c r="AP60" s="289"/>
      <c r="AQ60" s="289"/>
      <c r="AR60" s="289"/>
      <c r="AS60" s="289"/>
      <c r="AT60" s="289"/>
      <c r="AU60" s="289"/>
      <c r="AV60" s="289"/>
      <c r="AW60" s="289"/>
      <c r="AX60" s="289"/>
      <c r="AY60" s="289"/>
    </row>
    <row r="61" spans="1:51" ht="13.5" customHeight="1">
      <c r="A61" s="289"/>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c r="AA61" s="289"/>
      <c r="AB61" s="289"/>
      <c r="AC61" s="289"/>
      <c r="AD61" s="289"/>
      <c r="AE61" s="289"/>
      <c r="AF61" s="289"/>
      <c r="AG61" s="289"/>
      <c r="AH61" s="289"/>
      <c r="AI61" s="289"/>
      <c r="AJ61" s="289"/>
      <c r="AK61" s="289"/>
      <c r="AL61" s="289"/>
      <c r="AM61" s="289"/>
      <c r="AN61" s="289"/>
      <c r="AO61" s="289"/>
      <c r="AP61" s="289"/>
      <c r="AQ61" s="289"/>
      <c r="AR61" s="289"/>
      <c r="AS61" s="289"/>
      <c r="AT61" s="289"/>
      <c r="AU61" s="289"/>
      <c r="AV61" s="289"/>
      <c r="AW61" s="289"/>
      <c r="AX61" s="289"/>
      <c r="AY61" s="289"/>
    </row>
    <row r="62" spans="1:51" ht="13.5" customHeight="1">
      <c r="A62" s="289"/>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row>
    <row r="63" spans="1:51" ht="13.5" customHeight="1">
      <c r="A63" s="289"/>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c r="AA63" s="289"/>
      <c r="AB63" s="289"/>
      <c r="AC63" s="289"/>
      <c r="AD63" s="289"/>
      <c r="AE63" s="289"/>
      <c r="AF63" s="289"/>
      <c r="AG63" s="289"/>
      <c r="AH63" s="289"/>
      <c r="AI63" s="289"/>
      <c r="AJ63" s="289"/>
      <c r="AK63" s="289"/>
      <c r="AL63" s="289"/>
      <c r="AM63" s="289"/>
      <c r="AN63" s="289"/>
      <c r="AO63" s="289"/>
      <c r="AP63" s="289"/>
      <c r="AQ63" s="289"/>
      <c r="AR63" s="289"/>
      <c r="AS63" s="289"/>
      <c r="AT63" s="289"/>
      <c r="AU63" s="289"/>
      <c r="AV63" s="289"/>
      <c r="AW63" s="289"/>
      <c r="AX63" s="289"/>
      <c r="AY63" s="289"/>
    </row>
    <row r="64" spans="1:51" ht="13.5" customHeight="1">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c r="AA64" s="289"/>
      <c r="AB64" s="289"/>
      <c r="AC64" s="289"/>
      <c r="AD64" s="289"/>
      <c r="AE64" s="289"/>
      <c r="AF64" s="289"/>
      <c r="AG64" s="289"/>
      <c r="AH64" s="289"/>
      <c r="AI64" s="289"/>
      <c r="AJ64" s="289"/>
      <c r="AK64" s="289"/>
      <c r="AL64" s="289"/>
      <c r="AM64" s="289"/>
      <c r="AN64" s="289"/>
      <c r="AO64" s="289"/>
      <c r="AP64" s="289"/>
      <c r="AQ64" s="289"/>
      <c r="AR64" s="289"/>
      <c r="AS64" s="289"/>
      <c r="AT64" s="289"/>
      <c r="AU64" s="289"/>
      <c r="AV64" s="289"/>
      <c r="AW64" s="289"/>
      <c r="AX64" s="289"/>
      <c r="AY64" s="289"/>
    </row>
    <row r="65" spans="1:51" ht="13.5" customHeight="1">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row>
    <row r="66" spans="1:51" ht="13.5" customHeight="1">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c r="AA66" s="289"/>
      <c r="AB66" s="289"/>
      <c r="AC66" s="289"/>
      <c r="AD66" s="289"/>
      <c r="AE66" s="289"/>
      <c r="AF66" s="289"/>
      <c r="AG66" s="289"/>
      <c r="AH66" s="289"/>
      <c r="AI66" s="289"/>
      <c r="AJ66" s="289"/>
      <c r="AK66" s="289"/>
      <c r="AL66" s="289"/>
      <c r="AM66" s="289"/>
      <c r="AN66" s="289"/>
      <c r="AO66" s="289"/>
      <c r="AP66" s="289"/>
      <c r="AQ66" s="289"/>
      <c r="AR66" s="289"/>
      <c r="AS66" s="289"/>
      <c r="AT66" s="289"/>
      <c r="AU66" s="289"/>
      <c r="AV66" s="289"/>
      <c r="AW66" s="289"/>
      <c r="AX66" s="289"/>
      <c r="AY66" s="289"/>
    </row>
    <row r="67" spans="1:51" ht="13.5" customHeight="1">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c r="AA67" s="289"/>
      <c r="AB67" s="289"/>
      <c r="AC67" s="289"/>
      <c r="AD67" s="289"/>
      <c r="AE67" s="289"/>
      <c r="AF67" s="289"/>
      <c r="AG67" s="289"/>
      <c r="AH67" s="289"/>
      <c r="AI67" s="289"/>
      <c r="AJ67" s="289"/>
      <c r="AK67" s="289"/>
      <c r="AL67" s="289"/>
      <c r="AM67" s="289"/>
      <c r="AN67" s="289"/>
      <c r="AO67" s="289"/>
      <c r="AP67" s="289"/>
      <c r="AQ67" s="289"/>
      <c r="AR67" s="289"/>
      <c r="AS67" s="289"/>
      <c r="AT67" s="289"/>
      <c r="AU67" s="289"/>
      <c r="AV67" s="289"/>
      <c r="AW67" s="289"/>
      <c r="AX67" s="289"/>
      <c r="AY67" s="289"/>
    </row>
    <row r="68" spans="1:51" ht="13.5" customHeight="1">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c r="AA68" s="289"/>
      <c r="AB68" s="289"/>
      <c r="AC68" s="289"/>
      <c r="AD68" s="289"/>
      <c r="AE68" s="289"/>
      <c r="AF68" s="289"/>
      <c r="AG68" s="289"/>
      <c r="AH68" s="289"/>
      <c r="AI68" s="289"/>
      <c r="AJ68" s="289"/>
      <c r="AK68" s="289"/>
      <c r="AL68" s="289"/>
      <c r="AM68" s="289"/>
      <c r="AN68" s="289"/>
      <c r="AO68" s="289"/>
      <c r="AP68" s="289"/>
      <c r="AQ68" s="289"/>
      <c r="AR68" s="289"/>
      <c r="AS68" s="289"/>
      <c r="AT68" s="289"/>
      <c r="AU68" s="289"/>
      <c r="AV68" s="289"/>
      <c r="AW68" s="289"/>
      <c r="AX68" s="289"/>
      <c r="AY68" s="289"/>
    </row>
    <row r="69" spans="1:51" ht="13.5" customHeight="1">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row>
    <row r="70" spans="1:51" ht="13.5" customHeight="1">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row>
    <row r="71" spans="1:51" ht="13.5" customHeight="1">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c r="AA71" s="289"/>
      <c r="AB71" s="289"/>
      <c r="AC71" s="289"/>
      <c r="AD71" s="289"/>
      <c r="AE71" s="289"/>
      <c r="AF71" s="289"/>
      <c r="AG71" s="289"/>
      <c r="AH71" s="289"/>
      <c r="AI71" s="289"/>
      <c r="AJ71" s="289"/>
      <c r="AK71" s="289"/>
      <c r="AL71" s="289"/>
      <c r="AM71" s="289"/>
      <c r="AN71" s="289"/>
      <c r="AO71" s="289"/>
      <c r="AP71" s="289"/>
      <c r="AQ71" s="289"/>
      <c r="AR71" s="289"/>
      <c r="AS71" s="289"/>
      <c r="AT71" s="289"/>
      <c r="AU71" s="289"/>
      <c r="AV71" s="289"/>
      <c r="AW71" s="289"/>
      <c r="AX71" s="289"/>
      <c r="AY71" s="289"/>
    </row>
    <row r="72" spans="1:51" ht="13.5" customHeight="1">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c r="AA72" s="289"/>
      <c r="AB72" s="289"/>
      <c r="AC72" s="289"/>
      <c r="AD72" s="289"/>
      <c r="AE72" s="289"/>
      <c r="AF72" s="289"/>
      <c r="AG72" s="289"/>
      <c r="AH72" s="289"/>
      <c r="AI72" s="289"/>
      <c r="AJ72" s="289"/>
      <c r="AK72" s="289"/>
      <c r="AL72" s="289"/>
      <c r="AM72" s="289"/>
      <c r="AN72" s="289"/>
      <c r="AO72" s="289"/>
      <c r="AP72" s="289"/>
      <c r="AQ72" s="289"/>
      <c r="AR72" s="289"/>
      <c r="AS72" s="289"/>
      <c r="AT72" s="289"/>
      <c r="AU72" s="289"/>
      <c r="AV72" s="289"/>
      <c r="AW72" s="289"/>
      <c r="AX72" s="289"/>
      <c r="AY72" s="289"/>
    </row>
    <row r="73" spans="1:51" ht="13.5" customHeight="1">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89"/>
      <c r="AH73" s="289"/>
      <c r="AI73" s="289"/>
      <c r="AJ73" s="289"/>
      <c r="AK73" s="289"/>
      <c r="AL73" s="289"/>
      <c r="AM73" s="289"/>
      <c r="AN73" s="289"/>
      <c r="AO73" s="289"/>
      <c r="AP73" s="289"/>
      <c r="AQ73" s="289"/>
      <c r="AR73" s="289"/>
      <c r="AS73" s="289"/>
      <c r="AT73" s="289"/>
      <c r="AU73" s="289"/>
      <c r="AV73" s="289"/>
      <c r="AW73" s="289"/>
      <c r="AX73" s="289"/>
      <c r="AY73" s="289"/>
    </row>
    <row r="74" spans="1:51" ht="13.5" customHeight="1">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289"/>
      <c r="AN74" s="289"/>
      <c r="AO74" s="289"/>
      <c r="AP74" s="289"/>
      <c r="AQ74" s="289"/>
      <c r="AR74" s="289"/>
      <c r="AS74" s="289"/>
      <c r="AT74" s="289"/>
      <c r="AU74" s="289"/>
      <c r="AV74" s="289"/>
      <c r="AW74" s="289"/>
      <c r="AX74" s="289"/>
      <c r="AY74" s="289"/>
    </row>
    <row r="75" spans="1:51" ht="13.5" customHeight="1">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c r="AA75" s="289"/>
      <c r="AB75" s="289"/>
      <c r="AC75" s="289"/>
      <c r="AD75" s="289"/>
      <c r="AE75" s="289"/>
      <c r="AF75" s="289"/>
      <c r="AG75" s="289"/>
      <c r="AH75" s="289"/>
      <c r="AI75" s="289"/>
      <c r="AJ75" s="289"/>
      <c r="AK75" s="289"/>
      <c r="AL75" s="289"/>
      <c r="AM75" s="289"/>
      <c r="AN75" s="289"/>
      <c r="AO75" s="289"/>
      <c r="AP75" s="289"/>
      <c r="AQ75" s="289"/>
      <c r="AR75" s="289"/>
      <c r="AS75" s="289"/>
      <c r="AT75" s="289"/>
      <c r="AU75" s="289"/>
      <c r="AV75" s="289"/>
      <c r="AW75" s="289"/>
      <c r="AX75" s="289"/>
      <c r="AY75" s="289"/>
    </row>
    <row r="76" spans="1:51" ht="13.5" customHeight="1">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c r="AA76" s="289"/>
      <c r="AB76" s="289"/>
      <c r="AC76" s="289"/>
      <c r="AD76" s="289"/>
      <c r="AE76" s="289"/>
      <c r="AF76" s="289"/>
      <c r="AG76" s="289"/>
      <c r="AH76" s="289"/>
      <c r="AI76" s="289"/>
      <c r="AJ76" s="289"/>
      <c r="AK76" s="289"/>
      <c r="AL76" s="289"/>
      <c r="AM76" s="289"/>
      <c r="AN76" s="289"/>
      <c r="AO76" s="289"/>
      <c r="AP76" s="289"/>
      <c r="AQ76" s="289"/>
      <c r="AR76" s="289"/>
      <c r="AS76" s="289"/>
      <c r="AT76" s="289"/>
      <c r="AU76" s="289"/>
      <c r="AV76" s="289"/>
      <c r="AW76" s="289"/>
      <c r="AX76" s="289"/>
      <c r="AY76" s="289"/>
    </row>
    <row r="77" spans="1:51" ht="13.5" customHeight="1">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c r="AB77" s="289"/>
      <c r="AC77" s="289"/>
      <c r="AD77" s="289"/>
      <c r="AE77" s="289"/>
      <c r="AF77" s="289"/>
      <c r="AG77" s="289"/>
      <c r="AH77" s="289"/>
      <c r="AI77" s="289"/>
      <c r="AJ77" s="289"/>
      <c r="AK77" s="289"/>
      <c r="AL77" s="289"/>
      <c r="AM77" s="289"/>
      <c r="AN77" s="289"/>
      <c r="AO77" s="289"/>
      <c r="AP77" s="289"/>
      <c r="AQ77" s="289"/>
      <c r="AR77" s="289"/>
      <c r="AS77" s="289"/>
      <c r="AT77" s="289"/>
      <c r="AU77" s="289"/>
      <c r="AV77" s="289"/>
      <c r="AW77" s="289"/>
      <c r="AX77" s="289"/>
      <c r="AY77" s="289"/>
    </row>
    <row r="78" spans="1:51" ht="13.5" customHeight="1">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c r="AA78" s="289"/>
      <c r="AB78" s="289"/>
      <c r="AC78" s="289"/>
      <c r="AD78" s="289"/>
      <c r="AE78" s="289"/>
      <c r="AF78" s="289"/>
      <c r="AG78" s="289"/>
      <c r="AH78" s="289"/>
      <c r="AI78" s="289"/>
      <c r="AJ78" s="289"/>
      <c r="AK78" s="289"/>
      <c r="AL78" s="289"/>
      <c r="AM78" s="289"/>
      <c r="AN78" s="289"/>
      <c r="AO78" s="289"/>
      <c r="AP78" s="289"/>
      <c r="AQ78" s="289"/>
      <c r="AR78" s="289"/>
      <c r="AS78" s="289"/>
      <c r="AT78" s="289"/>
      <c r="AU78" s="289"/>
      <c r="AV78" s="289"/>
      <c r="AW78" s="289"/>
      <c r="AX78" s="289"/>
      <c r="AY78" s="289"/>
    </row>
    <row r="79" spans="1:51" ht="13.5" customHeight="1">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c r="AA79" s="289"/>
      <c r="AB79" s="289"/>
      <c r="AC79" s="289"/>
      <c r="AD79" s="289"/>
      <c r="AE79" s="289"/>
      <c r="AF79" s="289"/>
      <c r="AG79" s="289"/>
      <c r="AH79" s="289"/>
      <c r="AI79" s="289"/>
      <c r="AJ79" s="289"/>
      <c r="AK79" s="289"/>
      <c r="AL79" s="289"/>
      <c r="AM79" s="289"/>
      <c r="AN79" s="289"/>
      <c r="AO79" s="289"/>
      <c r="AP79" s="289"/>
      <c r="AQ79" s="289"/>
      <c r="AR79" s="289"/>
      <c r="AS79" s="289"/>
      <c r="AT79" s="289"/>
      <c r="AU79" s="289"/>
      <c r="AV79" s="289"/>
      <c r="AW79" s="289"/>
      <c r="AX79" s="289"/>
      <c r="AY79" s="289"/>
    </row>
    <row r="80" spans="1:51" ht="13.5" customHeight="1">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c r="AA80" s="289"/>
      <c r="AB80" s="289"/>
      <c r="AC80" s="289"/>
      <c r="AD80" s="289"/>
      <c r="AE80" s="289"/>
      <c r="AF80" s="289"/>
      <c r="AG80" s="289"/>
      <c r="AH80" s="289"/>
      <c r="AI80" s="289"/>
      <c r="AJ80" s="289"/>
      <c r="AK80" s="289"/>
      <c r="AL80" s="289"/>
      <c r="AM80" s="289"/>
      <c r="AN80" s="289"/>
      <c r="AO80" s="289"/>
      <c r="AP80" s="289"/>
      <c r="AQ80" s="289"/>
      <c r="AR80" s="289"/>
      <c r="AS80" s="289"/>
      <c r="AT80" s="289"/>
      <c r="AU80" s="289"/>
      <c r="AV80" s="289"/>
      <c r="AW80" s="289"/>
      <c r="AX80" s="289"/>
      <c r="AY80" s="289"/>
    </row>
    <row r="81" spans="1:51" ht="13.5" customHeight="1">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c r="AA81" s="289"/>
      <c r="AB81" s="289"/>
      <c r="AC81" s="289"/>
      <c r="AD81" s="289"/>
      <c r="AE81" s="289"/>
      <c r="AF81" s="289"/>
      <c r="AG81" s="289"/>
      <c r="AH81" s="289"/>
      <c r="AI81" s="289"/>
      <c r="AJ81" s="289"/>
      <c r="AK81" s="289"/>
      <c r="AL81" s="289"/>
      <c r="AM81" s="289"/>
      <c r="AN81" s="289"/>
      <c r="AO81" s="289"/>
      <c r="AP81" s="289"/>
      <c r="AQ81" s="289"/>
      <c r="AR81" s="289"/>
      <c r="AS81" s="289"/>
      <c r="AT81" s="289"/>
      <c r="AU81" s="289"/>
      <c r="AV81" s="289"/>
      <c r="AW81" s="289"/>
      <c r="AX81" s="289"/>
      <c r="AY81" s="289"/>
    </row>
    <row r="82" spans="1:51" ht="13.5" customHeight="1">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c r="AA82" s="289"/>
      <c r="AB82" s="289"/>
      <c r="AC82" s="289"/>
      <c r="AD82" s="289"/>
      <c r="AE82" s="289"/>
      <c r="AF82" s="289"/>
      <c r="AG82" s="289"/>
      <c r="AH82" s="289"/>
      <c r="AI82" s="289"/>
      <c r="AJ82" s="289"/>
      <c r="AK82" s="289"/>
      <c r="AL82" s="289"/>
      <c r="AM82" s="289"/>
      <c r="AN82" s="289"/>
      <c r="AO82" s="289"/>
      <c r="AP82" s="289"/>
      <c r="AQ82" s="289"/>
      <c r="AR82" s="289"/>
      <c r="AS82" s="289"/>
      <c r="AT82" s="289"/>
      <c r="AU82" s="289"/>
      <c r="AV82" s="289"/>
      <c r="AW82" s="289"/>
      <c r="AX82" s="289"/>
      <c r="AY82" s="289"/>
    </row>
    <row r="83" spans="1:51" ht="13.5" customHeight="1">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row>
    <row r="84" spans="1:51" ht="13.5" customHeight="1">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c r="AB84" s="289"/>
      <c r="AC84" s="289"/>
      <c r="AD84" s="289"/>
      <c r="AE84" s="289"/>
      <c r="AF84" s="289"/>
      <c r="AG84" s="289"/>
      <c r="AH84" s="289"/>
      <c r="AI84" s="289"/>
      <c r="AJ84" s="289"/>
      <c r="AK84" s="289"/>
      <c r="AL84" s="289"/>
      <c r="AM84" s="289"/>
      <c r="AN84" s="289"/>
      <c r="AO84" s="289"/>
      <c r="AP84" s="289"/>
      <c r="AQ84" s="289"/>
      <c r="AR84" s="289"/>
      <c r="AS84" s="289"/>
      <c r="AT84" s="289"/>
      <c r="AU84" s="289"/>
      <c r="AV84" s="289"/>
      <c r="AW84" s="289"/>
      <c r="AX84" s="289"/>
      <c r="AY84" s="289"/>
    </row>
    <row r="85" spans="1:51" ht="13.5" customHeight="1">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c r="AA85" s="289"/>
      <c r="AB85" s="289"/>
      <c r="AC85" s="289"/>
      <c r="AD85" s="289"/>
      <c r="AE85" s="289"/>
      <c r="AF85" s="289"/>
      <c r="AG85" s="289"/>
      <c r="AH85" s="289"/>
      <c r="AI85" s="289"/>
      <c r="AJ85" s="289"/>
      <c r="AK85" s="289"/>
      <c r="AL85" s="289"/>
      <c r="AM85" s="289"/>
      <c r="AN85" s="289"/>
      <c r="AO85" s="289"/>
      <c r="AP85" s="289"/>
      <c r="AQ85" s="289"/>
      <c r="AR85" s="289"/>
      <c r="AS85" s="289"/>
      <c r="AT85" s="289"/>
      <c r="AU85" s="289"/>
      <c r="AV85" s="289"/>
      <c r="AW85" s="289"/>
      <c r="AX85" s="289"/>
      <c r="AY85" s="289"/>
    </row>
    <row r="86" spans="1:51" ht="13.5" customHeight="1">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289"/>
      <c r="AX86" s="289"/>
      <c r="AY86" s="289"/>
    </row>
    <row r="87" spans="1:51" ht="13.5" customHeight="1">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c r="AA87" s="289"/>
      <c r="AB87" s="289"/>
      <c r="AC87" s="289"/>
      <c r="AD87" s="289"/>
      <c r="AE87" s="289"/>
      <c r="AF87" s="289"/>
      <c r="AG87" s="289"/>
      <c r="AH87" s="289"/>
      <c r="AI87" s="289"/>
      <c r="AJ87" s="289"/>
      <c r="AK87" s="289"/>
      <c r="AL87" s="289"/>
      <c r="AM87" s="289"/>
      <c r="AN87" s="289"/>
      <c r="AO87" s="289"/>
      <c r="AP87" s="289"/>
      <c r="AQ87" s="289"/>
      <c r="AR87" s="289"/>
      <c r="AS87" s="289"/>
      <c r="AT87" s="289"/>
      <c r="AU87" s="289"/>
      <c r="AV87" s="289"/>
      <c r="AW87" s="289"/>
      <c r="AX87" s="289"/>
      <c r="AY87" s="289"/>
    </row>
    <row r="88" spans="1:51" ht="13.5" customHeight="1">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c r="AA88" s="289"/>
      <c r="AB88" s="289"/>
      <c r="AC88" s="289"/>
      <c r="AD88" s="289"/>
      <c r="AE88" s="289"/>
      <c r="AF88" s="289"/>
      <c r="AG88" s="289"/>
      <c r="AH88" s="289"/>
      <c r="AI88" s="289"/>
      <c r="AJ88" s="289"/>
      <c r="AK88" s="289"/>
      <c r="AL88" s="289"/>
      <c r="AM88" s="289"/>
      <c r="AN88" s="289"/>
      <c r="AO88" s="289"/>
      <c r="AP88" s="289"/>
      <c r="AQ88" s="289"/>
      <c r="AR88" s="289"/>
      <c r="AS88" s="289"/>
      <c r="AT88" s="289"/>
      <c r="AU88" s="289"/>
      <c r="AV88" s="289"/>
      <c r="AW88" s="289"/>
      <c r="AX88" s="289"/>
      <c r="AY88" s="289"/>
    </row>
    <row r="89" spans="1:51" ht="13.5" customHeight="1">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289"/>
      <c r="AC89" s="289"/>
      <c r="AD89" s="289"/>
      <c r="AE89" s="289"/>
      <c r="AF89" s="289"/>
      <c r="AG89" s="289"/>
      <c r="AH89" s="289"/>
      <c r="AI89" s="289"/>
      <c r="AJ89" s="289"/>
      <c r="AK89" s="289"/>
      <c r="AL89" s="289"/>
      <c r="AM89" s="289"/>
      <c r="AN89" s="289"/>
      <c r="AO89" s="289"/>
      <c r="AP89" s="289"/>
      <c r="AQ89" s="289"/>
      <c r="AR89" s="289"/>
      <c r="AS89" s="289"/>
      <c r="AT89" s="289"/>
      <c r="AU89" s="289"/>
      <c r="AV89" s="289"/>
      <c r="AW89" s="289"/>
      <c r="AX89" s="289"/>
      <c r="AY89" s="289"/>
    </row>
    <row r="90" spans="1:51" ht="13.5" customHeight="1">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289"/>
      <c r="AC90" s="289"/>
      <c r="AD90" s="289"/>
      <c r="AE90" s="289"/>
      <c r="AF90" s="289"/>
      <c r="AG90" s="289"/>
      <c r="AH90" s="289"/>
      <c r="AI90" s="289"/>
      <c r="AJ90" s="289"/>
      <c r="AK90" s="289"/>
      <c r="AL90" s="289"/>
      <c r="AM90" s="289"/>
      <c r="AN90" s="289"/>
      <c r="AO90" s="289"/>
      <c r="AP90" s="289"/>
      <c r="AQ90" s="289"/>
      <c r="AR90" s="289"/>
      <c r="AS90" s="289"/>
      <c r="AT90" s="289"/>
      <c r="AU90" s="289"/>
      <c r="AV90" s="289"/>
      <c r="AW90" s="289"/>
      <c r="AX90" s="289"/>
      <c r="AY90" s="289"/>
    </row>
    <row r="91" spans="1:51" ht="13.5" customHeight="1">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c r="AA91" s="289"/>
      <c r="AB91" s="289"/>
      <c r="AC91" s="289"/>
      <c r="AD91" s="289"/>
      <c r="AE91" s="289"/>
      <c r="AF91" s="289"/>
      <c r="AG91" s="289"/>
      <c r="AH91" s="289"/>
      <c r="AI91" s="289"/>
      <c r="AJ91" s="289"/>
      <c r="AK91" s="289"/>
      <c r="AL91" s="289"/>
      <c r="AM91" s="289"/>
      <c r="AN91" s="289"/>
      <c r="AO91" s="289"/>
      <c r="AP91" s="289"/>
      <c r="AQ91" s="289"/>
      <c r="AR91" s="289"/>
      <c r="AS91" s="289"/>
      <c r="AT91" s="289"/>
      <c r="AU91" s="289"/>
      <c r="AV91" s="289"/>
      <c r="AW91" s="289"/>
      <c r="AX91" s="289"/>
      <c r="AY91" s="289"/>
    </row>
    <row r="92" spans="1:51" ht="13.5" customHeight="1">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c r="AA92" s="289"/>
      <c r="AB92" s="289"/>
      <c r="AC92" s="289"/>
      <c r="AD92" s="289"/>
      <c r="AE92" s="289"/>
      <c r="AF92" s="289"/>
      <c r="AG92" s="289"/>
      <c r="AH92" s="289"/>
      <c r="AI92" s="289"/>
      <c r="AJ92" s="289"/>
      <c r="AK92" s="289"/>
      <c r="AL92" s="289"/>
      <c r="AM92" s="289"/>
      <c r="AN92" s="289"/>
      <c r="AO92" s="289"/>
      <c r="AP92" s="289"/>
      <c r="AQ92" s="289"/>
      <c r="AR92" s="289"/>
      <c r="AS92" s="289"/>
      <c r="AT92" s="289"/>
      <c r="AU92" s="289"/>
      <c r="AV92" s="289"/>
      <c r="AW92" s="289"/>
      <c r="AX92" s="289"/>
      <c r="AY92" s="289"/>
    </row>
    <row r="93" spans="1:51" ht="13.5" customHeight="1">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c r="AA93" s="289"/>
      <c r="AB93" s="289"/>
      <c r="AC93" s="289"/>
      <c r="AD93" s="289"/>
      <c r="AE93" s="289"/>
      <c r="AF93" s="289"/>
      <c r="AG93" s="289"/>
      <c r="AH93" s="289"/>
      <c r="AI93" s="289"/>
      <c r="AJ93" s="289"/>
      <c r="AK93" s="289"/>
      <c r="AL93" s="289"/>
      <c r="AM93" s="289"/>
      <c r="AN93" s="289"/>
      <c r="AO93" s="289"/>
      <c r="AP93" s="289"/>
      <c r="AQ93" s="289"/>
      <c r="AR93" s="289"/>
      <c r="AS93" s="289"/>
      <c r="AT93" s="289"/>
      <c r="AU93" s="289"/>
      <c r="AV93" s="289"/>
      <c r="AW93" s="289"/>
      <c r="AX93" s="289"/>
      <c r="AY93" s="289"/>
    </row>
    <row r="94" spans="1:51" ht="13.5" customHeight="1">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c r="AA94" s="289"/>
      <c r="AB94" s="289"/>
      <c r="AC94" s="289"/>
      <c r="AD94" s="289"/>
      <c r="AE94" s="289"/>
      <c r="AF94" s="289"/>
      <c r="AG94" s="289"/>
      <c r="AH94" s="289"/>
      <c r="AI94" s="289"/>
      <c r="AJ94" s="289"/>
      <c r="AK94" s="289"/>
      <c r="AL94" s="289"/>
      <c r="AM94" s="289"/>
      <c r="AN94" s="289"/>
      <c r="AO94" s="289"/>
      <c r="AP94" s="289"/>
      <c r="AQ94" s="289"/>
      <c r="AR94" s="289"/>
      <c r="AS94" s="289"/>
      <c r="AT94" s="289"/>
      <c r="AU94" s="289"/>
      <c r="AV94" s="289"/>
      <c r="AW94" s="289"/>
      <c r="AX94" s="289"/>
      <c r="AY94" s="289"/>
    </row>
    <row r="95" spans="1:51" ht="13.5" customHeight="1">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c r="AA95" s="289"/>
      <c r="AB95" s="289"/>
      <c r="AC95" s="289"/>
      <c r="AD95" s="289"/>
      <c r="AE95" s="289"/>
      <c r="AF95" s="289"/>
      <c r="AG95" s="289"/>
      <c r="AH95" s="289"/>
      <c r="AI95" s="289"/>
      <c r="AJ95" s="289"/>
      <c r="AK95" s="289"/>
      <c r="AL95" s="289"/>
      <c r="AM95" s="289"/>
      <c r="AN95" s="289"/>
      <c r="AO95" s="289"/>
      <c r="AP95" s="289"/>
      <c r="AQ95" s="289"/>
      <c r="AR95" s="289"/>
      <c r="AS95" s="289"/>
      <c r="AT95" s="289"/>
      <c r="AU95" s="289"/>
      <c r="AV95" s="289"/>
      <c r="AW95" s="289"/>
      <c r="AX95" s="289"/>
      <c r="AY95" s="289"/>
    </row>
    <row r="96" spans="1:51" ht="13.5" customHeight="1">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c r="AA96" s="289"/>
      <c r="AB96" s="289"/>
      <c r="AC96" s="289"/>
      <c r="AD96" s="289"/>
      <c r="AE96" s="289"/>
      <c r="AF96" s="289"/>
      <c r="AG96" s="289"/>
      <c r="AH96" s="289"/>
      <c r="AI96" s="289"/>
      <c r="AJ96" s="289"/>
      <c r="AK96" s="289"/>
      <c r="AL96" s="289"/>
      <c r="AM96" s="289"/>
      <c r="AN96" s="289"/>
      <c r="AO96" s="289"/>
      <c r="AP96" s="289"/>
      <c r="AQ96" s="289"/>
      <c r="AR96" s="289"/>
      <c r="AS96" s="289"/>
      <c r="AT96" s="289"/>
      <c r="AU96" s="289"/>
      <c r="AV96" s="289"/>
      <c r="AW96" s="289"/>
      <c r="AX96" s="289"/>
      <c r="AY96" s="289"/>
    </row>
    <row r="97" spans="1:51" ht="13.5" customHeight="1">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c r="AA97" s="289"/>
      <c r="AB97" s="289"/>
      <c r="AC97" s="289"/>
      <c r="AD97" s="289"/>
      <c r="AE97" s="289"/>
      <c r="AF97" s="289"/>
      <c r="AG97" s="289"/>
      <c r="AH97" s="289"/>
      <c r="AI97" s="289"/>
      <c r="AJ97" s="289"/>
      <c r="AK97" s="289"/>
      <c r="AL97" s="289"/>
      <c r="AM97" s="289"/>
      <c r="AN97" s="289"/>
      <c r="AO97" s="289"/>
      <c r="AP97" s="289"/>
      <c r="AQ97" s="289"/>
      <c r="AR97" s="289"/>
      <c r="AS97" s="289"/>
      <c r="AT97" s="289"/>
      <c r="AU97" s="289"/>
      <c r="AV97" s="289"/>
      <c r="AW97" s="289"/>
      <c r="AX97" s="289"/>
      <c r="AY97" s="289"/>
    </row>
    <row r="98" spans="1:51" ht="13.5" customHeight="1">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289"/>
      <c r="AW98" s="289"/>
      <c r="AX98" s="289"/>
      <c r="AY98" s="289"/>
    </row>
    <row r="99" spans="1:51" ht="13.5" customHeight="1">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W99" s="289"/>
      <c r="AX99" s="289"/>
      <c r="AY99" s="289"/>
    </row>
    <row r="100" spans="1:51" ht="13.5" customHeight="1">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c r="AA100" s="289"/>
      <c r="AB100" s="289"/>
      <c r="AC100" s="289"/>
      <c r="AD100" s="289"/>
      <c r="AE100" s="289"/>
      <c r="AF100" s="289"/>
      <c r="AG100" s="289"/>
      <c r="AH100" s="289"/>
      <c r="AI100" s="289"/>
      <c r="AJ100" s="289"/>
      <c r="AK100" s="289"/>
      <c r="AL100" s="289"/>
      <c r="AM100" s="289"/>
      <c r="AN100" s="289"/>
      <c r="AO100" s="289"/>
      <c r="AP100" s="289"/>
      <c r="AQ100" s="289"/>
      <c r="AR100" s="289"/>
      <c r="AS100" s="289"/>
      <c r="AT100" s="289"/>
      <c r="AU100" s="289"/>
      <c r="AV100" s="289"/>
      <c r="AW100" s="289"/>
      <c r="AX100" s="289"/>
      <c r="AY100" s="289"/>
    </row>
    <row r="101" spans="1:51" ht="13.5" customHeight="1">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c r="AA101" s="289"/>
      <c r="AB101" s="289"/>
      <c r="AC101" s="289"/>
      <c r="AD101" s="289"/>
      <c r="AE101" s="289"/>
      <c r="AF101" s="289"/>
      <c r="AG101" s="289"/>
      <c r="AH101" s="289"/>
      <c r="AI101" s="289"/>
      <c r="AJ101" s="289"/>
      <c r="AK101" s="289"/>
      <c r="AL101" s="289"/>
      <c r="AM101" s="289"/>
      <c r="AN101" s="289"/>
      <c r="AO101" s="289"/>
      <c r="AP101" s="289"/>
      <c r="AQ101" s="289"/>
      <c r="AR101" s="289"/>
      <c r="AS101" s="289"/>
      <c r="AT101" s="289"/>
      <c r="AU101" s="289"/>
      <c r="AV101" s="289"/>
      <c r="AW101" s="289"/>
      <c r="AX101" s="289"/>
      <c r="AY101" s="289"/>
    </row>
    <row r="102" spans="1:51" ht="13.5" customHeight="1">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c r="AA102" s="289"/>
      <c r="AB102" s="289"/>
      <c r="AC102" s="289"/>
      <c r="AD102" s="289"/>
      <c r="AE102" s="289"/>
      <c r="AF102" s="289"/>
      <c r="AG102" s="289"/>
      <c r="AH102" s="289"/>
      <c r="AI102" s="289"/>
      <c r="AJ102" s="289"/>
      <c r="AK102" s="289"/>
      <c r="AL102" s="289"/>
      <c r="AM102" s="289"/>
      <c r="AN102" s="289"/>
      <c r="AO102" s="289"/>
      <c r="AP102" s="289"/>
      <c r="AQ102" s="289"/>
      <c r="AR102" s="289"/>
      <c r="AS102" s="289"/>
      <c r="AT102" s="289"/>
      <c r="AU102" s="289"/>
      <c r="AV102" s="289"/>
      <c r="AW102" s="289"/>
      <c r="AX102" s="289"/>
      <c r="AY102" s="289"/>
    </row>
    <row r="103" spans="1:51" ht="13.5" customHeight="1">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c r="AA103" s="289"/>
      <c r="AB103" s="289"/>
      <c r="AC103" s="289"/>
      <c r="AD103" s="289"/>
      <c r="AE103" s="289"/>
      <c r="AF103" s="289"/>
      <c r="AG103" s="289"/>
      <c r="AH103" s="289"/>
      <c r="AI103" s="289"/>
      <c r="AJ103" s="289"/>
      <c r="AK103" s="289"/>
      <c r="AL103" s="289"/>
      <c r="AM103" s="289"/>
      <c r="AN103" s="289"/>
      <c r="AO103" s="289"/>
      <c r="AP103" s="289"/>
      <c r="AQ103" s="289"/>
      <c r="AR103" s="289"/>
      <c r="AS103" s="289"/>
      <c r="AT103" s="289"/>
      <c r="AU103" s="289"/>
      <c r="AV103" s="289"/>
      <c r="AW103" s="289"/>
      <c r="AX103" s="289"/>
      <c r="AY103" s="289"/>
    </row>
    <row r="104" spans="1:51" ht="13.5" customHeight="1">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c r="AA104" s="289"/>
      <c r="AB104" s="289"/>
      <c r="AC104" s="289"/>
      <c r="AD104" s="289"/>
      <c r="AE104" s="289"/>
      <c r="AF104" s="289"/>
      <c r="AG104" s="289"/>
      <c r="AH104" s="289"/>
      <c r="AI104" s="289"/>
      <c r="AJ104" s="289"/>
      <c r="AK104" s="289"/>
      <c r="AL104" s="289"/>
      <c r="AM104" s="289"/>
      <c r="AN104" s="289"/>
      <c r="AO104" s="289"/>
      <c r="AP104" s="289"/>
      <c r="AQ104" s="289"/>
      <c r="AR104" s="289"/>
      <c r="AS104" s="289"/>
      <c r="AT104" s="289"/>
      <c r="AU104" s="289"/>
      <c r="AV104" s="289"/>
      <c r="AW104" s="289"/>
      <c r="AX104" s="289"/>
      <c r="AY104" s="289"/>
    </row>
    <row r="105" spans="1:51" ht="13.5" customHeight="1">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c r="AA105" s="289"/>
      <c r="AB105" s="289"/>
      <c r="AC105" s="289"/>
      <c r="AD105" s="289"/>
      <c r="AE105" s="289"/>
      <c r="AF105" s="289"/>
      <c r="AG105" s="289"/>
      <c r="AH105" s="289"/>
      <c r="AI105" s="289"/>
      <c r="AJ105" s="289"/>
      <c r="AK105" s="289"/>
      <c r="AL105" s="289"/>
      <c r="AM105" s="289"/>
      <c r="AN105" s="289"/>
      <c r="AO105" s="289"/>
      <c r="AP105" s="289"/>
      <c r="AQ105" s="289"/>
      <c r="AR105" s="289"/>
      <c r="AS105" s="289"/>
      <c r="AT105" s="289"/>
      <c r="AU105" s="289"/>
      <c r="AV105" s="289"/>
      <c r="AW105" s="289"/>
      <c r="AX105" s="289"/>
      <c r="AY105" s="289"/>
    </row>
    <row r="106" spans="1:51" ht="13.5" customHeight="1">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c r="AA106" s="289"/>
      <c r="AB106" s="289"/>
      <c r="AC106" s="289"/>
      <c r="AD106" s="289"/>
      <c r="AE106" s="289"/>
      <c r="AF106" s="289"/>
      <c r="AG106" s="289"/>
      <c r="AH106" s="289"/>
      <c r="AI106" s="289"/>
      <c r="AJ106" s="289"/>
      <c r="AK106" s="289"/>
      <c r="AL106" s="289"/>
      <c r="AM106" s="289"/>
      <c r="AN106" s="289"/>
      <c r="AO106" s="289"/>
      <c r="AP106" s="289"/>
      <c r="AQ106" s="289"/>
      <c r="AR106" s="289"/>
      <c r="AS106" s="289"/>
      <c r="AT106" s="289"/>
      <c r="AU106" s="289"/>
      <c r="AV106" s="289"/>
      <c r="AW106" s="289"/>
      <c r="AX106" s="289"/>
      <c r="AY106" s="289"/>
    </row>
    <row r="107" spans="1:51" ht="13.5" customHeight="1">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c r="AA107" s="289"/>
      <c r="AB107" s="289"/>
      <c r="AC107" s="289"/>
      <c r="AD107" s="289"/>
      <c r="AE107" s="289"/>
      <c r="AF107" s="289"/>
      <c r="AG107" s="289"/>
      <c r="AH107" s="289"/>
      <c r="AI107" s="289"/>
      <c r="AJ107" s="289"/>
      <c r="AK107" s="289"/>
      <c r="AL107" s="289"/>
      <c r="AM107" s="289"/>
      <c r="AN107" s="289"/>
      <c r="AO107" s="289"/>
      <c r="AP107" s="289"/>
      <c r="AQ107" s="289"/>
      <c r="AR107" s="289"/>
      <c r="AS107" s="289"/>
      <c r="AT107" s="289"/>
      <c r="AU107" s="289"/>
      <c r="AV107" s="289"/>
      <c r="AW107" s="289"/>
      <c r="AX107" s="289"/>
      <c r="AY107" s="289"/>
    </row>
    <row r="108" spans="1:51" ht="13.5" customHeight="1">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c r="AA108" s="289"/>
      <c r="AB108" s="289"/>
      <c r="AC108" s="289"/>
      <c r="AD108" s="289"/>
      <c r="AE108" s="289"/>
      <c r="AF108" s="289"/>
      <c r="AG108" s="289"/>
      <c r="AH108" s="289"/>
      <c r="AI108" s="289"/>
      <c r="AJ108" s="289"/>
      <c r="AK108" s="289"/>
      <c r="AL108" s="289"/>
      <c r="AM108" s="289"/>
      <c r="AN108" s="289"/>
      <c r="AO108" s="289"/>
      <c r="AP108" s="289"/>
      <c r="AQ108" s="289"/>
      <c r="AR108" s="289"/>
      <c r="AS108" s="289"/>
      <c r="AT108" s="289"/>
      <c r="AU108" s="289"/>
      <c r="AV108" s="289"/>
      <c r="AW108" s="289"/>
      <c r="AX108" s="289"/>
      <c r="AY108" s="289"/>
    </row>
    <row r="109" spans="1:51" ht="13.5" customHeight="1">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c r="AA109" s="289"/>
      <c r="AB109" s="289"/>
      <c r="AC109" s="289"/>
      <c r="AD109" s="289"/>
      <c r="AE109" s="289"/>
      <c r="AF109" s="289"/>
      <c r="AG109" s="289"/>
      <c r="AH109" s="289"/>
      <c r="AI109" s="289"/>
      <c r="AJ109" s="289"/>
      <c r="AK109" s="289"/>
      <c r="AL109" s="289"/>
      <c r="AM109" s="289"/>
      <c r="AN109" s="289"/>
      <c r="AO109" s="289"/>
      <c r="AP109" s="289"/>
      <c r="AQ109" s="289"/>
      <c r="AR109" s="289"/>
      <c r="AS109" s="289"/>
      <c r="AT109" s="289"/>
      <c r="AU109" s="289"/>
      <c r="AV109" s="289"/>
      <c r="AW109" s="289"/>
      <c r="AX109" s="289"/>
      <c r="AY109" s="289"/>
    </row>
    <row r="110" spans="1:51" ht="13.5" customHeight="1">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c r="AA110" s="289"/>
      <c r="AB110" s="289"/>
      <c r="AC110" s="289"/>
      <c r="AD110" s="289"/>
      <c r="AE110" s="289"/>
      <c r="AF110" s="289"/>
      <c r="AG110" s="289"/>
      <c r="AH110" s="289"/>
      <c r="AI110" s="289"/>
      <c r="AJ110" s="289"/>
      <c r="AK110" s="289"/>
      <c r="AL110" s="289"/>
      <c r="AM110" s="289"/>
      <c r="AN110" s="289"/>
      <c r="AO110" s="289"/>
      <c r="AP110" s="289"/>
      <c r="AQ110" s="289"/>
      <c r="AR110" s="289"/>
      <c r="AS110" s="289"/>
      <c r="AT110" s="289"/>
      <c r="AU110" s="289"/>
      <c r="AV110" s="289"/>
      <c r="AW110" s="289"/>
      <c r="AX110" s="289"/>
      <c r="AY110" s="289"/>
    </row>
    <row r="111" spans="1:51" ht="13.5" customHeight="1">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c r="AA111" s="289"/>
      <c r="AB111" s="289"/>
      <c r="AC111" s="289"/>
      <c r="AD111" s="289"/>
      <c r="AE111" s="289"/>
      <c r="AF111" s="289"/>
      <c r="AG111" s="289"/>
      <c r="AH111" s="289"/>
      <c r="AI111" s="289"/>
      <c r="AJ111" s="289"/>
      <c r="AK111" s="289"/>
      <c r="AL111" s="289"/>
      <c r="AM111" s="289"/>
      <c r="AN111" s="289"/>
      <c r="AO111" s="289"/>
      <c r="AP111" s="289"/>
      <c r="AQ111" s="289"/>
      <c r="AR111" s="289"/>
      <c r="AS111" s="289"/>
      <c r="AT111" s="289"/>
      <c r="AU111" s="289"/>
      <c r="AV111" s="289"/>
      <c r="AW111" s="289"/>
      <c r="AX111" s="289"/>
      <c r="AY111" s="289"/>
    </row>
    <row r="112" spans="1:51" ht="13.5" customHeight="1">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289"/>
      <c r="AQ112" s="289"/>
      <c r="AR112" s="289"/>
      <c r="AS112" s="289"/>
      <c r="AT112" s="289"/>
      <c r="AU112" s="289"/>
      <c r="AV112" s="289"/>
      <c r="AW112" s="289"/>
      <c r="AX112" s="289"/>
      <c r="AY112" s="289"/>
    </row>
    <row r="113" spans="1:51" ht="13.5" customHeight="1">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c r="AA113" s="289"/>
      <c r="AB113" s="289"/>
      <c r="AC113" s="289"/>
      <c r="AD113" s="289"/>
      <c r="AE113" s="289"/>
      <c r="AF113" s="289"/>
      <c r="AG113" s="289"/>
      <c r="AH113" s="289"/>
      <c r="AI113" s="289"/>
      <c r="AJ113" s="289"/>
      <c r="AK113" s="289"/>
      <c r="AL113" s="289"/>
      <c r="AM113" s="289"/>
      <c r="AN113" s="289"/>
      <c r="AO113" s="289"/>
      <c r="AP113" s="289"/>
      <c r="AQ113" s="289"/>
      <c r="AR113" s="289"/>
      <c r="AS113" s="289"/>
      <c r="AT113" s="289"/>
      <c r="AU113" s="289"/>
      <c r="AV113" s="289"/>
      <c r="AW113" s="289"/>
      <c r="AX113" s="289"/>
      <c r="AY113" s="289"/>
    </row>
    <row r="114" spans="1:51" ht="13.5" customHeight="1">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c r="AA114" s="289"/>
      <c r="AB114" s="289"/>
      <c r="AC114" s="289"/>
      <c r="AD114" s="289"/>
      <c r="AE114" s="289"/>
      <c r="AF114" s="289"/>
      <c r="AG114" s="289"/>
      <c r="AH114" s="289"/>
      <c r="AI114" s="289"/>
      <c r="AJ114" s="289"/>
      <c r="AK114" s="289"/>
      <c r="AL114" s="289"/>
      <c r="AM114" s="289"/>
      <c r="AN114" s="289"/>
      <c r="AO114" s="289"/>
      <c r="AP114" s="289"/>
      <c r="AQ114" s="289"/>
      <c r="AR114" s="289"/>
      <c r="AS114" s="289"/>
      <c r="AT114" s="289"/>
      <c r="AU114" s="289"/>
      <c r="AV114" s="289"/>
      <c r="AW114" s="289"/>
      <c r="AX114" s="289"/>
      <c r="AY114" s="289"/>
    </row>
    <row r="115" spans="1:51" ht="13.5" customHeight="1">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c r="AA115" s="289"/>
      <c r="AB115" s="289"/>
      <c r="AC115" s="289"/>
      <c r="AD115" s="289"/>
      <c r="AE115" s="289"/>
      <c r="AF115" s="289"/>
      <c r="AG115" s="289"/>
      <c r="AH115" s="289"/>
      <c r="AI115" s="289"/>
      <c r="AJ115" s="289"/>
      <c r="AK115" s="289"/>
      <c r="AL115" s="289"/>
      <c r="AM115" s="289"/>
      <c r="AN115" s="289"/>
      <c r="AO115" s="289"/>
      <c r="AP115" s="289"/>
      <c r="AQ115" s="289"/>
      <c r="AR115" s="289"/>
      <c r="AS115" s="289"/>
      <c r="AT115" s="289"/>
      <c r="AU115" s="289"/>
      <c r="AV115" s="289"/>
      <c r="AW115" s="289"/>
      <c r="AX115" s="289"/>
      <c r="AY115" s="289"/>
    </row>
    <row r="116" spans="1:51" ht="13.5" customHeight="1">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c r="AB116" s="289"/>
      <c r="AC116" s="289"/>
      <c r="AD116" s="289"/>
      <c r="AE116" s="289"/>
      <c r="AF116" s="289"/>
      <c r="AG116" s="289"/>
      <c r="AH116" s="289"/>
      <c r="AI116" s="289"/>
      <c r="AJ116" s="289"/>
      <c r="AK116" s="289"/>
      <c r="AL116" s="289"/>
      <c r="AM116" s="289"/>
      <c r="AN116" s="289"/>
      <c r="AO116" s="289"/>
      <c r="AP116" s="289"/>
      <c r="AQ116" s="289"/>
      <c r="AR116" s="289"/>
      <c r="AS116" s="289"/>
      <c r="AT116" s="289"/>
      <c r="AU116" s="289"/>
      <c r="AV116" s="289"/>
      <c r="AW116" s="289"/>
      <c r="AX116" s="289"/>
      <c r="AY116" s="289"/>
    </row>
    <row r="117" spans="1:51" ht="13.5" customHeight="1">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c r="AA117" s="289"/>
      <c r="AB117" s="289"/>
      <c r="AC117" s="289"/>
      <c r="AD117" s="289"/>
      <c r="AE117" s="289"/>
      <c r="AF117" s="289"/>
      <c r="AG117" s="289"/>
      <c r="AH117" s="289"/>
      <c r="AI117" s="289"/>
      <c r="AJ117" s="289"/>
      <c r="AK117" s="289"/>
      <c r="AL117" s="289"/>
      <c r="AM117" s="289"/>
      <c r="AN117" s="289"/>
      <c r="AO117" s="289"/>
      <c r="AP117" s="289"/>
      <c r="AQ117" s="289"/>
      <c r="AR117" s="289"/>
      <c r="AS117" s="289"/>
      <c r="AT117" s="289"/>
      <c r="AU117" s="289"/>
      <c r="AV117" s="289"/>
      <c r="AW117" s="289"/>
      <c r="AX117" s="289"/>
      <c r="AY117" s="289"/>
    </row>
    <row r="118" spans="1:51" ht="13.5" customHeight="1">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c r="AB118" s="289"/>
      <c r="AC118" s="289"/>
      <c r="AD118" s="289"/>
      <c r="AE118" s="289"/>
      <c r="AF118" s="289"/>
      <c r="AG118" s="289"/>
      <c r="AH118" s="289"/>
      <c r="AI118" s="289"/>
      <c r="AJ118" s="289"/>
      <c r="AK118" s="289"/>
      <c r="AL118" s="289"/>
      <c r="AM118" s="289"/>
      <c r="AN118" s="289"/>
      <c r="AO118" s="289"/>
      <c r="AP118" s="289"/>
      <c r="AQ118" s="289"/>
      <c r="AR118" s="289"/>
      <c r="AS118" s="289"/>
      <c r="AT118" s="289"/>
      <c r="AU118" s="289"/>
      <c r="AV118" s="289"/>
      <c r="AW118" s="289"/>
      <c r="AX118" s="289"/>
      <c r="AY118" s="289"/>
    </row>
    <row r="119" spans="1:51" ht="13.5" customHeight="1">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c r="AA119" s="289"/>
      <c r="AB119" s="289"/>
      <c r="AC119" s="289"/>
      <c r="AD119" s="289"/>
      <c r="AE119" s="289"/>
      <c r="AF119" s="289"/>
      <c r="AG119" s="289"/>
      <c r="AH119" s="289"/>
      <c r="AI119" s="289"/>
      <c r="AJ119" s="289"/>
      <c r="AK119" s="289"/>
      <c r="AL119" s="289"/>
      <c r="AM119" s="289"/>
      <c r="AN119" s="289"/>
      <c r="AO119" s="289"/>
      <c r="AP119" s="289"/>
      <c r="AQ119" s="289"/>
      <c r="AR119" s="289"/>
      <c r="AS119" s="289"/>
      <c r="AT119" s="289"/>
      <c r="AU119" s="289"/>
      <c r="AV119" s="289"/>
      <c r="AW119" s="289"/>
      <c r="AX119" s="289"/>
      <c r="AY119" s="289"/>
    </row>
    <row r="120" spans="1:51" ht="13.5" customHeight="1">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289"/>
      <c r="AH120" s="289"/>
      <c r="AI120" s="289"/>
      <c r="AJ120" s="289"/>
      <c r="AK120" s="289"/>
      <c r="AL120" s="289"/>
      <c r="AM120" s="289"/>
      <c r="AN120" s="289"/>
      <c r="AO120" s="289"/>
      <c r="AP120" s="289"/>
      <c r="AQ120" s="289"/>
      <c r="AR120" s="289"/>
      <c r="AS120" s="289"/>
      <c r="AT120" s="289"/>
      <c r="AU120" s="289"/>
      <c r="AV120" s="289"/>
      <c r="AW120" s="289"/>
      <c r="AX120" s="289"/>
      <c r="AY120" s="289"/>
    </row>
    <row r="121" spans="1:51" ht="13.5" customHeight="1">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289"/>
      <c r="AH121" s="289"/>
      <c r="AI121" s="289"/>
      <c r="AJ121" s="289"/>
      <c r="AK121" s="289"/>
      <c r="AL121" s="289"/>
      <c r="AM121" s="289"/>
      <c r="AN121" s="289"/>
      <c r="AO121" s="289"/>
      <c r="AP121" s="289"/>
      <c r="AQ121" s="289"/>
      <c r="AR121" s="289"/>
      <c r="AS121" s="289"/>
      <c r="AT121" s="289"/>
      <c r="AU121" s="289"/>
      <c r="AV121" s="289"/>
      <c r="AW121" s="289"/>
      <c r="AX121" s="289"/>
      <c r="AY121" s="289"/>
    </row>
    <row r="122" spans="1:51" ht="13.5" customHeight="1">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c r="AA122" s="289"/>
      <c r="AB122" s="289"/>
      <c r="AC122" s="289"/>
      <c r="AD122" s="289"/>
      <c r="AE122" s="289"/>
      <c r="AF122" s="289"/>
      <c r="AG122" s="289"/>
      <c r="AH122" s="289"/>
      <c r="AI122" s="289"/>
      <c r="AJ122" s="289"/>
      <c r="AK122" s="289"/>
      <c r="AL122" s="289"/>
      <c r="AM122" s="289"/>
      <c r="AN122" s="289"/>
      <c r="AO122" s="289"/>
      <c r="AP122" s="289"/>
      <c r="AQ122" s="289"/>
      <c r="AR122" s="289"/>
      <c r="AS122" s="289"/>
      <c r="AT122" s="289"/>
      <c r="AU122" s="289"/>
      <c r="AV122" s="289"/>
      <c r="AW122" s="289"/>
      <c r="AX122" s="289"/>
      <c r="AY122" s="289"/>
    </row>
    <row r="123" spans="1:51" ht="13.5" customHeight="1">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c r="AA123" s="289"/>
      <c r="AB123" s="289"/>
      <c r="AC123" s="289"/>
      <c r="AD123" s="289"/>
      <c r="AE123" s="289"/>
      <c r="AF123" s="289"/>
      <c r="AG123" s="289"/>
      <c r="AH123" s="289"/>
      <c r="AI123" s="289"/>
      <c r="AJ123" s="289"/>
      <c r="AK123" s="289"/>
      <c r="AL123" s="289"/>
      <c r="AM123" s="289"/>
      <c r="AN123" s="289"/>
      <c r="AO123" s="289"/>
      <c r="AP123" s="289"/>
      <c r="AQ123" s="289"/>
      <c r="AR123" s="289"/>
      <c r="AS123" s="289"/>
      <c r="AT123" s="289"/>
      <c r="AU123" s="289"/>
      <c r="AV123" s="289"/>
      <c r="AW123" s="289"/>
      <c r="AX123" s="289"/>
      <c r="AY123" s="289"/>
    </row>
    <row r="124" spans="1:51" ht="13.5" customHeight="1">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c r="AA124" s="289"/>
      <c r="AB124" s="289"/>
      <c r="AC124" s="289"/>
      <c r="AD124" s="289"/>
      <c r="AE124" s="289"/>
      <c r="AF124" s="289"/>
      <c r="AG124" s="289"/>
      <c r="AH124" s="289"/>
      <c r="AI124" s="289"/>
      <c r="AJ124" s="289"/>
      <c r="AK124" s="289"/>
      <c r="AL124" s="289"/>
      <c r="AM124" s="289"/>
      <c r="AN124" s="289"/>
      <c r="AO124" s="289"/>
      <c r="AP124" s="289"/>
      <c r="AQ124" s="289"/>
      <c r="AR124" s="289"/>
      <c r="AS124" s="289"/>
      <c r="AT124" s="289"/>
      <c r="AU124" s="289"/>
      <c r="AV124" s="289"/>
      <c r="AW124" s="289"/>
      <c r="AX124" s="289"/>
      <c r="AY124" s="289"/>
    </row>
    <row r="125" spans="1:51" ht="13.5" customHeight="1">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c r="AA125" s="289"/>
      <c r="AB125" s="289"/>
      <c r="AC125" s="289"/>
      <c r="AD125" s="289"/>
      <c r="AE125" s="289"/>
      <c r="AF125" s="289"/>
      <c r="AG125" s="289"/>
      <c r="AH125" s="289"/>
      <c r="AI125" s="289"/>
      <c r="AJ125" s="289"/>
      <c r="AK125" s="289"/>
      <c r="AL125" s="289"/>
      <c r="AM125" s="289"/>
      <c r="AN125" s="289"/>
      <c r="AO125" s="289"/>
      <c r="AP125" s="289"/>
      <c r="AQ125" s="289"/>
      <c r="AR125" s="289"/>
      <c r="AS125" s="289"/>
      <c r="AT125" s="289"/>
      <c r="AU125" s="289"/>
      <c r="AV125" s="289"/>
      <c r="AW125" s="289"/>
      <c r="AX125" s="289"/>
      <c r="AY125" s="289"/>
    </row>
    <row r="126" spans="1:51" ht="13.5" customHeight="1">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c r="AA126" s="289"/>
      <c r="AB126" s="289"/>
      <c r="AC126" s="289"/>
      <c r="AD126" s="289"/>
      <c r="AE126" s="289"/>
      <c r="AF126" s="289"/>
      <c r="AG126" s="289"/>
      <c r="AH126" s="289"/>
      <c r="AI126" s="289"/>
      <c r="AJ126" s="289"/>
      <c r="AK126" s="289"/>
      <c r="AL126" s="289"/>
      <c r="AM126" s="289"/>
      <c r="AN126" s="289"/>
      <c r="AO126" s="289"/>
      <c r="AP126" s="289"/>
      <c r="AQ126" s="289"/>
      <c r="AR126" s="289"/>
      <c r="AS126" s="289"/>
      <c r="AT126" s="289"/>
      <c r="AU126" s="289"/>
      <c r="AV126" s="289"/>
      <c r="AW126" s="289"/>
      <c r="AX126" s="289"/>
      <c r="AY126" s="289"/>
    </row>
    <row r="127" spans="1:51" ht="13.5" customHeight="1">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c r="AA127" s="289"/>
      <c r="AB127" s="289"/>
      <c r="AC127" s="289"/>
      <c r="AD127" s="289"/>
      <c r="AE127" s="289"/>
      <c r="AF127" s="289"/>
      <c r="AG127" s="289"/>
      <c r="AH127" s="289"/>
      <c r="AI127" s="289"/>
      <c r="AJ127" s="289"/>
      <c r="AK127" s="289"/>
      <c r="AL127" s="289"/>
      <c r="AM127" s="289"/>
      <c r="AN127" s="289"/>
      <c r="AO127" s="289"/>
      <c r="AP127" s="289"/>
      <c r="AQ127" s="289"/>
      <c r="AR127" s="289"/>
      <c r="AS127" s="289"/>
      <c r="AT127" s="289"/>
      <c r="AU127" s="289"/>
      <c r="AV127" s="289"/>
      <c r="AW127" s="289"/>
      <c r="AX127" s="289"/>
      <c r="AY127" s="289"/>
    </row>
    <row r="128" spans="1:51" ht="13.5" customHeight="1">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c r="AA128" s="289"/>
      <c r="AB128" s="289"/>
      <c r="AC128" s="289"/>
      <c r="AD128" s="289"/>
      <c r="AE128" s="289"/>
      <c r="AF128" s="289"/>
      <c r="AG128" s="289"/>
      <c r="AH128" s="289"/>
      <c r="AI128" s="289"/>
      <c r="AJ128" s="289"/>
      <c r="AK128" s="289"/>
      <c r="AL128" s="289"/>
      <c r="AM128" s="289"/>
      <c r="AN128" s="289"/>
      <c r="AO128" s="289"/>
      <c r="AP128" s="289"/>
      <c r="AQ128" s="289"/>
      <c r="AR128" s="289"/>
      <c r="AS128" s="289"/>
      <c r="AT128" s="289"/>
      <c r="AU128" s="289"/>
      <c r="AV128" s="289"/>
      <c r="AW128" s="289"/>
      <c r="AX128" s="289"/>
      <c r="AY128" s="289"/>
    </row>
    <row r="129" spans="1:51" ht="13.5" customHeight="1">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89"/>
      <c r="AX129" s="289"/>
      <c r="AY129" s="289"/>
    </row>
    <row r="130" spans="1:51" ht="13.5" customHeight="1">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c r="AA130" s="289"/>
      <c r="AB130" s="289"/>
      <c r="AC130" s="289"/>
      <c r="AD130" s="289"/>
      <c r="AE130" s="289"/>
      <c r="AF130" s="289"/>
      <c r="AG130" s="289"/>
      <c r="AH130" s="289"/>
      <c r="AI130" s="289"/>
      <c r="AJ130" s="289"/>
      <c r="AK130" s="289"/>
      <c r="AL130" s="289"/>
      <c r="AM130" s="289"/>
      <c r="AN130" s="289"/>
      <c r="AO130" s="289"/>
      <c r="AP130" s="289"/>
      <c r="AQ130" s="289"/>
      <c r="AR130" s="289"/>
      <c r="AS130" s="289"/>
      <c r="AT130" s="289"/>
      <c r="AU130" s="289"/>
      <c r="AV130" s="289"/>
      <c r="AW130" s="289"/>
      <c r="AX130" s="289"/>
      <c r="AY130" s="289"/>
    </row>
    <row r="131" spans="1:51" ht="13.5" customHeight="1">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c r="AA131" s="289"/>
      <c r="AB131" s="289"/>
      <c r="AC131" s="289"/>
      <c r="AD131" s="289"/>
      <c r="AE131" s="289"/>
      <c r="AF131" s="289"/>
      <c r="AG131" s="289"/>
      <c r="AH131" s="289"/>
      <c r="AI131" s="289"/>
      <c r="AJ131" s="289"/>
      <c r="AK131" s="289"/>
      <c r="AL131" s="289"/>
      <c r="AM131" s="289"/>
      <c r="AN131" s="289"/>
      <c r="AO131" s="289"/>
      <c r="AP131" s="289"/>
      <c r="AQ131" s="289"/>
      <c r="AR131" s="289"/>
      <c r="AS131" s="289"/>
      <c r="AT131" s="289"/>
      <c r="AU131" s="289"/>
      <c r="AV131" s="289"/>
      <c r="AW131" s="289"/>
      <c r="AX131" s="289"/>
      <c r="AY131" s="289"/>
    </row>
    <row r="132" spans="1:51" ht="13.5" customHeight="1">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c r="AA132" s="289"/>
      <c r="AB132" s="289"/>
      <c r="AC132" s="289"/>
      <c r="AD132" s="289"/>
      <c r="AE132" s="289"/>
      <c r="AF132" s="289"/>
      <c r="AG132" s="289"/>
      <c r="AH132" s="289"/>
      <c r="AI132" s="289"/>
      <c r="AJ132" s="289"/>
      <c r="AK132" s="289"/>
      <c r="AL132" s="289"/>
      <c r="AM132" s="289"/>
      <c r="AN132" s="289"/>
      <c r="AO132" s="289"/>
      <c r="AP132" s="289"/>
      <c r="AQ132" s="289"/>
      <c r="AR132" s="289"/>
      <c r="AS132" s="289"/>
      <c r="AT132" s="289"/>
      <c r="AU132" s="289"/>
      <c r="AV132" s="289"/>
      <c r="AW132" s="289"/>
      <c r="AX132" s="289"/>
      <c r="AY132" s="289"/>
    </row>
    <row r="133" spans="1:51" ht="13.5" customHeight="1">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c r="AA133" s="289"/>
      <c r="AB133" s="289"/>
      <c r="AC133" s="289"/>
      <c r="AD133" s="289"/>
      <c r="AE133" s="289"/>
      <c r="AF133" s="289"/>
      <c r="AG133" s="289"/>
      <c r="AH133" s="289"/>
      <c r="AI133" s="289"/>
      <c r="AJ133" s="289"/>
      <c r="AK133" s="289"/>
      <c r="AL133" s="289"/>
      <c r="AM133" s="289"/>
      <c r="AN133" s="289"/>
      <c r="AO133" s="289"/>
      <c r="AP133" s="289"/>
      <c r="AQ133" s="289"/>
      <c r="AR133" s="289"/>
      <c r="AS133" s="289"/>
      <c r="AT133" s="289"/>
      <c r="AU133" s="289"/>
      <c r="AV133" s="289"/>
      <c r="AW133" s="289"/>
      <c r="AX133" s="289"/>
      <c r="AY133" s="289"/>
    </row>
    <row r="134" spans="1:51" ht="13.5" customHeight="1">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c r="AA134" s="289"/>
      <c r="AB134" s="289"/>
      <c r="AC134" s="289"/>
      <c r="AD134" s="289"/>
      <c r="AE134" s="289"/>
      <c r="AF134" s="289"/>
      <c r="AG134" s="289"/>
      <c r="AH134" s="289"/>
      <c r="AI134" s="289"/>
      <c r="AJ134" s="289"/>
      <c r="AK134" s="289"/>
      <c r="AL134" s="289"/>
      <c r="AM134" s="289"/>
      <c r="AN134" s="289"/>
      <c r="AO134" s="289"/>
      <c r="AP134" s="289"/>
      <c r="AQ134" s="289"/>
      <c r="AR134" s="289"/>
      <c r="AS134" s="289"/>
      <c r="AT134" s="289"/>
      <c r="AU134" s="289"/>
      <c r="AV134" s="289"/>
      <c r="AW134" s="289"/>
      <c r="AX134" s="289"/>
      <c r="AY134" s="289"/>
    </row>
    <row r="135" spans="1:51" ht="13.5" customHeight="1">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9"/>
      <c r="AS135" s="289"/>
      <c r="AT135" s="289"/>
      <c r="AU135" s="289"/>
      <c r="AV135" s="289"/>
      <c r="AW135" s="289"/>
      <c r="AX135" s="289"/>
      <c r="AY135" s="289"/>
    </row>
    <row r="136" spans="1:51" ht="13.5" customHeight="1">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c r="AA136" s="289"/>
      <c r="AB136" s="289"/>
      <c r="AC136" s="289"/>
      <c r="AD136" s="289"/>
      <c r="AE136" s="289"/>
      <c r="AF136" s="289"/>
      <c r="AG136" s="289"/>
      <c r="AH136" s="289"/>
      <c r="AI136" s="289"/>
      <c r="AJ136" s="289"/>
      <c r="AK136" s="289"/>
      <c r="AL136" s="289"/>
      <c r="AM136" s="289"/>
      <c r="AN136" s="289"/>
      <c r="AO136" s="289"/>
      <c r="AP136" s="289"/>
      <c r="AQ136" s="289"/>
      <c r="AR136" s="289"/>
      <c r="AS136" s="289"/>
      <c r="AT136" s="289"/>
      <c r="AU136" s="289"/>
      <c r="AV136" s="289"/>
      <c r="AW136" s="289"/>
      <c r="AX136" s="289"/>
      <c r="AY136" s="289"/>
    </row>
    <row r="137" spans="1:51" ht="13.5" customHeight="1">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c r="AA137" s="289"/>
      <c r="AB137" s="289"/>
      <c r="AC137" s="289"/>
      <c r="AD137" s="289"/>
      <c r="AE137" s="289"/>
      <c r="AF137" s="289"/>
      <c r="AG137" s="289"/>
      <c r="AH137" s="289"/>
      <c r="AI137" s="289"/>
      <c r="AJ137" s="289"/>
      <c r="AK137" s="289"/>
      <c r="AL137" s="289"/>
      <c r="AM137" s="289"/>
      <c r="AN137" s="289"/>
      <c r="AO137" s="289"/>
      <c r="AP137" s="289"/>
      <c r="AQ137" s="289"/>
      <c r="AR137" s="289"/>
      <c r="AS137" s="289"/>
      <c r="AT137" s="289"/>
      <c r="AU137" s="289"/>
      <c r="AV137" s="289"/>
      <c r="AW137" s="289"/>
      <c r="AX137" s="289"/>
      <c r="AY137" s="289"/>
    </row>
    <row r="138" spans="1:51" ht="13.5" customHeight="1">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c r="AA138" s="289"/>
      <c r="AB138" s="289"/>
      <c r="AC138" s="289"/>
      <c r="AD138" s="289"/>
      <c r="AE138" s="289"/>
      <c r="AF138" s="289"/>
      <c r="AG138" s="289"/>
      <c r="AH138" s="289"/>
      <c r="AI138" s="289"/>
      <c r="AJ138" s="289"/>
      <c r="AK138" s="289"/>
      <c r="AL138" s="289"/>
      <c r="AM138" s="289"/>
      <c r="AN138" s="289"/>
      <c r="AO138" s="289"/>
      <c r="AP138" s="289"/>
      <c r="AQ138" s="289"/>
      <c r="AR138" s="289"/>
      <c r="AS138" s="289"/>
      <c r="AT138" s="289"/>
      <c r="AU138" s="289"/>
      <c r="AV138" s="289"/>
      <c r="AW138" s="289"/>
      <c r="AX138" s="289"/>
      <c r="AY138" s="289"/>
    </row>
    <row r="139" spans="1:51" ht="13.5" customHeight="1">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c r="AA139" s="289"/>
      <c r="AB139" s="289"/>
      <c r="AC139" s="289"/>
      <c r="AD139" s="289"/>
      <c r="AE139" s="289"/>
      <c r="AF139" s="289"/>
      <c r="AG139" s="289"/>
      <c r="AH139" s="289"/>
      <c r="AI139" s="289"/>
      <c r="AJ139" s="289"/>
      <c r="AK139" s="289"/>
      <c r="AL139" s="289"/>
      <c r="AM139" s="289"/>
      <c r="AN139" s="289"/>
      <c r="AO139" s="289"/>
      <c r="AP139" s="289"/>
      <c r="AQ139" s="289"/>
      <c r="AR139" s="289"/>
      <c r="AS139" s="289"/>
      <c r="AT139" s="289"/>
      <c r="AU139" s="289"/>
      <c r="AV139" s="289"/>
      <c r="AW139" s="289"/>
      <c r="AX139" s="289"/>
      <c r="AY139" s="289"/>
    </row>
    <row r="140" spans="1:51" ht="13.5" customHeight="1">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c r="AA140" s="289"/>
      <c r="AB140" s="289"/>
      <c r="AC140" s="289"/>
      <c r="AD140" s="289"/>
      <c r="AE140" s="289"/>
      <c r="AF140" s="289"/>
      <c r="AG140" s="289"/>
      <c r="AH140" s="289"/>
      <c r="AI140" s="289"/>
      <c r="AJ140" s="289"/>
      <c r="AK140" s="289"/>
      <c r="AL140" s="289"/>
      <c r="AM140" s="289"/>
      <c r="AN140" s="289"/>
      <c r="AO140" s="289"/>
      <c r="AP140" s="289"/>
      <c r="AQ140" s="289"/>
      <c r="AR140" s="289"/>
      <c r="AS140" s="289"/>
      <c r="AT140" s="289"/>
      <c r="AU140" s="289"/>
      <c r="AV140" s="289"/>
      <c r="AW140" s="289"/>
      <c r="AX140" s="289"/>
      <c r="AY140" s="289"/>
    </row>
    <row r="141" spans="1:51" ht="13.5" customHeight="1">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c r="AA141" s="289"/>
      <c r="AB141" s="289"/>
      <c r="AC141" s="289"/>
      <c r="AD141" s="289"/>
      <c r="AE141" s="289"/>
      <c r="AF141" s="289"/>
      <c r="AG141" s="289"/>
      <c r="AH141" s="289"/>
      <c r="AI141" s="289"/>
      <c r="AJ141" s="289"/>
      <c r="AK141" s="289"/>
      <c r="AL141" s="289"/>
      <c r="AM141" s="289"/>
      <c r="AN141" s="289"/>
      <c r="AO141" s="289"/>
      <c r="AP141" s="289"/>
      <c r="AQ141" s="289"/>
      <c r="AR141" s="289"/>
      <c r="AS141" s="289"/>
      <c r="AT141" s="289"/>
      <c r="AU141" s="289"/>
      <c r="AV141" s="289"/>
      <c r="AW141" s="289"/>
      <c r="AX141" s="289"/>
      <c r="AY141" s="289"/>
    </row>
    <row r="142" spans="1:51" ht="13.5" customHeight="1">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c r="AA142" s="289"/>
      <c r="AB142" s="289"/>
      <c r="AC142" s="289"/>
      <c r="AD142" s="289"/>
      <c r="AE142" s="289"/>
      <c r="AF142" s="289"/>
      <c r="AG142" s="289"/>
      <c r="AH142" s="289"/>
      <c r="AI142" s="289"/>
      <c r="AJ142" s="289"/>
      <c r="AK142" s="289"/>
      <c r="AL142" s="289"/>
      <c r="AM142" s="289"/>
      <c r="AN142" s="289"/>
      <c r="AO142" s="289"/>
      <c r="AP142" s="289"/>
      <c r="AQ142" s="289"/>
      <c r="AR142" s="289"/>
      <c r="AS142" s="289"/>
      <c r="AT142" s="289"/>
      <c r="AU142" s="289"/>
      <c r="AV142" s="289"/>
      <c r="AW142" s="289"/>
      <c r="AX142" s="289"/>
      <c r="AY142" s="289"/>
    </row>
    <row r="143" spans="1:51" ht="13.5" customHeight="1">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c r="AA143" s="289"/>
      <c r="AB143" s="289"/>
      <c r="AC143" s="289"/>
      <c r="AD143" s="289"/>
      <c r="AE143" s="289"/>
      <c r="AF143" s="289"/>
      <c r="AG143" s="289"/>
      <c r="AH143" s="289"/>
      <c r="AI143" s="289"/>
      <c r="AJ143" s="289"/>
      <c r="AK143" s="289"/>
      <c r="AL143" s="289"/>
      <c r="AM143" s="289"/>
      <c r="AN143" s="289"/>
      <c r="AO143" s="289"/>
      <c r="AP143" s="289"/>
      <c r="AQ143" s="289"/>
      <c r="AR143" s="289"/>
      <c r="AS143" s="289"/>
      <c r="AT143" s="289"/>
      <c r="AU143" s="289"/>
      <c r="AV143" s="289"/>
      <c r="AW143" s="289"/>
      <c r="AX143" s="289"/>
      <c r="AY143" s="289"/>
    </row>
    <row r="144" spans="1:51" ht="13.5" customHeight="1">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c r="AA144" s="289"/>
      <c r="AB144" s="289"/>
      <c r="AC144" s="289"/>
      <c r="AD144" s="289"/>
      <c r="AE144" s="289"/>
      <c r="AF144" s="289"/>
      <c r="AG144" s="289"/>
      <c r="AH144" s="289"/>
      <c r="AI144" s="289"/>
      <c r="AJ144" s="289"/>
      <c r="AK144" s="289"/>
      <c r="AL144" s="289"/>
      <c r="AM144" s="289"/>
      <c r="AN144" s="289"/>
      <c r="AO144" s="289"/>
      <c r="AP144" s="289"/>
      <c r="AQ144" s="289"/>
      <c r="AR144" s="289"/>
      <c r="AS144" s="289"/>
      <c r="AT144" s="289"/>
      <c r="AU144" s="289"/>
      <c r="AV144" s="289"/>
      <c r="AW144" s="289"/>
      <c r="AX144" s="289"/>
      <c r="AY144" s="289"/>
    </row>
    <row r="145" spans="1:51" ht="13.5" customHeight="1">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c r="AA145" s="289"/>
      <c r="AB145" s="289"/>
      <c r="AC145" s="289"/>
      <c r="AD145" s="289"/>
      <c r="AE145" s="289"/>
      <c r="AF145" s="289"/>
      <c r="AG145" s="289"/>
      <c r="AH145" s="289"/>
      <c r="AI145" s="289"/>
      <c r="AJ145" s="289"/>
      <c r="AK145" s="289"/>
      <c r="AL145" s="289"/>
      <c r="AM145" s="289"/>
      <c r="AN145" s="289"/>
      <c r="AO145" s="289"/>
      <c r="AP145" s="289"/>
      <c r="AQ145" s="289"/>
      <c r="AR145" s="289"/>
      <c r="AS145" s="289"/>
      <c r="AT145" s="289"/>
      <c r="AU145" s="289"/>
      <c r="AV145" s="289"/>
      <c r="AW145" s="289"/>
      <c r="AX145" s="289"/>
      <c r="AY145" s="289"/>
    </row>
    <row r="146" spans="1:51" ht="13.5" customHeight="1">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c r="AA146" s="289"/>
      <c r="AB146" s="289"/>
      <c r="AC146" s="289"/>
      <c r="AD146" s="289"/>
      <c r="AE146" s="289"/>
      <c r="AF146" s="289"/>
      <c r="AG146" s="289"/>
      <c r="AH146" s="289"/>
      <c r="AI146" s="289"/>
      <c r="AJ146" s="289"/>
      <c r="AK146" s="289"/>
      <c r="AL146" s="289"/>
      <c r="AM146" s="289"/>
      <c r="AN146" s="289"/>
      <c r="AO146" s="289"/>
      <c r="AP146" s="289"/>
      <c r="AQ146" s="289"/>
      <c r="AR146" s="289"/>
      <c r="AS146" s="289"/>
      <c r="AT146" s="289"/>
      <c r="AU146" s="289"/>
      <c r="AV146" s="289"/>
      <c r="AW146" s="289"/>
      <c r="AX146" s="289"/>
      <c r="AY146" s="289"/>
    </row>
    <row r="147" spans="1:51" ht="13.5" customHeight="1">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c r="AA147" s="289"/>
      <c r="AB147" s="289"/>
      <c r="AC147" s="289"/>
      <c r="AD147" s="289"/>
      <c r="AE147" s="289"/>
      <c r="AF147" s="289"/>
      <c r="AG147" s="289"/>
      <c r="AH147" s="289"/>
      <c r="AI147" s="289"/>
      <c r="AJ147" s="289"/>
      <c r="AK147" s="289"/>
      <c r="AL147" s="289"/>
      <c r="AM147" s="289"/>
      <c r="AN147" s="289"/>
      <c r="AO147" s="289"/>
      <c r="AP147" s="289"/>
      <c r="AQ147" s="289"/>
      <c r="AR147" s="289"/>
      <c r="AS147" s="289"/>
      <c r="AT147" s="289"/>
      <c r="AU147" s="289"/>
      <c r="AV147" s="289"/>
      <c r="AW147" s="289"/>
      <c r="AX147" s="289"/>
      <c r="AY147" s="289"/>
    </row>
    <row r="148" spans="1:51" ht="13.5" customHeight="1">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c r="AA148" s="289"/>
      <c r="AB148" s="289"/>
      <c r="AC148" s="289"/>
      <c r="AD148" s="289"/>
      <c r="AE148" s="289"/>
      <c r="AF148" s="289"/>
      <c r="AG148" s="289"/>
      <c r="AH148" s="289"/>
      <c r="AI148" s="289"/>
      <c r="AJ148" s="289"/>
      <c r="AK148" s="289"/>
      <c r="AL148" s="289"/>
      <c r="AM148" s="289"/>
      <c r="AN148" s="289"/>
      <c r="AO148" s="289"/>
      <c r="AP148" s="289"/>
      <c r="AQ148" s="289"/>
      <c r="AR148" s="289"/>
      <c r="AS148" s="289"/>
      <c r="AT148" s="289"/>
      <c r="AU148" s="289"/>
      <c r="AV148" s="289"/>
      <c r="AW148" s="289"/>
      <c r="AX148" s="289"/>
      <c r="AY148" s="289"/>
    </row>
    <row r="149" spans="1:51" ht="13.5" customHeight="1">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c r="AA149" s="289"/>
      <c r="AB149" s="289"/>
      <c r="AC149" s="289"/>
      <c r="AD149" s="289"/>
      <c r="AE149" s="289"/>
      <c r="AF149" s="289"/>
      <c r="AG149" s="289"/>
      <c r="AH149" s="289"/>
      <c r="AI149" s="289"/>
      <c r="AJ149" s="289"/>
      <c r="AK149" s="289"/>
      <c r="AL149" s="289"/>
      <c r="AM149" s="289"/>
      <c r="AN149" s="289"/>
      <c r="AO149" s="289"/>
      <c r="AP149" s="289"/>
      <c r="AQ149" s="289"/>
      <c r="AR149" s="289"/>
      <c r="AS149" s="289"/>
      <c r="AT149" s="289"/>
      <c r="AU149" s="289"/>
      <c r="AV149" s="289"/>
      <c r="AW149" s="289"/>
      <c r="AX149" s="289"/>
      <c r="AY149" s="289"/>
    </row>
    <row r="150" spans="1:51" ht="13.5" customHeight="1">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c r="AA150" s="289"/>
      <c r="AB150" s="289"/>
      <c r="AC150" s="289"/>
      <c r="AD150" s="289"/>
      <c r="AE150" s="289"/>
      <c r="AF150" s="289"/>
      <c r="AG150" s="289"/>
      <c r="AH150" s="289"/>
      <c r="AI150" s="289"/>
      <c r="AJ150" s="289"/>
      <c r="AK150" s="289"/>
      <c r="AL150" s="289"/>
      <c r="AM150" s="289"/>
      <c r="AN150" s="289"/>
      <c r="AO150" s="289"/>
      <c r="AP150" s="289"/>
      <c r="AQ150" s="289"/>
      <c r="AR150" s="289"/>
      <c r="AS150" s="289"/>
      <c r="AT150" s="289"/>
      <c r="AU150" s="289"/>
      <c r="AV150" s="289"/>
      <c r="AW150" s="289"/>
      <c r="AX150" s="289"/>
      <c r="AY150" s="289"/>
    </row>
    <row r="151" spans="1:51" ht="13.5" customHeight="1">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c r="AA151" s="289"/>
      <c r="AB151" s="289"/>
      <c r="AC151" s="289"/>
      <c r="AD151" s="289"/>
      <c r="AE151" s="289"/>
      <c r="AF151" s="289"/>
      <c r="AG151" s="289"/>
      <c r="AH151" s="289"/>
      <c r="AI151" s="289"/>
      <c r="AJ151" s="289"/>
      <c r="AK151" s="289"/>
      <c r="AL151" s="289"/>
      <c r="AM151" s="289"/>
      <c r="AN151" s="289"/>
      <c r="AO151" s="289"/>
      <c r="AP151" s="289"/>
      <c r="AQ151" s="289"/>
      <c r="AR151" s="289"/>
      <c r="AS151" s="289"/>
      <c r="AT151" s="289"/>
      <c r="AU151" s="289"/>
      <c r="AV151" s="289"/>
      <c r="AW151" s="289"/>
      <c r="AX151" s="289"/>
      <c r="AY151" s="289"/>
    </row>
    <row r="152" spans="1:51" ht="13.5" customHeight="1">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c r="AA152" s="289"/>
      <c r="AB152" s="289"/>
      <c r="AC152" s="289"/>
      <c r="AD152" s="289"/>
      <c r="AE152" s="289"/>
      <c r="AF152" s="289"/>
      <c r="AG152" s="289"/>
      <c r="AH152" s="289"/>
      <c r="AI152" s="289"/>
      <c r="AJ152" s="289"/>
      <c r="AK152" s="289"/>
      <c r="AL152" s="289"/>
      <c r="AM152" s="289"/>
      <c r="AN152" s="289"/>
      <c r="AO152" s="289"/>
      <c r="AP152" s="289"/>
      <c r="AQ152" s="289"/>
      <c r="AR152" s="289"/>
      <c r="AS152" s="289"/>
      <c r="AT152" s="289"/>
      <c r="AU152" s="289"/>
      <c r="AV152" s="289"/>
      <c r="AW152" s="289"/>
      <c r="AX152" s="289"/>
      <c r="AY152" s="289"/>
    </row>
    <row r="153" spans="1:51" ht="13.5" customHeight="1">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c r="AA153" s="289"/>
      <c r="AB153" s="289"/>
      <c r="AC153" s="289"/>
      <c r="AD153" s="289"/>
      <c r="AE153" s="289"/>
      <c r="AF153" s="289"/>
      <c r="AG153" s="289"/>
      <c r="AH153" s="289"/>
      <c r="AI153" s="289"/>
      <c r="AJ153" s="289"/>
      <c r="AK153" s="289"/>
      <c r="AL153" s="289"/>
      <c r="AM153" s="289"/>
      <c r="AN153" s="289"/>
      <c r="AO153" s="289"/>
      <c r="AP153" s="289"/>
      <c r="AQ153" s="289"/>
      <c r="AR153" s="289"/>
      <c r="AS153" s="289"/>
      <c r="AT153" s="289"/>
      <c r="AU153" s="289"/>
      <c r="AV153" s="289"/>
      <c r="AW153" s="289"/>
      <c r="AX153" s="289"/>
      <c r="AY153" s="289"/>
    </row>
    <row r="154" spans="1:51" ht="13.5" customHeight="1">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c r="AA154" s="289"/>
      <c r="AB154" s="289"/>
      <c r="AC154" s="289"/>
      <c r="AD154" s="289"/>
      <c r="AE154" s="289"/>
      <c r="AF154" s="289"/>
      <c r="AG154" s="289"/>
      <c r="AH154" s="289"/>
      <c r="AI154" s="289"/>
      <c r="AJ154" s="289"/>
      <c r="AK154" s="289"/>
      <c r="AL154" s="289"/>
      <c r="AM154" s="289"/>
      <c r="AN154" s="289"/>
      <c r="AO154" s="289"/>
      <c r="AP154" s="289"/>
      <c r="AQ154" s="289"/>
      <c r="AR154" s="289"/>
      <c r="AS154" s="289"/>
      <c r="AT154" s="289"/>
      <c r="AU154" s="289"/>
      <c r="AV154" s="289"/>
      <c r="AW154" s="289"/>
      <c r="AX154" s="289"/>
      <c r="AY154" s="289"/>
    </row>
    <row r="155" spans="1:51" ht="13.5" customHeight="1">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c r="AB155" s="289"/>
      <c r="AC155" s="289"/>
      <c r="AD155" s="289"/>
      <c r="AE155" s="289"/>
      <c r="AF155" s="289"/>
      <c r="AG155" s="289"/>
      <c r="AH155" s="289"/>
      <c r="AI155" s="289"/>
      <c r="AJ155" s="289"/>
      <c r="AK155" s="289"/>
      <c r="AL155" s="289"/>
      <c r="AM155" s="289"/>
      <c r="AN155" s="289"/>
      <c r="AO155" s="289"/>
      <c r="AP155" s="289"/>
      <c r="AQ155" s="289"/>
      <c r="AR155" s="289"/>
      <c r="AS155" s="289"/>
      <c r="AT155" s="289"/>
      <c r="AU155" s="289"/>
      <c r="AV155" s="289"/>
      <c r="AW155" s="289"/>
      <c r="AX155" s="289"/>
      <c r="AY155" s="289"/>
    </row>
    <row r="156" spans="1:51" ht="13.5" customHeight="1">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c r="AA156" s="289"/>
      <c r="AB156" s="289"/>
      <c r="AC156" s="289"/>
      <c r="AD156" s="289"/>
      <c r="AE156" s="289"/>
      <c r="AF156" s="289"/>
      <c r="AG156" s="289"/>
      <c r="AH156" s="289"/>
      <c r="AI156" s="289"/>
      <c r="AJ156" s="289"/>
      <c r="AK156" s="289"/>
      <c r="AL156" s="289"/>
      <c r="AM156" s="289"/>
      <c r="AN156" s="289"/>
      <c r="AO156" s="289"/>
      <c r="AP156" s="289"/>
      <c r="AQ156" s="289"/>
      <c r="AR156" s="289"/>
      <c r="AS156" s="289"/>
      <c r="AT156" s="289"/>
      <c r="AU156" s="289"/>
      <c r="AV156" s="289"/>
      <c r="AW156" s="289"/>
      <c r="AX156" s="289"/>
      <c r="AY156" s="289"/>
    </row>
    <row r="157" spans="1:51" ht="13.5" customHeight="1">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c r="AA157" s="289"/>
      <c r="AB157" s="289"/>
      <c r="AC157" s="289"/>
      <c r="AD157" s="289"/>
      <c r="AE157" s="289"/>
      <c r="AF157" s="289"/>
      <c r="AG157" s="289"/>
      <c r="AH157" s="289"/>
      <c r="AI157" s="289"/>
      <c r="AJ157" s="289"/>
      <c r="AK157" s="289"/>
      <c r="AL157" s="289"/>
      <c r="AM157" s="289"/>
      <c r="AN157" s="289"/>
      <c r="AO157" s="289"/>
      <c r="AP157" s="289"/>
      <c r="AQ157" s="289"/>
      <c r="AR157" s="289"/>
      <c r="AS157" s="289"/>
      <c r="AT157" s="289"/>
      <c r="AU157" s="289"/>
      <c r="AV157" s="289"/>
      <c r="AW157" s="289"/>
      <c r="AX157" s="289"/>
      <c r="AY157" s="289"/>
    </row>
    <row r="158" spans="1:51" ht="13.5" customHeight="1">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c r="AA158" s="289"/>
      <c r="AB158" s="289"/>
      <c r="AC158" s="289"/>
      <c r="AD158" s="289"/>
      <c r="AE158" s="289"/>
      <c r="AF158" s="289"/>
      <c r="AG158" s="289"/>
      <c r="AH158" s="289"/>
      <c r="AI158" s="289"/>
      <c r="AJ158" s="289"/>
      <c r="AK158" s="289"/>
      <c r="AL158" s="289"/>
      <c r="AM158" s="289"/>
      <c r="AN158" s="289"/>
      <c r="AO158" s="289"/>
      <c r="AP158" s="289"/>
      <c r="AQ158" s="289"/>
      <c r="AR158" s="289"/>
      <c r="AS158" s="289"/>
      <c r="AT158" s="289"/>
      <c r="AU158" s="289"/>
      <c r="AV158" s="289"/>
      <c r="AW158" s="289"/>
      <c r="AX158" s="289"/>
      <c r="AY158" s="289"/>
    </row>
    <row r="159" spans="1:51" ht="13.5" customHeight="1">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c r="AA159" s="289"/>
      <c r="AB159" s="289"/>
      <c r="AC159" s="289"/>
      <c r="AD159" s="289"/>
      <c r="AE159" s="289"/>
      <c r="AF159" s="289"/>
      <c r="AG159" s="289"/>
      <c r="AH159" s="289"/>
      <c r="AI159" s="289"/>
      <c r="AJ159" s="289"/>
      <c r="AK159" s="289"/>
      <c r="AL159" s="289"/>
      <c r="AM159" s="289"/>
      <c r="AN159" s="289"/>
      <c r="AO159" s="289"/>
      <c r="AP159" s="289"/>
      <c r="AQ159" s="289"/>
      <c r="AR159" s="289"/>
      <c r="AS159" s="289"/>
      <c r="AT159" s="289"/>
      <c r="AU159" s="289"/>
      <c r="AV159" s="289"/>
      <c r="AW159" s="289"/>
      <c r="AX159" s="289"/>
      <c r="AY159" s="289"/>
    </row>
    <row r="160" spans="1:51" ht="13.5" customHeight="1">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c r="AA160" s="289"/>
      <c r="AB160" s="289"/>
      <c r="AC160" s="289"/>
      <c r="AD160" s="289"/>
      <c r="AE160" s="289"/>
      <c r="AF160" s="289"/>
      <c r="AG160" s="289"/>
      <c r="AH160" s="289"/>
      <c r="AI160" s="289"/>
      <c r="AJ160" s="289"/>
      <c r="AK160" s="289"/>
      <c r="AL160" s="289"/>
      <c r="AM160" s="289"/>
      <c r="AN160" s="289"/>
      <c r="AO160" s="289"/>
      <c r="AP160" s="289"/>
      <c r="AQ160" s="289"/>
      <c r="AR160" s="289"/>
      <c r="AS160" s="289"/>
      <c r="AT160" s="289"/>
      <c r="AU160" s="289"/>
      <c r="AV160" s="289"/>
      <c r="AW160" s="289"/>
      <c r="AX160" s="289"/>
      <c r="AY160" s="289"/>
    </row>
    <row r="161" spans="1:51" ht="13.5" customHeight="1">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c r="AA161" s="289"/>
      <c r="AB161" s="289"/>
      <c r="AC161" s="289"/>
      <c r="AD161" s="289"/>
      <c r="AE161" s="289"/>
      <c r="AF161" s="289"/>
      <c r="AG161" s="289"/>
      <c r="AH161" s="289"/>
      <c r="AI161" s="289"/>
      <c r="AJ161" s="289"/>
      <c r="AK161" s="289"/>
      <c r="AL161" s="289"/>
      <c r="AM161" s="289"/>
      <c r="AN161" s="289"/>
      <c r="AO161" s="289"/>
      <c r="AP161" s="289"/>
      <c r="AQ161" s="289"/>
      <c r="AR161" s="289"/>
      <c r="AS161" s="289"/>
      <c r="AT161" s="289"/>
      <c r="AU161" s="289"/>
      <c r="AV161" s="289"/>
      <c r="AW161" s="289"/>
      <c r="AX161" s="289"/>
      <c r="AY161" s="289"/>
    </row>
    <row r="162" spans="1:51" ht="13.5" customHeight="1">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c r="AA162" s="289"/>
      <c r="AB162" s="289"/>
      <c r="AC162" s="289"/>
      <c r="AD162" s="289"/>
      <c r="AE162" s="289"/>
      <c r="AF162" s="289"/>
      <c r="AG162" s="289"/>
      <c r="AH162" s="289"/>
      <c r="AI162" s="289"/>
      <c r="AJ162" s="289"/>
      <c r="AK162" s="289"/>
      <c r="AL162" s="289"/>
      <c r="AM162" s="289"/>
      <c r="AN162" s="289"/>
      <c r="AO162" s="289"/>
      <c r="AP162" s="289"/>
      <c r="AQ162" s="289"/>
      <c r="AR162" s="289"/>
      <c r="AS162" s="289"/>
      <c r="AT162" s="289"/>
      <c r="AU162" s="289"/>
      <c r="AV162" s="289"/>
      <c r="AW162" s="289"/>
      <c r="AX162" s="289"/>
      <c r="AY162" s="289"/>
    </row>
    <row r="163" spans="1:51" ht="13.5" customHeight="1">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c r="AA163" s="289"/>
      <c r="AB163" s="289"/>
      <c r="AC163" s="289"/>
      <c r="AD163" s="289"/>
      <c r="AE163" s="289"/>
      <c r="AF163" s="289"/>
      <c r="AG163" s="289"/>
      <c r="AH163" s="289"/>
      <c r="AI163" s="289"/>
      <c r="AJ163" s="289"/>
      <c r="AK163" s="289"/>
      <c r="AL163" s="289"/>
      <c r="AM163" s="289"/>
      <c r="AN163" s="289"/>
      <c r="AO163" s="289"/>
      <c r="AP163" s="289"/>
      <c r="AQ163" s="289"/>
      <c r="AR163" s="289"/>
      <c r="AS163" s="289"/>
      <c r="AT163" s="289"/>
      <c r="AU163" s="289"/>
      <c r="AV163" s="289"/>
      <c r="AW163" s="289"/>
      <c r="AX163" s="289"/>
      <c r="AY163" s="289"/>
    </row>
    <row r="164" spans="1:51" ht="13.5" customHeight="1">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c r="AA164" s="289"/>
      <c r="AB164" s="289"/>
      <c r="AC164" s="289"/>
      <c r="AD164" s="289"/>
      <c r="AE164" s="289"/>
      <c r="AF164" s="289"/>
      <c r="AG164" s="289"/>
      <c r="AH164" s="289"/>
      <c r="AI164" s="289"/>
      <c r="AJ164" s="289"/>
      <c r="AK164" s="289"/>
      <c r="AL164" s="289"/>
      <c r="AM164" s="289"/>
      <c r="AN164" s="289"/>
      <c r="AO164" s="289"/>
      <c r="AP164" s="289"/>
      <c r="AQ164" s="289"/>
      <c r="AR164" s="289"/>
      <c r="AS164" s="289"/>
      <c r="AT164" s="289"/>
      <c r="AU164" s="289"/>
      <c r="AV164" s="289"/>
      <c r="AW164" s="289"/>
      <c r="AX164" s="289"/>
      <c r="AY164" s="289"/>
    </row>
    <row r="165" spans="1:51" ht="13.5" customHeight="1">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c r="AA165" s="289"/>
      <c r="AB165" s="289"/>
      <c r="AC165" s="289"/>
      <c r="AD165" s="289"/>
      <c r="AE165" s="289"/>
      <c r="AF165" s="289"/>
      <c r="AG165" s="289"/>
      <c r="AH165" s="289"/>
      <c r="AI165" s="289"/>
      <c r="AJ165" s="289"/>
      <c r="AK165" s="289"/>
      <c r="AL165" s="289"/>
      <c r="AM165" s="289"/>
      <c r="AN165" s="289"/>
      <c r="AO165" s="289"/>
      <c r="AP165" s="289"/>
      <c r="AQ165" s="289"/>
      <c r="AR165" s="289"/>
      <c r="AS165" s="289"/>
      <c r="AT165" s="289"/>
      <c r="AU165" s="289"/>
      <c r="AV165" s="289"/>
      <c r="AW165" s="289"/>
      <c r="AX165" s="289"/>
      <c r="AY165" s="289"/>
    </row>
    <row r="166" spans="1:51" ht="13.5" customHeight="1">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c r="AA166" s="289"/>
      <c r="AB166" s="289"/>
      <c r="AC166" s="289"/>
      <c r="AD166" s="289"/>
      <c r="AE166" s="289"/>
      <c r="AF166" s="289"/>
      <c r="AG166" s="289"/>
      <c r="AH166" s="289"/>
      <c r="AI166" s="289"/>
      <c r="AJ166" s="289"/>
      <c r="AK166" s="289"/>
      <c r="AL166" s="289"/>
      <c r="AM166" s="289"/>
      <c r="AN166" s="289"/>
      <c r="AO166" s="289"/>
      <c r="AP166" s="289"/>
      <c r="AQ166" s="289"/>
      <c r="AR166" s="289"/>
      <c r="AS166" s="289"/>
      <c r="AT166" s="289"/>
      <c r="AU166" s="289"/>
      <c r="AV166" s="289"/>
      <c r="AW166" s="289"/>
      <c r="AX166" s="289"/>
      <c r="AY166" s="289"/>
    </row>
    <row r="167" spans="1:51" ht="13.5" customHeight="1">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c r="AA167" s="289"/>
      <c r="AB167" s="289"/>
      <c r="AC167" s="289"/>
      <c r="AD167" s="289"/>
      <c r="AE167" s="289"/>
      <c r="AF167" s="289"/>
      <c r="AG167" s="289"/>
      <c r="AH167" s="289"/>
      <c r="AI167" s="289"/>
      <c r="AJ167" s="289"/>
      <c r="AK167" s="289"/>
      <c r="AL167" s="289"/>
      <c r="AM167" s="289"/>
      <c r="AN167" s="289"/>
      <c r="AO167" s="289"/>
      <c r="AP167" s="289"/>
      <c r="AQ167" s="289"/>
      <c r="AR167" s="289"/>
      <c r="AS167" s="289"/>
      <c r="AT167" s="289"/>
      <c r="AU167" s="289"/>
      <c r="AV167" s="289"/>
      <c r="AW167" s="289"/>
      <c r="AX167" s="289"/>
      <c r="AY167" s="289"/>
    </row>
    <row r="168" spans="1:51" ht="13.5" customHeight="1">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c r="AA168" s="289"/>
      <c r="AB168" s="289"/>
      <c r="AC168" s="289"/>
      <c r="AD168" s="289"/>
      <c r="AE168" s="289"/>
      <c r="AF168" s="289"/>
      <c r="AG168" s="289"/>
      <c r="AH168" s="289"/>
      <c r="AI168" s="289"/>
      <c r="AJ168" s="289"/>
      <c r="AK168" s="289"/>
      <c r="AL168" s="289"/>
      <c r="AM168" s="289"/>
      <c r="AN168" s="289"/>
      <c r="AO168" s="289"/>
      <c r="AP168" s="289"/>
      <c r="AQ168" s="289"/>
      <c r="AR168" s="289"/>
      <c r="AS168" s="289"/>
      <c r="AT168" s="289"/>
      <c r="AU168" s="289"/>
      <c r="AV168" s="289"/>
      <c r="AW168" s="289"/>
      <c r="AX168" s="289"/>
      <c r="AY168" s="289"/>
    </row>
    <row r="169" spans="1:51" ht="13.5" customHeight="1">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c r="AA169" s="289"/>
      <c r="AB169" s="289"/>
      <c r="AC169" s="289"/>
      <c r="AD169" s="289"/>
      <c r="AE169" s="289"/>
      <c r="AF169" s="289"/>
      <c r="AG169" s="289"/>
      <c r="AH169" s="289"/>
      <c r="AI169" s="289"/>
      <c r="AJ169" s="289"/>
      <c r="AK169" s="289"/>
      <c r="AL169" s="289"/>
      <c r="AM169" s="289"/>
      <c r="AN169" s="289"/>
      <c r="AO169" s="289"/>
      <c r="AP169" s="289"/>
      <c r="AQ169" s="289"/>
      <c r="AR169" s="289"/>
      <c r="AS169" s="289"/>
      <c r="AT169" s="289"/>
      <c r="AU169" s="289"/>
      <c r="AV169" s="289"/>
      <c r="AW169" s="289"/>
      <c r="AX169" s="289"/>
      <c r="AY169" s="289"/>
    </row>
    <row r="170" spans="1:51" ht="13.5" customHeight="1">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c r="AA170" s="289"/>
      <c r="AB170" s="289"/>
      <c r="AC170" s="289"/>
      <c r="AD170" s="289"/>
      <c r="AE170" s="289"/>
      <c r="AF170" s="289"/>
      <c r="AG170" s="289"/>
      <c r="AH170" s="289"/>
      <c r="AI170" s="289"/>
      <c r="AJ170" s="289"/>
      <c r="AK170" s="289"/>
      <c r="AL170" s="289"/>
      <c r="AM170" s="289"/>
      <c r="AN170" s="289"/>
      <c r="AO170" s="289"/>
      <c r="AP170" s="289"/>
      <c r="AQ170" s="289"/>
      <c r="AR170" s="289"/>
      <c r="AS170" s="289"/>
      <c r="AT170" s="289"/>
      <c r="AU170" s="289"/>
      <c r="AV170" s="289"/>
      <c r="AW170" s="289"/>
      <c r="AX170" s="289"/>
      <c r="AY170" s="289"/>
    </row>
    <row r="171" spans="1:51" ht="13.5" customHeight="1">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89"/>
      <c r="AX171" s="289"/>
      <c r="AY171" s="289"/>
    </row>
    <row r="172" spans="1:51" ht="13.5" customHeight="1">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c r="AA172" s="289"/>
      <c r="AB172" s="289"/>
      <c r="AC172" s="289"/>
      <c r="AD172" s="289"/>
      <c r="AE172" s="289"/>
      <c r="AF172" s="289"/>
      <c r="AG172" s="289"/>
      <c r="AH172" s="289"/>
      <c r="AI172" s="289"/>
      <c r="AJ172" s="289"/>
      <c r="AK172" s="289"/>
      <c r="AL172" s="289"/>
      <c r="AM172" s="289"/>
      <c r="AN172" s="289"/>
      <c r="AO172" s="289"/>
      <c r="AP172" s="289"/>
      <c r="AQ172" s="289"/>
      <c r="AR172" s="289"/>
      <c r="AS172" s="289"/>
      <c r="AT172" s="289"/>
      <c r="AU172" s="289"/>
      <c r="AV172" s="289"/>
      <c r="AW172" s="289"/>
      <c r="AX172" s="289"/>
      <c r="AY172" s="289"/>
    </row>
    <row r="173" spans="1:51" ht="13.5" customHeight="1">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289"/>
      <c r="AC173" s="289"/>
      <c r="AD173" s="289"/>
      <c r="AE173" s="289"/>
      <c r="AF173" s="289"/>
      <c r="AG173" s="289"/>
      <c r="AH173" s="289"/>
      <c r="AI173" s="289"/>
      <c r="AJ173" s="289"/>
      <c r="AK173" s="289"/>
      <c r="AL173" s="289"/>
      <c r="AM173" s="289"/>
      <c r="AN173" s="289"/>
      <c r="AO173" s="289"/>
      <c r="AP173" s="289"/>
      <c r="AQ173" s="289"/>
      <c r="AR173" s="289"/>
      <c r="AS173" s="289"/>
      <c r="AT173" s="289"/>
      <c r="AU173" s="289"/>
      <c r="AV173" s="289"/>
      <c r="AW173" s="289"/>
      <c r="AX173" s="289"/>
      <c r="AY173" s="289"/>
    </row>
    <row r="174" spans="1:51" ht="13.5" customHeight="1">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289"/>
      <c r="AC174" s="289"/>
      <c r="AD174" s="289"/>
      <c r="AE174" s="289"/>
      <c r="AF174" s="289"/>
      <c r="AG174" s="289"/>
      <c r="AH174" s="289"/>
      <c r="AI174" s="289"/>
      <c r="AJ174" s="289"/>
      <c r="AK174" s="289"/>
      <c r="AL174" s="289"/>
      <c r="AM174" s="289"/>
      <c r="AN174" s="289"/>
      <c r="AO174" s="289"/>
      <c r="AP174" s="289"/>
      <c r="AQ174" s="289"/>
      <c r="AR174" s="289"/>
      <c r="AS174" s="289"/>
      <c r="AT174" s="289"/>
      <c r="AU174" s="289"/>
      <c r="AV174" s="289"/>
      <c r="AW174" s="289"/>
      <c r="AX174" s="289"/>
      <c r="AY174" s="289"/>
    </row>
    <row r="175" spans="1:51" ht="13.5" customHeight="1">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c r="AA175" s="289"/>
      <c r="AB175" s="289"/>
      <c r="AC175" s="289"/>
      <c r="AD175" s="289"/>
      <c r="AE175" s="289"/>
      <c r="AF175" s="289"/>
      <c r="AG175" s="289"/>
      <c r="AH175" s="289"/>
      <c r="AI175" s="289"/>
      <c r="AJ175" s="289"/>
      <c r="AK175" s="289"/>
      <c r="AL175" s="289"/>
      <c r="AM175" s="289"/>
      <c r="AN175" s="289"/>
      <c r="AO175" s="289"/>
      <c r="AP175" s="289"/>
      <c r="AQ175" s="289"/>
      <c r="AR175" s="289"/>
      <c r="AS175" s="289"/>
      <c r="AT175" s="289"/>
      <c r="AU175" s="289"/>
      <c r="AV175" s="289"/>
      <c r="AW175" s="289"/>
      <c r="AX175" s="289"/>
      <c r="AY175" s="289"/>
    </row>
    <row r="176" spans="1:51" ht="13.5" customHeight="1">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89"/>
      <c r="AH176" s="289"/>
      <c r="AI176" s="289"/>
      <c r="AJ176" s="289"/>
      <c r="AK176" s="289"/>
      <c r="AL176" s="289"/>
      <c r="AM176" s="289"/>
      <c r="AN176" s="289"/>
      <c r="AO176" s="289"/>
      <c r="AP176" s="289"/>
      <c r="AQ176" s="289"/>
      <c r="AR176" s="289"/>
      <c r="AS176" s="289"/>
      <c r="AT176" s="289"/>
      <c r="AU176" s="289"/>
      <c r="AV176" s="289"/>
      <c r="AW176" s="289"/>
      <c r="AX176" s="289"/>
      <c r="AY176" s="289"/>
    </row>
    <row r="177" spans="1:51" ht="13.5" customHeight="1">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c r="AA177" s="289"/>
      <c r="AB177" s="289"/>
      <c r="AC177" s="289"/>
      <c r="AD177" s="289"/>
      <c r="AE177" s="289"/>
      <c r="AF177" s="289"/>
      <c r="AG177" s="289"/>
      <c r="AH177" s="289"/>
      <c r="AI177" s="289"/>
      <c r="AJ177" s="289"/>
      <c r="AK177" s="289"/>
      <c r="AL177" s="289"/>
      <c r="AM177" s="289"/>
      <c r="AN177" s="289"/>
      <c r="AO177" s="289"/>
      <c r="AP177" s="289"/>
      <c r="AQ177" s="289"/>
      <c r="AR177" s="289"/>
      <c r="AS177" s="289"/>
      <c r="AT177" s="289"/>
      <c r="AU177" s="289"/>
      <c r="AV177" s="289"/>
      <c r="AW177" s="289"/>
      <c r="AX177" s="289"/>
      <c r="AY177" s="289"/>
    </row>
    <row r="178" spans="1:51" ht="13.5" customHeight="1">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c r="AA178" s="289"/>
      <c r="AB178" s="289"/>
      <c r="AC178" s="289"/>
      <c r="AD178" s="289"/>
      <c r="AE178" s="289"/>
      <c r="AF178" s="289"/>
      <c r="AG178" s="289"/>
      <c r="AH178" s="289"/>
      <c r="AI178" s="289"/>
      <c r="AJ178" s="289"/>
      <c r="AK178" s="289"/>
      <c r="AL178" s="289"/>
      <c r="AM178" s="289"/>
      <c r="AN178" s="289"/>
      <c r="AO178" s="289"/>
      <c r="AP178" s="289"/>
      <c r="AQ178" s="289"/>
      <c r="AR178" s="289"/>
      <c r="AS178" s="289"/>
      <c r="AT178" s="289"/>
      <c r="AU178" s="289"/>
      <c r="AV178" s="289"/>
      <c r="AW178" s="289"/>
      <c r="AX178" s="289"/>
      <c r="AY178" s="289"/>
    </row>
    <row r="179" spans="1:51" ht="13.5" customHeight="1">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89"/>
      <c r="AH179" s="289"/>
      <c r="AI179" s="289"/>
      <c r="AJ179" s="289"/>
      <c r="AK179" s="289"/>
      <c r="AL179" s="289"/>
      <c r="AM179" s="289"/>
      <c r="AN179" s="289"/>
      <c r="AO179" s="289"/>
      <c r="AP179" s="289"/>
      <c r="AQ179" s="289"/>
      <c r="AR179" s="289"/>
      <c r="AS179" s="289"/>
      <c r="AT179" s="289"/>
      <c r="AU179" s="289"/>
      <c r="AV179" s="289"/>
      <c r="AW179" s="289"/>
      <c r="AX179" s="289"/>
      <c r="AY179" s="289"/>
    </row>
    <row r="180" spans="1:51" ht="13.5" customHeight="1">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c r="AA180" s="289"/>
      <c r="AB180" s="289"/>
      <c r="AC180" s="289"/>
      <c r="AD180" s="289"/>
      <c r="AE180" s="289"/>
      <c r="AF180" s="289"/>
      <c r="AG180" s="289"/>
      <c r="AH180" s="289"/>
      <c r="AI180" s="289"/>
      <c r="AJ180" s="289"/>
      <c r="AK180" s="289"/>
      <c r="AL180" s="289"/>
      <c r="AM180" s="289"/>
      <c r="AN180" s="289"/>
      <c r="AO180" s="289"/>
      <c r="AP180" s="289"/>
      <c r="AQ180" s="289"/>
      <c r="AR180" s="289"/>
      <c r="AS180" s="289"/>
      <c r="AT180" s="289"/>
      <c r="AU180" s="289"/>
      <c r="AV180" s="289"/>
      <c r="AW180" s="289"/>
      <c r="AX180" s="289"/>
      <c r="AY180" s="289"/>
    </row>
    <row r="181" spans="1:51" ht="13.5" customHeight="1">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c r="AA181" s="289"/>
      <c r="AB181" s="289"/>
      <c r="AC181" s="289"/>
      <c r="AD181" s="289"/>
      <c r="AE181" s="289"/>
      <c r="AF181" s="289"/>
      <c r="AG181" s="289"/>
      <c r="AH181" s="289"/>
      <c r="AI181" s="289"/>
      <c r="AJ181" s="289"/>
      <c r="AK181" s="289"/>
      <c r="AL181" s="289"/>
      <c r="AM181" s="289"/>
      <c r="AN181" s="289"/>
      <c r="AO181" s="289"/>
      <c r="AP181" s="289"/>
      <c r="AQ181" s="289"/>
      <c r="AR181" s="289"/>
      <c r="AS181" s="289"/>
      <c r="AT181" s="289"/>
      <c r="AU181" s="289"/>
      <c r="AV181" s="289"/>
      <c r="AW181" s="289"/>
      <c r="AX181" s="289"/>
      <c r="AY181" s="289"/>
    </row>
    <row r="182" spans="1:51" ht="13.5" customHeight="1">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c r="AA182" s="289"/>
      <c r="AB182" s="289"/>
      <c r="AC182" s="289"/>
      <c r="AD182" s="289"/>
      <c r="AE182" s="289"/>
      <c r="AF182" s="289"/>
      <c r="AG182" s="289"/>
      <c r="AH182" s="289"/>
      <c r="AI182" s="289"/>
      <c r="AJ182" s="289"/>
      <c r="AK182" s="289"/>
      <c r="AL182" s="289"/>
      <c r="AM182" s="289"/>
      <c r="AN182" s="289"/>
      <c r="AO182" s="289"/>
      <c r="AP182" s="289"/>
      <c r="AQ182" s="289"/>
      <c r="AR182" s="289"/>
      <c r="AS182" s="289"/>
      <c r="AT182" s="289"/>
      <c r="AU182" s="289"/>
      <c r="AV182" s="289"/>
      <c r="AW182" s="289"/>
      <c r="AX182" s="289"/>
      <c r="AY182" s="289"/>
    </row>
    <row r="183" spans="1:51" ht="13.5" customHeight="1">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c r="AA183" s="289"/>
      <c r="AB183" s="289"/>
      <c r="AC183" s="289"/>
      <c r="AD183" s="289"/>
      <c r="AE183" s="289"/>
      <c r="AF183" s="289"/>
      <c r="AG183" s="289"/>
      <c r="AH183" s="289"/>
      <c r="AI183" s="289"/>
      <c r="AJ183" s="289"/>
      <c r="AK183" s="289"/>
      <c r="AL183" s="289"/>
      <c r="AM183" s="289"/>
      <c r="AN183" s="289"/>
      <c r="AO183" s="289"/>
      <c r="AP183" s="289"/>
      <c r="AQ183" s="289"/>
      <c r="AR183" s="289"/>
      <c r="AS183" s="289"/>
      <c r="AT183" s="289"/>
      <c r="AU183" s="289"/>
      <c r="AV183" s="289"/>
      <c r="AW183" s="289"/>
      <c r="AX183" s="289"/>
      <c r="AY183" s="289"/>
    </row>
    <row r="184" spans="1:51" ht="13.5" customHeight="1">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c r="AA184" s="289"/>
      <c r="AB184" s="289"/>
      <c r="AC184" s="289"/>
      <c r="AD184" s="289"/>
      <c r="AE184" s="289"/>
      <c r="AF184" s="289"/>
      <c r="AG184" s="289"/>
      <c r="AH184" s="289"/>
      <c r="AI184" s="289"/>
      <c r="AJ184" s="289"/>
      <c r="AK184" s="289"/>
      <c r="AL184" s="289"/>
      <c r="AM184" s="289"/>
      <c r="AN184" s="289"/>
      <c r="AO184" s="289"/>
      <c r="AP184" s="289"/>
      <c r="AQ184" s="289"/>
      <c r="AR184" s="289"/>
      <c r="AS184" s="289"/>
      <c r="AT184" s="289"/>
      <c r="AU184" s="289"/>
      <c r="AV184" s="289"/>
      <c r="AW184" s="289"/>
      <c r="AX184" s="289"/>
      <c r="AY184" s="289"/>
    </row>
    <row r="185" spans="1:51" ht="13.5" customHeight="1">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c r="AA185" s="289"/>
      <c r="AB185" s="289"/>
      <c r="AC185" s="289"/>
      <c r="AD185" s="289"/>
      <c r="AE185" s="289"/>
      <c r="AF185" s="289"/>
      <c r="AG185" s="289"/>
      <c r="AH185" s="289"/>
      <c r="AI185" s="289"/>
      <c r="AJ185" s="289"/>
      <c r="AK185" s="289"/>
      <c r="AL185" s="289"/>
      <c r="AM185" s="289"/>
      <c r="AN185" s="289"/>
      <c r="AO185" s="289"/>
      <c r="AP185" s="289"/>
      <c r="AQ185" s="289"/>
      <c r="AR185" s="289"/>
      <c r="AS185" s="289"/>
      <c r="AT185" s="289"/>
      <c r="AU185" s="289"/>
      <c r="AV185" s="289"/>
      <c r="AW185" s="289"/>
      <c r="AX185" s="289"/>
      <c r="AY185" s="289"/>
    </row>
    <row r="186" spans="1:51" ht="13.5" customHeight="1">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c r="AA186" s="289"/>
      <c r="AB186" s="289"/>
      <c r="AC186" s="289"/>
      <c r="AD186" s="289"/>
      <c r="AE186" s="289"/>
      <c r="AF186" s="289"/>
      <c r="AG186" s="289"/>
      <c r="AH186" s="289"/>
      <c r="AI186" s="289"/>
      <c r="AJ186" s="289"/>
      <c r="AK186" s="289"/>
      <c r="AL186" s="289"/>
      <c r="AM186" s="289"/>
      <c r="AN186" s="289"/>
      <c r="AO186" s="289"/>
      <c r="AP186" s="289"/>
      <c r="AQ186" s="289"/>
      <c r="AR186" s="289"/>
      <c r="AS186" s="289"/>
      <c r="AT186" s="289"/>
      <c r="AU186" s="289"/>
      <c r="AV186" s="289"/>
      <c r="AW186" s="289"/>
      <c r="AX186" s="289"/>
      <c r="AY186" s="289"/>
    </row>
    <row r="187" spans="1:51" ht="13.5" customHeight="1">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c r="AA187" s="289"/>
      <c r="AB187" s="289"/>
      <c r="AC187" s="289"/>
      <c r="AD187" s="289"/>
      <c r="AE187" s="289"/>
      <c r="AF187" s="289"/>
      <c r="AG187" s="289"/>
      <c r="AH187" s="289"/>
      <c r="AI187" s="289"/>
      <c r="AJ187" s="289"/>
      <c r="AK187" s="289"/>
      <c r="AL187" s="289"/>
      <c r="AM187" s="289"/>
      <c r="AN187" s="289"/>
      <c r="AO187" s="289"/>
      <c r="AP187" s="289"/>
      <c r="AQ187" s="289"/>
      <c r="AR187" s="289"/>
      <c r="AS187" s="289"/>
      <c r="AT187" s="289"/>
      <c r="AU187" s="289"/>
      <c r="AV187" s="289"/>
      <c r="AW187" s="289"/>
      <c r="AX187" s="289"/>
      <c r="AY187" s="289"/>
    </row>
    <row r="188" spans="1:51" ht="13.5" customHeight="1">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c r="AA188" s="289"/>
      <c r="AB188" s="289"/>
      <c r="AC188" s="289"/>
      <c r="AD188" s="289"/>
      <c r="AE188" s="289"/>
      <c r="AF188" s="289"/>
      <c r="AG188" s="289"/>
      <c r="AH188" s="289"/>
      <c r="AI188" s="289"/>
      <c r="AJ188" s="289"/>
      <c r="AK188" s="289"/>
      <c r="AL188" s="289"/>
      <c r="AM188" s="289"/>
      <c r="AN188" s="289"/>
      <c r="AO188" s="289"/>
      <c r="AP188" s="289"/>
      <c r="AQ188" s="289"/>
      <c r="AR188" s="289"/>
      <c r="AS188" s="289"/>
      <c r="AT188" s="289"/>
      <c r="AU188" s="289"/>
      <c r="AV188" s="289"/>
      <c r="AW188" s="289"/>
      <c r="AX188" s="289"/>
      <c r="AY188" s="289"/>
    </row>
    <row r="189" spans="1:51" ht="13.5" customHeight="1">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c r="AA189" s="289"/>
      <c r="AB189" s="289"/>
      <c r="AC189" s="289"/>
      <c r="AD189" s="289"/>
      <c r="AE189" s="289"/>
      <c r="AF189" s="289"/>
      <c r="AG189" s="289"/>
      <c r="AH189" s="289"/>
      <c r="AI189" s="289"/>
      <c r="AJ189" s="289"/>
      <c r="AK189" s="289"/>
      <c r="AL189" s="289"/>
      <c r="AM189" s="289"/>
      <c r="AN189" s="289"/>
      <c r="AO189" s="289"/>
      <c r="AP189" s="289"/>
      <c r="AQ189" s="289"/>
      <c r="AR189" s="289"/>
      <c r="AS189" s="289"/>
      <c r="AT189" s="289"/>
      <c r="AU189" s="289"/>
      <c r="AV189" s="289"/>
      <c r="AW189" s="289"/>
      <c r="AX189" s="289"/>
      <c r="AY189" s="289"/>
    </row>
    <row r="190" spans="1:51" ht="13.5" customHeight="1">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c r="AA190" s="289"/>
      <c r="AB190" s="289"/>
      <c r="AC190" s="289"/>
      <c r="AD190" s="289"/>
      <c r="AE190" s="289"/>
      <c r="AF190" s="289"/>
      <c r="AG190" s="289"/>
      <c r="AH190" s="289"/>
      <c r="AI190" s="289"/>
      <c r="AJ190" s="289"/>
      <c r="AK190" s="289"/>
      <c r="AL190" s="289"/>
      <c r="AM190" s="289"/>
      <c r="AN190" s="289"/>
      <c r="AO190" s="289"/>
      <c r="AP190" s="289"/>
      <c r="AQ190" s="289"/>
      <c r="AR190" s="289"/>
      <c r="AS190" s="289"/>
      <c r="AT190" s="289"/>
      <c r="AU190" s="289"/>
      <c r="AV190" s="289"/>
      <c r="AW190" s="289"/>
      <c r="AX190" s="289"/>
      <c r="AY190" s="289"/>
    </row>
    <row r="191" spans="1:51" ht="13.5" customHeight="1">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c r="AA191" s="289"/>
      <c r="AB191" s="289"/>
      <c r="AC191" s="289"/>
      <c r="AD191" s="289"/>
      <c r="AE191" s="289"/>
      <c r="AF191" s="289"/>
      <c r="AG191" s="289"/>
      <c r="AH191" s="289"/>
      <c r="AI191" s="289"/>
      <c r="AJ191" s="289"/>
      <c r="AK191" s="289"/>
      <c r="AL191" s="289"/>
      <c r="AM191" s="289"/>
      <c r="AN191" s="289"/>
      <c r="AO191" s="289"/>
      <c r="AP191" s="289"/>
      <c r="AQ191" s="289"/>
      <c r="AR191" s="289"/>
      <c r="AS191" s="289"/>
      <c r="AT191" s="289"/>
      <c r="AU191" s="289"/>
      <c r="AV191" s="289"/>
      <c r="AW191" s="289"/>
      <c r="AX191" s="289"/>
      <c r="AY191" s="289"/>
    </row>
    <row r="192" spans="1:51" ht="13.5" customHeight="1">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c r="AA192" s="289"/>
      <c r="AB192" s="289"/>
      <c r="AC192" s="289"/>
      <c r="AD192" s="289"/>
      <c r="AE192" s="289"/>
      <c r="AF192" s="289"/>
      <c r="AG192" s="289"/>
      <c r="AH192" s="289"/>
      <c r="AI192" s="289"/>
      <c r="AJ192" s="289"/>
      <c r="AK192" s="289"/>
      <c r="AL192" s="289"/>
      <c r="AM192" s="289"/>
      <c r="AN192" s="289"/>
      <c r="AO192" s="289"/>
      <c r="AP192" s="289"/>
      <c r="AQ192" s="289"/>
      <c r="AR192" s="289"/>
      <c r="AS192" s="289"/>
      <c r="AT192" s="289"/>
      <c r="AU192" s="289"/>
      <c r="AV192" s="289"/>
      <c r="AW192" s="289"/>
      <c r="AX192" s="289"/>
      <c r="AY192" s="289"/>
    </row>
    <row r="193" spans="1:51" ht="13.5" customHeight="1">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c r="AA193" s="289"/>
      <c r="AB193" s="289"/>
      <c r="AC193" s="289"/>
      <c r="AD193" s="289"/>
      <c r="AE193" s="289"/>
      <c r="AF193" s="289"/>
      <c r="AG193" s="289"/>
      <c r="AH193" s="289"/>
      <c r="AI193" s="289"/>
      <c r="AJ193" s="289"/>
      <c r="AK193" s="289"/>
      <c r="AL193" s="289"/>
      <c r="AM193" s="289"/>
      <c r="AN193" s="289"/>
      <c r="AO193" s="289"/>
      <c r="AP193" s="289"/>
      <c r="AQ193" s="289"/>
      <c r="AR193" s="289"/>
      <c r="AS193" s="289"/>
      <c r="AT193" s="289"/>
      <c r="AU193" s="289"/>
      <c r="AV193" s="289"/>
      <c r="AW193" s="289"/>
      <c r="AX193" s="289"/>
      <c r="AY193" s="289"/>
    </row>
    <row r="194" spans="1:51" ht="13.5" customHeight="1">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c r="AA194" s="289"/>
      <c r="AB194" s="289"/>
      <c r="AC194" s="289"/>
      <c r="AD194" s="289"/>
      <c r="AE194" s="289"/>
      <c r="AF194" s="289"/>
      <c r="AG194" s="289"/>
      <c r="AH194" s="289"/>
      <c r="AI194" s="289"/>
      <c r="AJ194" s="289"/>
      <c r="AK194" s="289"/>
      <c r="AL194" s="289"/>
      <c r="AM194" s="289"/>
      <c r="AN194" s="289"/>
      <c r="AO194" s="289"/>
      <c r="AP194" s="289"/>
      <c r="AQ194" s="289"/>
      <c r="AR194" s="289"/>
      <c r="AS194" s="289"/>
      <c r="AT194" s="289"/>
      <c r="AU194" s="289"/>
      <c r="AV194" s="289"/>
      <c r="AW194" s="289"/>
      <c r="AX194" s="289"/>
      <c r="AY194" s="289"/>
    </row>
    <row r="195" spans="1:51" ht="13.5" customHeight="1">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c r="AA195" s="289"/>
      <c r="AB195" s="289"/>
      <c r="AC195" s="289"/>
      <c r="AD195" s="289"/>
      <c r="AE195" s="289"/>
      <c r="AF195" s="289"/>
      <c r="AG195" s="289"/>
      <c r="AH195" s="289"/>
      <c r="AI195" s="289"/>
      <c r="AJ195" s="289"/>
      <c r="AK195" s="289"/>
      <c r="AL195" s="289"/>
      <c r="AM195" s="289"/>
      <c r="AN195" s="289"/>
      <c r="AO195" s="289"/>
      <c r="AP195" s="289"/>
      <c r="AQ195" s="289"/>
      <c r="AR195" s="289"/>
      <c r="AS195" s="289"/>
      <c r="AT195" s="289"/>
      <c r="AU195" s="289"/>
      <c r="AV195" s="289"/>
      <c r="AW195" s="289"/>
      <c r="AX195" s="289"/>
      <c r="AY195" s="289"/>
    </row>
    <row r="196" spans="1:51" ht="13.5" customHeight="1">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289"/>
      <c r="AH196" s="289"/>
      <c r="AI196" s="289"/>
      <c r="AJ196" s="289"/>
      <c r="AK196" s="289"/>
      <c r="AL196" s="289"/>
      <c r="AM196" s="289"/>
      <c r="AN196" s="289"/>
      <c r="AO196" s="289"/>
      <c r="AP196" s="289"/>
      <c r="AQ196" s="289"/>
      <c r="AR196" s="289"/>
      <c r="AS196" s="289"/>
      <c r="AT196" s="289"/>
      <c r="AU196" s="289"/>
      <c r="AV196" s="289"/>
      <c r="AW196" s="289"/>
      <c r="AX196" s="289"/>
      <c r="AY196" s="289"/>
    </row>
    <row r="197" spans="1:51" ht="13.5" customHeight="1">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c r="AA197" s="289"/>
      <c r="AB197" s="289"/>
      <c r="AC197" s="289"/>
      <c r="AD197" s="289"/>
      <c r="AE197" s="289"/>
      <c r="AF197" s="289"/>
      <c r="AG197" s="289"/>
      <c r="AH197" s="289"/>
      <c r="AI197" s="289"/>
      <c r="AJ197" s="289"/>
      <c r="AK197" s="289"/>
      <c r="AL197" s="289"/>
      <c r="AM197" s="289"/>
      <c r="AN197" s="289"/>
      <c r="AO197" s="289"/>
      <c r="AP197" s="289"/>
      <c r="AQ197" s="289"/>
      <c r="AR197" s="289"/>
      <c r="AS197" s="289"/>
      <c r="AT197" s="289"/>
      <c r="AU197" s="289"/>
      <c r="AV197" s="289"/>
      <c r="AW197" s="289"/>
      <c r="AX197" s="289"/>
      <c r="AY197" s="289"/>
    </row>
    <row r="198" spans="1:51" ht="13.5" customHeight="1">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289"/>
      <c r="AH198" s="289"/>
      <c r="AI198" s="289"/>
      <c r="AJ198" s="289"/>
      <c r="AK198" s="289"/>
      <c r="AL198" s="289"/>
      <c r="AM198" s="289"/>
      <c r="AN198" s="289"/>
      <c r="AO198" s="289"/>
      <c r="AP198" s="289"/>
      <c r="AQ198" s="289"/>
      <c r="AR198" s="289"/>
      <c r="AS198" s="289"/>
      <c r="AT198" s="289"/>
      <c r="AU198" s="289"/>
      <c r="AV198" s="289"/>
      <c r="AW198" s="289"/>
      <c r="AX198" s="289"/>
      <c r="AY198" s="289"/>
    </row>
    <row r="199" spans="1:51" ht="13.5" customHeight="1">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289"/>
      <c r="AH199" s="289"/>
      <c r="AI199" s="289"/>
      <c r="AJ199" s="289"/>
      <c r="AK199" s="289"/>
      <c r="AL199" s="289"/>
      <c r="AM199" s="289"/>
      <c r="AN199" s="289"/>
      <c r="AO199" s="289"/>
      <c r="AP199" s="289"/>
      <c r="AQ199" s="289"/>
      <c r="AR199" s="289"/>
      <c r="AS199" s="289"/>
      <c r="AT199" s="289"/>
      <c r="AU199" s="289"/>
      <c r="AV199" s="289"/>
      <c r="AW199" s="289"/>
      <c r="AX199" s="289"/>
      <c r="AY199" s="289"/>
    </row>
    <row r="200" spans="1:51" ht="13.5" customHeight="1">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289"/>
      <c r="AH200" s="289"/>
      <c r="AI200" s="289"/>
      <c r="AJ200" s="289"/>
      <c r="AK200" s="289"/>
      <c r="AL200" s="289"/>
      <c r="AM200" s="289"/>
      <c r="AN200" s="289"/>
      <c r="AO200" s="289"/>
      <c r="AP200" s="289"/>
      <c r="AQ200" s="289"/>
      <c r="AR200" s="289"/>
      <c r="AS200" s="289"/>
      <c r="AT200" s="289"/>
      <c r="AU200" s="289"/>
      <c r="AV200" s="289"/>
      <c r="AW200" s="289"/>
      <c r="AX200" s="289"/>
      <c r="AY200" s="289"/>
    </row>
    <row r="201" spans="1:51" ht="13.5" customHeight="1">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c r="AA201" s="289"/>
      <c r="AB201" s="289"/>
      <c r="AC201" s="289"/>
      <c r="AD201" s="289"/>
      <c r="AE201" s="289"/>
      <c r="AF201" s="289"/>
      <c r="AG201" s="289"/>
      <c r="AH201" s="289"/>
      <c r="AI201" s="289"/>
      <c r="AJ201" s="289"/>
      <c r="AK201" s="289"/>
      <c r="AL201" s="289"/>
      <c r="AM201" s="289"/>
      <c r="AN201" s="289"/>
      <c r="AO201" s="289"/>
      <c r="AP201" s="289"/>
      <c r="AQ201" s="289"/>
      <c r="AR201" s="289"/>
      <c r="AS201" s="289"/>
      <c r="AT201" s="289"/>
      <c r="AU201" s="289"/>
      <c r="AV201" s="289"/>
      <c r="AW201" s="289"/>
      <c r="AX201" s="289"/>
      <c r="AY201" s="289"/>
    </row>
    <row r="202" spans="1:51" ht="13.5" customHeight="1">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c r="AA202" s="289"/>
      <c r="AB202" s="289"/>
      <c r="AC202" s="289"/>
      <c r="AD202" s="289"/>
      <c r="AE202" s="289"/>
      <c r="AF202" s="289"/>
      <c r="AG202" s="289"/>
      <c r="AH202" s="289"/>
      <c r="AI202" s="289"/>
      <c r="AJ202" s="289"/>
      <c r="AK202" s="289"/>
      <c r="AL202" s="289"/>
      <c r="AM202" s="289"/>
      <c r="AN202" s="289"/>
      <c r="AO202" s="289"/>
      <c r="AP202" s="289"/>
      <c r="AQ202" s="289"/>
      <c r="AR202" s="289"/>
      <c r="AS202" s="289"/>
      <c r="AT202" s="289"/>
      <c r="AU202" s="289"/>
      <c r="AV202" s="289"/>
      <c r="AW202" s="289"/>
      <c r="AX202" s="289"/>
      <c r="AY202" s="289"/>
    </row>
    <row r="203" spans="1:51" ht="13.5" customHeight="1">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c r="AA203" s="289"/>
      <c r="AB203" s="289"/>
      <c r="AC203" s="289"/>
      <c r="AD203" s="289"/>
      <c r="AE203" s="289"/>
      <c r="AF203" s="289"/>
      <c r="AG203" s="289"/>
      <c r="AH203" s="289"/>
      <c r="AI203" s="289"/>
      <c r="AJ203" s="289"/>
      <c r="AK203" s="289"/>
      <c r="AL203" s="289"/>
      <c r="AM203" s="289"/>
      <c r="AN203" s="289"/>
      <c r="AO203" s="289"/>
      <c r="AP203" s="289"/>
      <c r="AQ203" s="289"/>
      <c r="AR203" s="289"/>
      <c r="AS203" s="289"/>
      <c r="AT203" s="289"/>
      <c r="AU203" s="289"/>
      <c r="AV203" s="289"/>
      <c r="AW203" s="289"/>
      <c r="AX203" s="289"/>
      <c r="AY203" s="289"/>
    </row>
    <row r="204" spans="1:51" ht="13.5" customHeight="1">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c r="AA204" s="289"/>
      <c r="AB204" s="289"/>
      <c r="AC204" s="289"/>
      <c r="AD204" s="289"/>
      <c r="AE204" s="289"/>
      <c r="AF204" s="289"/>
      <c r="AG204" s="289"/>
      <c r="AH204" s="289"/>
      <c r="AI204" s="289"/>
      <c r="AJ204" s="289"/>
      <c r="AK204" s="289"/>
      <c r="AL204" s="289"/>
      <c r="AM204" s="289"/>
      <c r="AN204" s="289"/>
      <c r="AO204" s="289"/>
      <c r="AP204" s="289"/>
      <c r="AQ204" s="289"/>
      <c r="AR204" s="289"/>
      <c r="AS204" s="289"/>
      <c r="AT204" s="289"/>
      <c r="AU204" s="289"/>
      <c r="AV204" s="289"/>
      <c r="AW204" s="289"/>
      <c r="AX204" s="289"/>
      <c r="AY204" s="289"/>
    </row>
    <row r="205" spans="1:51" ht="13.5" customHeight="1">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c r="AA205" s="289"/>
      <c r="AB205" s="289"/>
      <c r="AC205" s="289"/>
      <c r="AD205" s="289"/>
      <c r="AE205" s="289"/>
      <c r="AF205" s="289"/>
      <c r="AG205" s="289"/>
      <c r="AH205" s="289"/>
      <c r="AI205" s="289"/>
      <c r="AJ205" s="289"/>
      <c r="AK205" s="289"/>
      <c r="AL205" s="289"/>
      <c r="AM205" s="289"/>
      <c r="AN205" s="289"/>
      <c r="AO205" s="289"/>
      <c r="AP205" s="289"/>
      <c r="AQ205" s="289"/>
      <c r="AR205" s="289"/>
      <c r="AS205" s="289"/>
      <c r="AT205" s="289"/>
      <c r="AU205" s="289"/>
      <c r="AV205" s="289"/>
      <c r="AW205" s="289"/>
      <c r="AX205" s="289"/>
      <c r="AY205" s="289"/>
    </row>
    <row r="206" spans="1:51" ht="13.5" customHeight="1">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c r="AA206" s="289"/>
      <c r="AB206" s="289"/>
      <c r="AC206" s="289"/>
      <c r="AD206" s="289"/>
      <c r="AE206" s="289"/>
      <c r="AF206" s="289"/>
      <c r="AG206" s="289"/>
      <c r="AH206" s="289"/>
      <c r="AI206" s="289"/>
      <c r="AJ206" s="289"/>
      <c r="AK206" s="289"/>
      <c r="AL206" s="289"/>
      <c r="AM206" s="289"/>
      <c r="AN206" s="289"/>
      <c r="AO206" s="289"/>
      <c r="AP206" s="289"/>
      <c r="AQ206" s="289"/>
      <c r="AR206" s="289"/>
      <c r="AS206" s="289"/>
      <c r="AT206" s="289"/>
      <c r="AU206" s="289"/>
      <c r="AV206" s="289"/>
      <c r="AW206" s="289"/>
      <c r="AX206" s="289"/>
      <c r="AY206" s="289"/>
    </row>
    <row r="207" spans="1:51" ht="13.5" customHeight="1">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c r="AA207" s="289"/>
      <c r="AB207" s="289"/>
      <c r="AC207" s="289"/>
      <c r="AD207" s="289"/>
      <c r="AE207" s="289"/>
      <c r="AF207" s="289"/>
      <c r="AG207" s="289"/>
      <c r="AH207" s="289"/>
      <c r="AI207" s="289"/>
      <c r="AJ207" s="289"/>
      <c r="AK207" s="289"/>
      <c r="AL207" s="289"/>
      <c r="AM207" s="289"/>
      <c r="AN207" s="289"/>
      <c r="AO207" s="289"/>
      <c r="AP207" s="289"/>
      <c r="AQ207" s="289"/>
      <c r="AR207" s="289"/>
      <c r="AS207" s="289"/>
      <c r="AT207" s="289"/>
      <c r="AU207" s="289"/>
      <c r="AV207" s="289"/>
      <c r="AW207" s="289"/>
      <c r="AX207" s="289"/>
      <c r="AY207" s="289"/>
    </row>
    <row r="208" spans="1:51" ht="13.5" customHeight="1">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c r="AA208" s="289"/>
      <c r="AB208" s="289"/>
      <c r="AC208" s="289"/>
      <c r="AD208" s="289"/>
      <c r="AE208" s="289"/>
      <c r="AF208" s="289"/>
      <c r="AG208" s="289"/>
      <c r="AH208" s="289"/>
      <c r="AI208" s="289"/>
      <c r="AJ208" s="289"/>
      <c r="AK208" s="289"/>
      <c r="AL208" s="289"/>
      <c r="AM208" s="289"/>
      <c r="AN208" s="289"/>
      <c r="AO208" s="289"/>
      <c r="AP208" s="289"/>
      <c r="AQ208" s="289"/>
      <c r="AR208" s="289"/>
      <c r="AS208" s="289"/>
      <c r="AT208" s="289"/>
      <c r="AU208" s="289"/>
      <c r="AV208" s="289"/>
      <c r="AW208" s="289"/>
      <c r="AX208" s="289"/>
      <c r="AY208" s="289"/>
    </row>
    <row r="209" spans="1:51" ht="13.5" customHeight="1">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c r="AA209" s="289"/>
      <c r="AB209" s="289"/>
      <c r="AC209" s="289"/>
      <c r="AD209" s="289"/>
      <c r="AE209" s="289"/>
      <c r="AF209" s="289"/>
      <c r="AG209" s="289"/>
      <c r="AH209" s="289"/>
      <c r="AI209" s="289"/>
      <c r="AJ209" s="289"/>
      <c r="AK209" s="289"/>
      <c r="AL209" s="289"/>
      <c r="AM209" s="289"/>
      <c r="AN209" s="289"/>
      <c r="AO209" s="289"/>
      <c r="AP209" s="289"/>
      <c r="AQ209" s="289"/>
      <c r="AR209" s="289"/>
      <c r="AS209" s="289"/>
      <c r="AT209" s="289"/>
      <c r="AU209" s="289"/>
      <c r="AV209" s="289"/>
      <c r="AW209" s="289"/>
      <c r="AX209" s="289"/>
      <c r="AY209" s="289"/>
    </row>
    <row r="210" spans="1:51" ht="13.5" customHeight="1">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c r="AA210" s="289"/>
      <c r="AB210" s="289"/>
      <c r="AC210" s="289"/>
      <c r="AD210" s="289"/>
      <c r="AE210" s="289"/>
      <c r="AF210" s="289"/>
      <c r="AG210" s="289"/>
      <c r="AH210" s="289"/>
      <c r="AI210" s="289"/>
      <c r="AJ210" s="289"/>
      <c r="AK210" s="289"/>
      <c r="AL210" s="289"/>
      <c r="AM210" s="289"/>
      <c r="AN210" s="289"/>
      <c r="AO210" s="289"/>
      <c r="AP210" s="289"/>
      <c r="AQ210" s="289"/>
      <c r="AR210" s="289"/>
      <c r="AS210" s="289"/>
      <c r="AT210" s="289"/>
      <c r="AU210" s="289"/>
      <c r="AV210" s="289"/>
      <c r="AW210" s="289"/>
      <c r="AX210" s="289"/>
      <c r="AY210" s="289"/>
    </row>
    <row r="211" spans="1:51" ht="13.5" customHeight="1">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c r="AA211" s="289"/>
      <c r="AB211" s="289"/>
      <c r="AC211" s="289"/>
      <c r="AD211" s="289"/>
      <c r="AE211" s="289"/>
      <c r="AF211" s="289"/>
      <c r="AG211" s="289"/>
      <c r="AH211" s="289"/>
      <c r="AI211" s="289"/>
      <c r="AJ211" s="289"/>
      <c r="AK211" s="289"/>
      <c r="AL211" s="289"/>
      <c r="AM211" s="289"/>
      <c r="AN211" s="289"/>
      <c r="AO211" s="289"/>
      <c r="AP211" s="289"/>
      <c r="AQ211" s="289"/>
      <c r="AR211" s="289"/>
      <c r="AS211" s="289"/>
      <c r="AT211" s="289"/>
      <c r="AU211" s="289"/>
      <c r="AV211" s="289"/>
      <c r="AW211" s="289"/>
      <c r="AX211" s="289"/>
      <c r="AY211" s="289"/>
    </row>
    <row r="212" spans="1:51" ht="13.5" customHeight="1">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c r="AA212" s="289"/>
      <c r="AB212" s="289"/>
      <c r="AC212" s="289"/>
      <c r="AD212" s="289"/>
      <c r="AE212" s="289"/>
      <c r="AF212" s="289"/>
      <c r="AG212" s="289"/>
      <c r="AH212" s="289"/>
      <c r="AI212" s="289"/>
      <c r="AJ212" s="289"/>
      <c r="AK212" s="289"/>
      <c r="AL212" s="289"/>
      <c r="AM212" s="289"/>
      <c r="AN212" s="289"/>
      <c r="AO212" s="289"/>
      <c r="AP212" s="289"/>
      <c r="AQ212" s="289"/>
      <c r="AR212" s="289"/>
      <c r="AS212" s="289"/>
      <c r="AT212" s="289"/>
      <c r="AU212" s="289"/>
      <c r="AV212" s="289"/>
      <c r="AW212" s="289"/>
      <c r="AX212" s="289"/>
      <c r="AY212" s="289"/>
    </row>
    <row r="213" spans="1:51" ht="13.5" customHeight="1">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c r="AA213" s="289"/>
      <c r="AB213" s="289"/>
      <c r="AC213" s="289"/>
      <c r="AD213" s="289"/>
      <c r="AE213" s="289"/>
      <c r="AF213" s="289"/>
      <c r="AG213" s="289"/>
      <c r="AH213" s="289"/>
      <c r="AI213" s="289"/>
      <c r="AJ213" s="289"/>
      <c r="AK213" s="289"/>
      <c r="AL213" s="289"/>
      <c r="AM213" s="289"/>
      <c r="AN213" s="289"/>
      <c r="AO213" s="289"/>
      <c r="AP213" s="289"/>
      <c r="AQ213" s="289"/>
      <c r="AR213" s="289"/>
      <c r="AS213" s="289"/>
      <c r="AT213" s="289"/>
      <c r="AU213" s="289"/>
      <c r="AV213" s="289"/>
      <c r="AW213" s="289"/>
      <c r="AX213" s="289"/>
      <c r="AY213" s="289"/>
    </row>
    <row r="214" spans="1:51" ht="13.5" customHeight="1">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c r="AA214" s="289"/>
      <c r="AB214" s="289"/>
      <c r="AC214" s="289"/>
      <c r="AD214" s="289"/>
      <c r="AE214" s="289"/>
      <c r="AF214" s="289"/>
      <c r="AG214" s="289"/>
      <c r="AH214" s="289"/>
      <c r="AI214" s="289"/>
      <c r="AJ214" s="289"/>
      <c r="AK214" s="289"/>
      <c r="AL214" s="289"/>
      <c r="AM214" s="289"/>
      <c r="AN214" s="289"/>
      <c r="AO214" s="289"/>
      <c r="AP214" s="289"/>
      <c r="AQ214" s="289"/>
      <c r="AR214" s="289"/>
      <c r="AS214" s="289"/>
      <c r="AT214" s="289"/>
      <c r="AU214" s="289"/>
      <c r="AV214" s="289"/>
      <c r="AW214" s="289"/>
      <c r="AX214" s="289"/>
      <c r="AY214" s="289"/>
    </row>
    <row r="215" spans="1:51" ht="13.5" customHeight="1">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289"/>
      <c r="AH215" s="289"/>
      <c r="AI215" s="289"/>
      <c r="AJ215" s="289"/>
      <c r="AK215" s="289"/>
      <c r="AL215" s="289"/>
      <c r="AM215" s="289"/>
      <c r="AN215" s="289"/>
      <c r="AO215" s="289"/>
      <c r="AP215" s="289"/>
      <c r="AQ215" s="289"/>
      <c r="AR215" s="289"/>
      <c r="AS215" s="289"/>
      <c r="AT215" s="289"/>
      <c r="AU215" s="289"/>
      <c r="AV215" s="289"/>
      <c r="AW215" s="289"/>
      <c r="AX215" s="289"/>
      <c r="AY215" s="289"/>
    </row>
    <row r="216" spans="1:51" ht="13.5" customHeight="1">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c r="AA216" s="289"/>
      <c r="AB216" s="289"/>
      <c r="AC216" s="289"/>
      <c r="AD216" s="289"/>
      <c r="AE216" s="289"/>
      <c r="AF216" s="289"/>
      <c r="AG216" s="289"/>
      <c r="AH216" s="289"/>
      <c r="AI216" s="289"/>
      <c r="AJ216" s="289"/>
      <c r="AK216" s="289"/>
      <c r="AL216" s="289"/>
      <c r="AM216" s="289"/>
      <c r="AN216" s="289"/>
      <c r="AO216" s="289"/>
      <c r="AP216" s="289"/>
      <c r="AQ216" s="289"/>
      <c r="AR216" s="289"/>
      <c r="AS216" s="289"/>
      <c r="AT216" s="289"/>
      <c r="AU216" s="289"/>
      <c r="AV216" s="289"/>
      <c r="AW216" s="289"/>
      <c r="AX216" s="289"/>
      <c r="AY216" s="289"/>
    </row>
    <row r="217" spans="1:51" ht="13.5" customHeight="1">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c r="AA217" s="289"/>
      <c r="AB217" s="289"/>
      <c r="AC217" s="289"/>
      <c r="AD217" s="289"/>
      <c r="AE217" s="289"/>
      <c r="AF217" s="289"/>
      <c r="AG217" s="289"/>
      <c r="AH217" s="289"/>
      <c r="AI217" s="289"/>
      <c r="AJ217" s="289"/>
      <c r="AK217" s="289"/>
      <c r="AL217" s="289"/>
      <c r="AM217" s="289"/>
      <c r="AN217" s="289"/>
      <c r="AO217" s="289"/>
      <c r="AP217" s="289"/>
      <c r="AQ217" s="289"/>
      <c r="AR217" s="289"/>
      <c r="AS217" s="289"/>
      <c r="AT217" s="289"/>
      <c r="AU217" s="289"/>
      <c r="AV217" s="289"/>
      <c r="AW217" s="289"/>
      <c r="AX217" s="289"/>
      <c r="AY217" s="289"/>
    </row>
    <row r="218" spans="1:51" ht="13.5" customHeight="1">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c r="AA218" s="289"/>
      <c r="AB218" s="289"/>
      <c r="AC218" s="289"/>
      <c r="AD218" s="289"/>
      <c r="AE218" s="289"/>
      <c r="AF218" s="289"/>
      <c r="AG218" s="289"/>
      <c r="AH218" s="289"/>
      <c r="AI218" s="289"/>
      <c r="AJ218" s="289"/>
      <c r="AK218" s="289"/>
      <c r="AL218" s="289"/>
      <c r="AM218" s="289"/>
      <c r="AN218" s="289"/>
      <c r="AO218" s="289"/>
      <c r="AP218" s="289"/>
      <c r="AQ218" s="289"/>
      <c r="AR218" s="289"/>
      <c r="AS218" s="289"/>
      <c r="AT218" s="289"/>
      <c r="AU218" s="289"/>
      <c r="AV218" s="289"/>
      <c r="AW218" s="289"/>
      <c r="AX218" s="289"/>
      <c r="AY218" s="289"/>
    </row>
    <row r="219" spans="1:51" ht="13.5" customHeight="1">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c r="AA219" s="289"/>
      <c r="AB219" s="289"/>
      <c r="AC219" s="289"/>
      <c r="AD219" s="289"/>
      <c r="AE219" s="289"/>
      <c r="AF219" s="289"/>
      <c r="AG219" s="289"/>
      <c r="AH219" s="289"/>
      <c r="AI219" s="289"/>
      <c r="AJ219" s="289"/>
      <c r="AK219" s="289"/>
      <c r="AL219" s="289"/>
      <c r="AM219" s="289"/>
      <c r="AN219" s="289"/>
      <c r="AO219" s="289"/>
      <c r="AP219" s="289"/>
      <c r="AQ219" s="289"/>
      <c r="AR219" s="289"/>
      <c r="AS219" s="289"/>
      <c r="AT219" s="289"/>
      <c r="AU219" s="289"/>
      <c r="AV219" s="289"/>
      <c r="AW219" s="289"/>
      <c r="AX219" s="289"/>
      <c r="AY219" s="289"/>
    </row>
    <row r="220" spans="1:51" ht="13.5" customHeight="1">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c r="AA220" s="289"/>
      <c r="AB220" s="289"/>
      <c r="AC220" s="289"/>
      <c r="AD220" s="289"/>
      <c r="AE220" s="289"/>
      <c r="AF220" s="289"/>
      <c r="AG220" s="289"/>
      <c r="AH220" s="289"/>
      <c r="AI220" s="289"/>
      <c r="AJ220" s="289"/>
      <c r="AK220" s="289"/>
      <c r="AL220" s="289"/>
      <c r="AM220" s="289"/>
      <c r="AN220" s="289"/>
      <c r="AO220" s="289"/>
      <c r="AP220" s="289"/>
      <c r="AQ220" s="289"/>
      <c r="AR220" s="289"/>
      <c r="AS220" s="289"/>
      <c r="AT220" s="289"/>
      <c r="AU220" s="289"/>
      <c r="AV220" s="289"/>
      <c r="AW220" s="289"/>
      <c r="AX220" s="289"/>
      <c r="AY220" s="289"/>
    </row>
    <row r="221" spans="1:51" ht="13.5" customHeight="1">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c r="AA221" s="289"/>
      <c r="AB221" s="289"/>
      <c r="AC221" s="289"/>
      <c r="AD221" s="289"/>
      <c r="AE221" s="289"/>
      <c r="AF221" s="289"/>
      <c r="AG221" s="289"/>
      <c r="AH221" s="289"/>
      <c r="AI221" s="289"/>
      <c r="AJ221" s="289"/>
      <c r="AK221" s="289"/>
      <c r="AL221" s="289"/>
      <c r="AM221" s="289"/>
      <c r="AN221" s="289"/>
      <c r="AO221" s="289"/>
      <c r="AP221" s="289"/>
      <c r="AQ221" s="289"/>
      <c r="AR221" s="289"/>
      <c r="AS221" s="289"/>
      <c r="AT221" s="289"/>
      <c r="AU221" s="289"/>
      <c r="AV221" s="289"/>
      <c r="AW221" s="289"/>
      <c r="AX221" s="289"/>
      <c r="AY221" s="289"/>
    </row>
    <row r="222" spans="1:51" ht="13.5" customHeight="1">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c r="AA222" s="289"/>
      <c r="AB222" s="289"/>
      <c r="AC222" s="289"/>
      <c r="AD222" s="289"/>
      <c r="AE222" s="289"/>
      <c r="AF222" s="289"/>
      <c r="AG222" s="289"/>
      <c r="AH222" s="289"/>
      <c r="AI222" s="289"/>
      <c r="AJ222" s="289"/>
      <c r="AK222" s="289"/>
      <c r="AL222" s="289"/>
      <c r="AM222" s="289"/>
      <c r="AN222" s="289"/>
      <c r="AO222" s="289"/>
      <c r="AP222" s="289"/>
      <c r="AQ222" s="289"/>
      <c r="AR222" s="289"/>
      <c r="AS222" s="289"/>
      <c r="AT222" s="289"/>
      <c r="AU222" s="289"/>
      <c r="AV222" s="289"/>
      <c r="AW222" s="289"/>
      <c r="AX222" s="289"/>
      <c r="AY222" s="289"/>
    </row>
    <row r="223" spans="1:51" ht="13.5" customHeight="1">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c r="AA223" s="289"/>
      <c r="AB223" s="289"/>
      <c r="AC223" s="289"/>
      <c r="AD223" s="289"/>
      <c r="AE223" s="289"/>
      <c r="AF223" s="289"/>
      <c r="AG223" s="289"/>
      <c r="AH223" s="289"/>
      <c r="AI223" s="289"/>
      <c r="AJ223" s="289"/>
      <c r="AK223" s="289"/>
      <c r="AL223" s="289"/>
      <c r="AM223" s="289"/>
      <c r="AN223" s="289"/>
      <c r="AO223" s="289"/>
      <c r="AP223" s="289"/>
      <c r="AQ223" s="289"/>
      <c r="AR223" s="289"/>
      <c r="AS223" s="289"/>
      <c r="AT223" s="289"/>
      <c r="AU223" s="289"/>
      <c r="AV223" s="289"/>
      <c r="AW223" s="289"/>
      <c r="AX223" s="289"/>
      <c r="AY223" s="289"/>
    </row>
    <row r="224" spans="1:51" ht="13.5" customHeight="1">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c r="AA224" s="289"/>
      <c r="AB224" s="289"/>
      <c r="AC224" s="289"/>
      <c r="AD224" s="289"/>
      <c r="AE224" s="289"/>
      <c r="AF224" s="289"/>
      <c r="AG224" s="289"/>
      <c r="AH224" s="289"/>
      <c r="AI224" s="289"/>
      <c r="AJ224" s="289"/>
      <c r="AK224" s="289"/>
      <c r="AL224" s="289"/>
      <c r="AM224" s="289"/>
      <c r="AN224" s="289"/>
      <c r="AO224" s="289"/>
      <c r="AP224" s="289"/>
      <c r="AQ224" s="289"/>
      <c r="AR224" s="289"/>
      <c r="AS224" s="289"/>
      <c r="AT224" s="289"/>
      <c r="AU224" s="289"/>
      <c r="AV224" s="289"/>
      <c r="AW224" s="289"/>
      <c r="AX224" s="289"/>
      <c r="AY224" s="289"/>
    </row>
    <row r="225" spans="1:51" ht="13.5" customHeight="1">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c r="AA225" s="289"/>
      <c r="AB225" s="289"/>
      <c r="AC225" s="289"/>
      <c r="AD225" s="289"/>
      <c r="AE225" s="289"/>
      <c r="AF225" s="289"/>
      <c r="AG225" s="289"/>
      <c r="AH225" s="289"/>
      <c r="AI225" s="289"/>
      <c r="AJ225" s="289"/>
      <c r="AK225" s="289"/>
      <c r="AL225" s="289"/>
      <c r="AM225" s="289"/>
      <c r="AN225" s="289"/>
      <c r="AO225" s="289"/>
      <c r="AP225" s="289"/>
      <c r="AQ225" s="289"/>
      <c r="AR225" s="289"/>
      <c r="AS225" s="289"/>
      <c r="AT225" s="289"/>
      <c r="AU225" s="289"/>
      <c r="AV225" s="289"/>
      <c r="AW225" s="289"/>
      <c r="AX225" s="289"/>
      <c r="AY225" s="289"/>
    </row>
    <row r="226" spans="1:51" ht="13.5" customHeight="1">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c r="AA226" s="289"/>
      <c r="AB226" s="289"/>
      <c r="AC226" s="289"/>
      <c r="AD226" s="289"/>
      <c r="AE226" s="289"/>
      <c r="AF226" s="289"/>
      <c r="AG226" s="289"/>
      <c r="AH226" s="289"/>
      <c r="AI226" s="289"/>
      <c r="AJ226" s="289"/>
      <c r="AK226" s="289"/>
      <c r="AL226" s="289"/>
      <c r="AM226" s="289"/>
      <c r="AN226" s="289"/>
      <c r="AO226" s="289"/>
      <c r="AP226" s="289"/>
      <c r="AQ226" s="289"/>
      <c r="AR226" s="289"/>
      <c r="AS226" s="289"/>
      <c r="AT226" s="289"/>
      <c r="AU226" s="289"/>
      <c r="AV226" s="289"/>
      <c r="AW226" s="289"/>
      <c r="AX226" s="289"/>
      <c r="AY226" s="289"/>
    </row>
    <row r="227" spans="1:51" ht="13.5" customHeight="1">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c r="AA227" s="289"/>
      <c r="AB227" s="289"/>
      <c r="AC227" s="289"/>
      <c r="AD227" s="289"/>
      <c r="AE227" s="289"/>
      <c r="AF227" s="289"/>
      <c r="AG227" s="289"/>
      <c r="AH227" s="289"/>
      <c r="AI227" s="289"/>
      <c r="AJ227" s="289"/>
      <c r="AK227" s="289"/>
      <c r="AL227" s="289"/>
      <c r="AM227" s="289"/>
      <c r="AN227" s="289"/>
      <c r="AO227" s="289"/>
      <c r="AP227" s="289"/>
      <c r="AQ227" s="289"/>
      <c r="AR227" s="289"/>
      <c r="AS227" s="289"/>
      <c r="AT227" s="289"/>
      <c r="AU227" s="289"/>
      <c r="AV227" s="289"/>
      <c r="AW227" s="289"/>
      <c r="AX227" s="289"/>
      <c r="AY227" s="289"/>
    </row>
    <row r="228" spans="1:51" ht="13.5" customHeight="1">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c r="AA228" s="289"/>
      <c r="AB228" s="289"/>
      <c r="AC228" s="289"/>
      <c r="AD228" s="289"/>
      <c r="AE228" s="289"/>
      <c r="AF228" s="289"/>
      <c r="AG228" s="289"/>
      <c r="AH228" s="289"/>
      <c r="AI228" s="289"/>
      <c r="AJ228" s="289"/>
      <c r="AK228" s="289"/>
      <c r="AL228" s="289"/>
      <c r="AM228" s="289"/>
      <c r="AN228" s="289"/>
      <c r="AO228" s="289"/>
      <c r="AP228" s="289"/>
      <c r="AQ228" s="289"/>
      <c r="AR228" s="289"/>
      <c r="AS228" s="289"/>
      <c r="AT228" s="289"/>
      <c r="AU228" s="289"/>
      <c r="AV228" s="289"/>
      <c r="AW228" s="289"/>
      <c r="AX228" s="289"/>
      <c r="AY228" s="289"/>
    </row>
    <row r="229" spans="1:51" ht="13.5" customHeight="1">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c r="AA229" s="289"/>
      <c r="AB229" s="289"/>
      <c r="AC229" s="289"/>
      <c r="AD229" s="289"/>
      <c r="AE229" s="289"/>
      <c r="AF229" s="289"/>
      <c r="AG229" s="289"/>
      <c r="AH229" s="289"/>
      <c r="AI229" s="289"/>
      <c r="AJ229" s="289"/>
      <c r="AK229" s="289"/>
      <c r="AL229" s="289"/>
      <c r="AM229" s="289"/>
      <c r="AN229" s="289"/>
      <c r="AO229" s="289"/>
      <c r="AP229" s="289"/>
      <c r="AQ229" s="289"/>
      <c r="AR229" s="289"/>
      <c r="AS229" s="289"/>
      <c r="AT229" s="289"/>
      <c r="AU229" s="289"/>
      <c r="AV229" s="289"/>
      <c r="AW229" s="289"/>
      <c r="AX229" s="289"/>
      <c r="AY229" s="289"/>
    </row>
    <row r="230" spans="1:51" ht="13.5" customHeight="1">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c r="AA230" s="289"/>
      <c r="AB230" s="289"/>
      <c r="AC230" s="289"/>
      <c r="AD230" s="289"/>
      <c r="AE230" s="289"/>
      <c r="AF230" s="289"/>
      <c r="AG230" s="289"/>
      <c r="AH230" s="289"/>
      <c r="AI230" s="289"/>
      <c r="AJ230" s="289"/>
      <c r="AK230" s="289"/>
      <c r="AL230" s="289"/>
      <c r="AM230" s="289"/>
      <c r="AN230" s="289"/>
      <c r="AO230" s="289"/>
      <c r="AP230" s="289"/>
      <c r="AQ230" s="289"/>
      <c r="AR230" s="289"/>
      <c r="AS230" s="289"/>
      <c r="AT230" s="289"/>
      <c r="AU230" s="289"/>
      <c r="AV230" s="289"/>
      <c r="AW230" s="289"/>
      <c r="AX230" s="289"/>
      <c r="AY230" s="289"/>
    </row>
    <row r="231" spans="1:51" ht="13.5" customHeight="1">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c r="AA231" s="289"/>
      <c r="AB231" s="289"/>
      <c r="AC231" s="289"/>
      <c r="AD231" s="289"/>
      <c r="AE231" s="289"/>
      <c r="AF231" s="289"/>
      <c r="AG231" s="289"/>
      <c r="AH231" s="289"/>
      <c r="AI231" s="289"/>
      <c r="AJ231" s="289"/>
      <c r="AK231" s="289"/>
      <c r="AL231" s="289"/>
      <c r="AM231" s="289"/>
      <c r="AN231" s="289"/>
      <c r="AO231" s="289"/>
      <c r="AP231" s="289"/>
      <c r="AQ231" s="289"/>
      <c r="AR231" s="289"/>
      <c r="AS231" s="289"/>
      <c r="AT231" s="289"/>
      <c r="AU231" s="289"/>
      <c r="AV231" s="289"/>
      <c r="AW231" s="289"/>
      <c r="AX231" s="289"/>
      <c r="AY231" s="289"/>
    </row>
    <row r="232" spans="1:51" ht="13.5" customHeight="1">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c r="AA232" s="289"/>
      <c r="AB232" s="289"/>
      <c r="AC232" s="289"/>
      <c r="AD232" s="289"/>
      <c r="AE232" s="289"/>
      <c r="AF232" s="289"/>
      <c r="AG232" s="289"/>
      <c r="AH232" s="289"/>
      <c r="AI232" s="289"/>
      <c r="AJ232" s="289"/>
      <c r="AK232" s="289"/>
      <c r="AL232" s="289"/>
      <c r="AM232" s="289"/>
      <c r="AN232" s="289"/>
      <c r="AO232" s="289"/>
      <c r="AP232" s="289"/>
      <c r="AQ232" s="289"/>
      <c r="AR232" s="289"/>
      <c r="AS232" s="289"/>
      <c r="AT232" s="289"/>
      <c r="AU232" s="289"/>
      <c r="AV232" s="289"/>
      <c r="AW232" s="289"/>
      <c r="AX232" s="289"/>
      <c r="AY232" s="289"/>
    </row>
    <row r="233" spans="1:51" ht="13.5" customHeight="1">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289"/>
      <c r="AH233" s="289"/>
      <c r="AI233" s="289"/>
      <c r="AJ233" s="289"/>
      <c r="AK233" s="289"/>
      <c r="AL233" s="289"/>
      <c r="AM233" s="289"/>
      <c r="AN233" s="289"/>
      <c r="AO233" s="289"/>
      <c r="AP233" s="289"/>
      <c r="AQ233" s="289"/>
      <c r="AR233" s="289"/>
      <c r="AS233" s="289"/>
      <c r="AT233" s="289"/>
      <c r="AU233" s="289"/>
      <c r="AV233" s="289"/>
      <c r="AW233" s="289"/>
      <c r="AX233" s="289"/>
      <c r="AY233" s="289"/>
    </row>
    <row r="234" spans="1:51" ht="13.5" customHeight="1">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c r="AA234" s="289"/>
      <c r="AB234" s="289"/>
      <c r="AC234" s="289"/>
      <c r="AD234" s="289"/>
      <c r="AE234" s="289"/>
      <c r="AF234" s="289"/>
      <c r="AG234" s="289"/>
      <c r="AH234" s="289"/>
      <c r="AI234" s="289"/>
      <c r="AJ234" s="289"/>
      <c r="AK234" s="289"/>
      <c r="AL234" s="289"/>
      <c r="AM234" s="289"/>
      <c r="AN234" s="289"/>
      <c r="AO234" s="289"/>
      <c r="AP234" s="289"/>
      <c r="AQ234" s="289"/>
      <c r="AR234" s="289"/>
      <c r="AS234" s="289"/>
      <c r="AT234" s="289"/>
      <c r="AU234" s="289"/>
      <c r="AV234" s="289"/>
      <c r="AW234" s="289"/>
      <c r="AX234" s="289"/>
      <c r="AY234" s="289"/>
    </row>
    <row r="235" spans="1:51" ht="13.5" customHeight="1">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c r="AA235" s="289"/>
      <c r="AB235" s="289"/>
      <c r="AC235" s="289"/>
      <c r="AD235" s="289"/>
      <c r="AE235" s="289"/>
      <c r="AF235" s="289"/>
      <c r="AG235" s="289"/>
      <c r="AH235" s="289"/>
      <c r="AI235" s="289"/>
      <c r="AJ235" s="289"/>
      <c r="AK235" s="289"/>
      <c r="AL235" s="289"/>
      <c r="AM235" s="289"/>
      <c r="AN235" s="289"/>
      <c r="AO235" s="289"/>
      <c r="AP235" s="289"/>
      <c r="AQ235" s="289"/>
      <c r="AR235" s="289"/>
      <c r="AS235" s="289"/>
      <c r="AT235" s="289"/>
      <c r="AU235" s="289"/>
      <c r="AV235" s="289"/>
      <c r="AW235" s="289"/>
      <c r="AX235" s="289"/>
      <c r="AY235" s="289"/>
    </row>
    <row r="236" spans="1:51" ht="13.5" customHeight="1">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c r="AA236" s="289"/>
      <c r="AB236" s="289"/>
      <c r="AC236" s="289"/>
      <c r="AD236" s="289"/>
      <c r="AE236" s="289"/>
      <c r="AF236" s="289"/>
      <c r="AG236" s="289"/>
      <c r="AH236" s="289"/>
      <c r="AI236" s="289"/>
      <c r="AJ236" s="289"/>
      <c r="AK236" s="289"/>
      <c r="AL236" s="289"/>
      <c r="AM236" s="289"/>
      <c r="AN236" s="289"/>
      <c r="AO236" s="289"/>
      <c r="AP236" s="289"/>
      <c r="AQ236" s="289"/>
      <c r="AR236" s="289"/>
      <c r="AS236" s="289"/>
      <c r="AT236" s="289"/>
      <c r="AU236" s="289"/>
      <c r="AV236" s="289"/>
      <c r="AW236" s="289"/>
      <c r="AX236" s="289"/>
      <c r="AY236" s="289"/>
    </row>
    <row r="237" spans="1:51" ht="13.5" customHeight="1">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c r="AA237" s="289"/>
      <c r="AB237" s="289"/>
      <c r="AC237" s="289"/>
      <c r="AD237" s="289"/>
      <c r="AE237" s="289"/>
      <c r="AF237" s="289"/>
      <c r="AG237" s="289"/>
      <c r="AH237" s="289"/>
      <c r="AI237" s="289"/>
      <c r="AJ237" s="289"/>
      <c r="AK237" s="289"/>
      <c r="AL237" s="289"/>
      <c r="AM237" s="289"/>
      <c r="AN237" s="289"/>
      <c r="AO237" s="289"/>
      <c r="AP237" s="289"/>
      <c r="AQ237" s="289"/>
      <c r="AR237" s="289"/>
      <c r="AS237" s="289"/>
      <c r="AT237" s="289"/>
      <c r="AU237" s="289"/>
      <c r="AV237" s="289"/>
      <c r="AW237" s="289"/>
      <c r="AX237" s="289"/>
      <c r="AY237" s="289"/>
    </row>
    <row r="238" spans="1:51" ht="13.5" customHeight="1">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c r="AA238" s="289"/>
      <c r="AB238" s="289"/>
      <c r="AC238" s="289"/>
      <c r="AD238" s="289"/>
      <c r="AE238" s="289"/>
      <c r="AF238" s="289"/>
      <c r="AG238" s="289"/>
      <c r="AH238" s="289"/>
      <c r="AI238" s="289"/>
      <c r="AJ238" s="289"/>
      <c r="AK238" s="289"/>
      <c r="AL238" s="289"/>
      <c r="AM238" s="289"/>
      <c r="AN238" s="289"/>
      <c r="AO238" s="289"/>
      <c r="AP238" s="289"/>
      <c r="AQ238" s="289"/>
      <c r="AR238" s="289"/>
      <c r="AS238" s="289"/>
      <c r="AT238" s="289"/>
      <c r="AU238" s="289"/>
      <c r="AV238" s="289"/>
      <c r="AW238" s="289"/>
      <c r="AX238" s="289"/>
      <c r="AY238" s="289"/>
    </row>
    <row r="239" spans="1:51" ht="13.5" customHeight="1">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c r="AA239" s="289"/>
      <c r="AB239" s="289"/>
      <c r="AC239" s="289"/>
      <c r="AD239" s="289"/>
      <c r="AE239" s="289"/>
      <c r="AF239" s="289"/>
      <c r="AG239" s="289"/>
      <c r="AH239" s="289"/>
      <c r="AI239" s="289"/>
      <c r="AJ239" s="289"/>
      <c r="AK239" s="289"/>
      <c r="AL239" s="289"/>
      <c r="AM239" s="289"/>
      <c r="AN239" s="289"/>
      <c r="AO239" s="289"/>
      <c r="AP239" s="289"/>
      <c r="AQ239" s="289"/>
      <c r="AR239" s="289"/>
      <c r="AS239" s="289"/>
      <c r="AT239" s="289"/>
      <c r="AU239" s="289"/>
      <c r="AV239" s="289"/>
      <c r="AW239" s="289"/>
      <c r="AX239" s="289"/>
      <c r="AY239" s="289"/>
    </row>
    <row r="240" spans="1:51" ht="13.5" customHeight="1">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289"/>
      <c r="AH240" s="289"/>
      <c r="AI240" s="289"/>
      <c r="AJ240" s="289"/>
      <c r="AK240" s="289"/>
      <c r="AL240" s="289"/>
      <c r="AM240" s="289"/>
      <c r="AN240" s="289"/>
      <c r="AO240" s="289"/>
      <c r="AP240" s="289"/>
      <c r="AQ240" s="289"/>
      <c r="AR240" s="289"/>
      <c r="AS240" s="289"/>
      <c r="AT240" s="289"/>
      <c r="AU240" s="289"/>
      <c r="AV240" s="289"/>
      <c r="AW240" s="289"/>
      <c r="AX240" s="289"/>
      <c r="AY240" s="289"/>
    </row>
    <row r="241" spans="1:51" ht="13.5" customHeight="1">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c r="AA241" s="289"/>
      <c r="AB241" s="289"/>
      <c r="AC241" s="289"/>
      <c r="AD241" s="289"/>
      <c r="AE241" s="289"/>
      <c r="AF241" s="289"/>
      <c r="AG241" s="289"/>
      <c r="AH241" s="289"/>
      <c r="AI241" s="289"/>
      <c r="AJ241" s="289"/>
      <c r="AK241" s="289"/>
      <c r="AL241" s="289"/>
      <c r="AM241" s="289"/>
      <c r="AN241" s="289"/>
      <c r="AO241" s="289"/>
      <c r="AP241" s="289"/>
      <c r="AQ241" s="289"/>
      <c r="AR241" s="289"/>
      <c r="AS241" s="289"/>
      <c r="AT241" s="289"/>
      <c r="AU241" s="289"/>
      <c r="AV241" s="289"/>
      <c r="AW241" s="289"/>
      <c r="AX241" s="289"/>
      <c r="AY241" s="289"/>
    </row>
    <row r="242" spans="1:51" ht="13.5" customHeight="1">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c r="AA242" s="289"/>
      <c r="AB242" s="289"/>
      <c r="AC242" s="289"/>
      <c r="AD242" s="289"/>
      <c r="AE242" s="289"/>
      <c r="AF242" s="289"/>
      <c r="AG242" s="289"/>
      <c r="AH242" s="289"/>
      <c r="AI242" s="289"/>
      <c r="AJ242" s="289"/>
      <c r="AK242" s="289"/>
      <c r="AL242" s="289"/>
      <c r="AM242" s="289"/>
      <c r="AN242" s="289"/>
      <c r="AO242" s="289"/>
      <c r="AP242" s="289"/>
      <c r="AQ242" s="289"/>
      <c r="AR242" s="289"/>
      <c r="AS242" s="289"/>
      <c r="AT242" s="289"/>
      <c r="AU242" s="289"/>
      <c r="AV242" s="289"/>
      <c r="AW242" s="289"/>
      <c r="AX242" s="289"/>
      <c r="AY242" s="289"/>
    </row>
    <row r="243" spans="1:51" ht="13.5" customHeight="1">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c r="AA243" s="289"/>
      <c r="AB243" s="289"/>
      <c r="AC243" s="289"/>
      <c r="AD243" s="289"/>
      <c r="AE243" s="289"/>
      <c r="AF243" s="289"/>
      <c r="AG243" s="289"/>
      <c r="AH243" s="289"/>
      <c r="AI243" s="289"/>
      <c r="AJ243" s="289"/>
      <c r="AK243" s="289"/>
      <c r="AL243" s="289"/>
      <c r="AM243" s="289"/>
      <c r="AN243" s="289"/>
      <c r="AO243" s="289"/>
      <c r="AP243" s="289"/>
      <c r="AQ243" s="289"/>
      <c r="AR243" s="289"/>
      <c r="AS243" s="289"/>
      <c r="AT243" s="289"/>
      <c r="AU243" s="289"/>
      <c r="AV243" s="289"/>
      <c r="AW243" s="289"/>
      <c r="AX243" s="289"/>
      <c r="AY243" s="289"/>
    </row>
    <row r="244" spans="1:51" ht="13.5" customHeight="1">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c r="AA244" s="289"/>
      <c r="AB244" s="289"/>
      <c r="AC244" s="289"/>
      <c r="AD244" s="289"/>
      <c r="AE244" s="289"/>
      <c r="AF244" s="289"/>
      <c r="AG244" s="289"/>
      <c r="AH244" s="289"/>
      <c r="AI244" s="289"/>
      <c r="AJ244" s="289"/>
      <c r="AK244" s="289"/>
      <c r="AL244" s="289"/>
      <c r="AM244" s="289"/>
      <c r="AN244" s="289"/>
      <c r="AO244" s="289"/>
      <c r="AP244" s="289"/>
      <c r="AQ244" s="289"/>
      <c r="AR244" s="289"/>
      <c r="AS244" s="289"/>
      <c r="AT244" s="289"/>
      <c r="AU244" s="289"/>
      <c r="AV244" s="289"/>
      <c r="AW244" s="289"/>
      <c r="AX244" s="289"/>
      <c r="AY244" s="289"/>
    </row>
    <row r="245" spans="1:51" ht="13.5" customHeight="1">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c r="AA245" s="289"/>
      <c r="AB245" s="289"/>
      <c r="AC245" s="289"/>
      <c r="AD245" s="289"/>
      <c r="AE245" s="289"/>
      <c r="AF245" s="289"/>
      <c r="AG245" s="289"/>
      <c r="AH245" s="289"/>
      <c r="AI245" s="289"/>
      <c r="AJ245" s="289"/>
      <c r="AK245" s="289"/>
      <c r="AL245" s="289"/>
      <c r="AM245" s="289"/>
      <c r="AN245" s="289"/>
      <c r="AO245" s="289"/>
      <c r="AP245" s="289"/>
      <c r="AQ245" s="289"/>
      <c r="AR245" s="289"/>
      <c r="AS245" s="289"/>
      <c r="AT245" s="289"/>
      <c r="AU245" s="289"/>
      <c r="AV245" s="289"/>
      <c r="AW245" s="289"/>
      <c r="AX245" s="289"/>
      <c r="AY245" s="289"/>
    </row>
    <row r="246" spans="1:51" ht="13.5" customHeight="1">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c r="AA246" s="289"/>
      <c r="AB246" s="289"/>
      <c r="AC246" s="289"/>
      <c r="AD246" s="289"/>
      <c r="AE246" s="289"/>
      <c r="AF246" s="289"/>
      <c r="AG246" s="289"/>
      <c r="AH246" s="289"/>
      <c r="AI246" s="289"/>
      <c r="AJ246" s="289"/>
      <c r="AK246" s="289"/>
      <c r="AL246" s="289"/>
      <c r="AM246" s="289"/>
      <c r="AN246" s="289"/>
      <c r="AO246" s="289"/>
      <c r="AP246" s="289"/>
      <c r="AQ246" s="289"/>
      <c r="AR246" s="289"/>
      <c r="AS246" s="289"/>
      <c r="AT246" s="289"/>
      <c r="AU246" s="289"/>
      <c r="AV246" s="289"/>
      <c r="AW246" s="289"/>
      <c r="AX246" s="289"/>
      <c r="AY246" s="289"/>
    </row>
    <row r="247" spans="1:51" ht="13.5" customHeight="1">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c r="AA247" s="289"/>
      <c r="AB247" s="289"/>
      <c r="AC247" s="289"/>
      <c r="AD247" s="289"/>
      <c r="AE247" s="289"/>
      <c r="AF247" s="289"/>
      <c r="AG247" s="289"/>
      <c r="AH247" s="289"/>
      <c r="AI247" s="289"/>
      <c r="AJ247" s="289"/>
      <c r="AK247" s="289"/>
      <c r="AL247" s="289"/>
      <c r="AM247" s="289"/>
      <c r="AN247" s="289"/>
      <c r="AO247" s="289"/>
      <c r="AP247" s="289"/>
      <c r="AQ247" s="289"/>
      <c r="AR247" s="289"/>
      <c r="AS247" s="289"/>
      <c r="AT247" s="289"/>
      <c r="AU247" s="289"/>
      <c r="AV247" s="289"/>
      <c r="AW247" s="289"/>
      <c r="AX247" s="289"/>
      <c r="AY247" s="289"/>
    </row>
    <row r="248" spans="1:51" ht="13.5" customHeight="1">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c r="AA248" s="289"/>
      <c r="AB248" s="289"/>
      <c r="AC248" s="289"/>
      <c r="AD248" s="289"/>
      <c r="AE248" s="289"/>
      <c r="AF248" s="289"/>
      <c r="AG248" s="289"/>
      <c r="AH248" s="289"/>
      <c r="AI248" s="289"/>
      <c r="AJ248" s="289"/>
      <c r="AK248" s="289"/>
      <c r="AL248" s="289"/>
      <c r="AM248" s="289"/>
      <c r="AN248" s="289"/>
      <c r="AO248" s="289"/>
      <c r="AP248" s="289"/>
      <c r="AQ248" s="289"/>
      <c r="AR248" s="289"/>
      <c r="AS248" s="289"/>
      <c r="AT248" s="289"/>
      <c r="AU248" s="289"/>
      <c r="AV248" s="289"/>
      <c r="AW248" s="289"/>
      <c r="AX248" s="289"/>
      <c r="AY248" s="289"/>
    </row>
    <row r="249" spans="1:51" ht="13.5" customHeight="1">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c r="AA249" s="289"/>
      <c r="AB249" s="289"/>
      <c r="AC249" s="289"/>
      <c r="AD249" s="289"/>
      <c r="AE249" s="289"/>
      <c r="AF249" s="289"/>
      <c r="AG249" s="289"/>
      <c r="AH249" s="289"/>
      <c r="AI249" s="289"/>
      <c r="AJ249" s="289"/>
      <c r="AK249" s="289"/>
      <c r="AL249" s="289"/>
      <c r="AM249" s="289"/>
      <c r="AN249" s="289"/>
      <c r="AO249" s="289"/>
      <c r="AP249" s="289"/>
      <c r="AQ249" s="289"/>
      <c r="AR249" s="289"/>
      <c r="AS249" s="289"/>
      <c r="AT249" s="289"/>
      <c r="AU249" s="289"/>
      <c r="AV249" s="289"/>
      <c r="AW249" s="289"/>
      <c r="AX249" s="289"/>
      <c r="AY249" s="289"/>
    </row>
    <row r="250" spans="1:51" ht="13.5" customHeight="1">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c r="AA250" s="289"/>
      <c r="AB250" s="289"/>
      <c r="AC250" s="289"/>
      <c r="AD250" s="289"/>
      <c r="AE250" s="289"/>
      <c r="AF250" s="289"/>
      <c r="AG250" s="289"/>
      <c r="AH250" s="289"/>
      <c r="AI250" s="289"/>
      <c r="AJ250" s="289"/>
      <c r="AK250" s="289"/>
      <c r="AL250" s="289"/>
      <c r="AM250" s="289"/>
      <c r="AN250" s="289"/>
      <c r="AO250" s="289"/>
      <c r="AP250" s="289"/>
      <c r="AQ250" s="289"/>
      <c r="AR250" s="289"/>
      <c r="AS250" s="289"/>
      <c r="AT250" s="289"/>
      <c r="AU250" s="289"/>
      <c r="AV250" s="289"/>
      <c r="AW250" s="289"/>
      <c r="AX250" s="289"/>
      <c r="AY250" s="289"/>
    </row>
    <row r="251" spans="1:51" ht="13.5" customHeight="1">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c r="AA251" s="289"/>
      <c r="AB251" s="289"/>
      <c r="AC251" s="289"/>
      <c r="AD251" s="289"/>
      <c r="AE251" s="289"/>
      <c r="AF251" s="289"/>
      <c r="AG251" s="289"/>
      <c r="AH251" s="289"/>
      <c r="AI251" s="289"/>
      <c r="AJ251" s="289"/>
      <c r="AK251" s="289"/>
      <c r="AL251" s="289"/>
      <c r="AM251" s="289"/>
      <c r="AN251" s="289"/>
      <c r="AO251" s="289"/>
      <c r="AP251" s="289"/>
      <c r="AQ251" s="289"/>
      <c r="AR251" s="289"/>
      <c r="AS251" s="289"/>
      <c r="AT251" s="289"/>
      <c r="AU251" s="289"/>
      <c r="AV251" s="289"/>
      <c r="AW251" s="289"/>
      <c r="AX251" s="289"/>
      <c r="AY251" s="289"/>
    </row>
    <row r="252" spans="1:51" ht="13.5" customHeight="1">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c r="AA252" s="289"/>
      <c r="AB252" s="289"/>
      <c r="AC252" s="289"/>
      <c r="AD252" s="289"/>
      <c r="AE252" s="289"/>
      <c r="AF252" s="289"/>
      <c r="AG252" s="289"/>
      <c r="AH252" s="289"/>
      <c r="AI252" s="289"/>
      <c r="AJ252" s="289"/>
      <c r="AK252" s="289"/>
      <c r="AL252" s="289"/>
      <c r="AM252" s="289"/>
      <c r="AN252" s="289"/>
      <c r="AO252" s="289"/>
      <c r="AP252" s="289"/>
      <c r="AQ252" s="289"/>
      <c r="AR252" s="289"/>
      <c r="AS252" s="289"/>
      <c r="AT252" s="289"/>
      <c r="AU252" s="289"/>
      <c r="AV252" s="289"/>
      <c r="AW252" s="289"/>
      <c r="AX252" s="289"/>
      <c r="AY252" s="289"/>
    </row>
    <row r="253" spans="1:51" ht="13.5" customHeight="1">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c r="AA253" s="289"/>
      <c r="AB253" s="289"/>
      <c r="AC253" s="289"/>
      <c r="AD253" s="289"/>
      <c r="AE253" s="289"/>
      <c r="AF253" s="289"/>
      <c r="AG253" s="289"/>
      <c r="AH253" s="289"/>
      <c r="AI253" s="289"/>
      <c r="AJ253" s="289"/>
      <c r="AK253" s="289"/>
      <c r="AL253" s="289"/>
      <c r="AM253" s="289"/>
      <c r="AN253" s="289"/>
      <c r="AO253" s="289"/>
      <c r="AP253" s="289"/>
      <c r="AQ253" s="289"/>
      <c r="AR253" s="289"/>
      <c r="AS253" s="289"/>
      <c r="AT253" s="289"/>
      <c r="AU253" s="289"/>
      <c r="AV253" s="289"/>
      <c r="AW253" s="289"/>
      <c r="AX253" s="289"/>
      <c r="AY253" s="289"/>
    </row>
    <row r="254" spans="1:51" ht="13.5" customHeight="1">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c r="AA254" s="289"/>
      <c r="AB254" s="289"/>
      <c r="AC254" s="289"/>
      <c r="AD254" s="289"/>
      <c r="AE254" s="289"/>
      <c r="AF254" s="289"/>
      <c r="AG254" s="289"/>
      <c r="AH254" s="289"/>
      <c r="AI254" s="289"/>
      <c r="AJ254" s="289"/>
      <c r="AK254" s="289"/>
      <c r="AL254" s="289"/>
      <c r="AM254" s="289"/>
      <c r="AN254" s="289"/>
      <c r="AO254" s="289"/>
      <c r="AP254" s="289"/>
      <c r="AQ254" s="289"/>
      <c r="AR254" s="289"/>
      <c r="AS254" s="289"/>
      <c r="AT254" s="289"/>
      <c r="AU254" s="289"/>
      <c r="AV254" s="289"/>
      <c r="AW254" s="289"/>
      <c r="AX254" s="289"/>
      <c r="AY254" s="289"/>
    </row>
    <row r="255" spans="1:51" ht="13.5" customHeight="1">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c r="AA255" s="289"/>
      <c r="AB255" s="289"/>
      <c r="AC255" s="289"/>
      <c r="AD255" s="289"/>
      <c r="AE255" s="289"/>
      <c r="AF255" s="289"/>
      <c r="AG255" s="289"/>
      <c r="AH255" s="289"/>
      <c r="AI255" s="289"/>
      <c r="AJ255" s="289"/>
      <c r="AK255" s="289"/>
      <c r="AL255" s="289"/>
      <c r="AM255" s="289"/>
      <c r="AN255" s="289"/>
      <c r="AO255" s="289"/>
      <c r="AP255" s="289"/>
      <c r="AQ255" s="289"/>
      <c r="AR255" s="289"/>
      <c r="AS255" s="289"/>
      <c r="AT255" s="289"/>
      <c r="AU255" s="289"/>
      <c r="AV255" s="289"/>
      <c r="AW255" s="289"/>
      <c r="AX255" s="289"/>
      <c r="AY255" s="289"/>
    </row>
    <row r="256" spans="1:51" ht="13.5" customHeight="1">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c r="AA256" s="289"/>
      <c r="AB256" s="289"/>
      <c r="AC256" s="289"/>
      <c r="AD256" s="289"/>
      <c r="AE256" s="289"/>
      <c r="AF256" s="289"/>
      <c r="AG256" s="289"/>
      <c r="AH256" s="289"/>
      <c r="AI256" s="289"/>
      <c r="AJ256" s="289"/>
      <c r="AK256" s="289"/>
      <c r="AL256" s="289"/>
      <c r="AM256" s="289"/>
      <c r="AN256" s="289"/>
      <c r="AO256" s="289"/>
      <c r="AP256" s="289"/>
      <c r="AQ256" s="289"/>
      <c r="AR256" s="289"/>
      <c r="AS256" s="289"/>
      <c r="AT256" s="289"/>
      <c r="AU256" s="289"/>
      <c r="AV256" s="289"/>
      <c r="AW256" s="289"/>
      <c r="AX256" s="289"/>
      <c r="AY256" s="289"/>
    </row>
    <row r="257" spans="1:51" ht="13.5" customHeight="1">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c r="AA257" s="289"/>
      <c r="AB257" s="289"/>
      <c r="AC257" s="289"/>
      <c r="AD257" s="289"/>
      <c r="AE257" s="289"/>
      <c r="AF257" s="289"/>
      <c r="AG257" s="289"/>
      <c r="AH257" s="289"/>
      <c r="AI257" s="289"/>
      <c r="AJ257" s="289"/>
      <c r="AK257" s="289"/>
      <c r="AL257" s="289"/>
      <c r="AM257" s="289"/>
      <c r="AN257" s="289"/>
      <c r="AO257" s="289"/>
      <c r="AP257" s="289"/>
      <c r="AQ257" s="289"/>
      <c r="AR257" s="289"/>
      <c r="AS257" s="289"/>
      <c r="AT257" s="289"/>
      <c r="AU257" s="289"/>
      <c r="AV257" s="289"/>
      <c r="AW257" s="289"/>
      <c r="AX257" s="289"/>
      <c r="AY257" s="289"/>
    </row>
    <row r="258" spans="1:51" ht="13.5" customHeight="1">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c r="AA258" s="289"/>
      <c r="AB258" s="289"/>
      <c r="AC258" s="289"/>
      <c r="AD258" s="289"/>
      <c r="AE258" s="289"/>
      <c r="AF258" s="289"/>
      <c r="AG258" s="289"/>
      <c r="AH258" s="289"/>
      <c r="AI258" s="289"/>
      <c r="AJ258" s="289"/>
      <c r="AK258" s="289"/>
      <c r="AL258" s="289"/>
      <c r="AM258" s="289"/>
      <c r="AN258" s="289"/>
      <c r="AO258" s="289"/>
      <c r="AP258" s="289"/>
      <c r="AQ258" s="289"/>
      <c r="AR258" s="289"/>
      <c r="AS258" s="289"/>
      <c r="AT258" s="289"/>
      <c r="AU258" s="289"/>
      <c r="AV258" s="289"/>
      <c r="AW258" s="289"/>
      <c r="AX258" s="289"/>
      <c r="AY258" s="289"/>
    </row>
    <row r="259" spans="1:51" ht="13.5" customHeight="1">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c r="AA259" s="289"/>
      <c r="AB259" s="289"/>
      <c r="AC259" s="289"/>
      <c r="AD259" s="289"/>
      <c r="AE259" s="289"/>
      <c r="AF259" s="289"/>
      <c r="AG259" s="289"/>
      <c r="AH259" s="289"/>
      <c r="AI259" s="289"/>
      <c r="AJ259" s="289"/>
      <c r="AK259" s="289"/>
      <c r="AL259" s="289"/>
      <c r="AM259" s="289"/>
      <c r="AN259" s="289"/>
      <c r="AO259" s="289"/>
      <c r="AP259" s="289"/>
      <c r="AQ259" s="289"/>
      <c r="AR259" s="289"/>
      <c r="AS259" s="289"/>
      <c r="AT259" s="289"/>
      <c r="AU259" s="289"/>
      <c r="AV259" s="289"/>
      <c r="AW259" s="289"/>
      <c r="AX259" s="289"/>
      <c r="AY259" s="289"/>
    </row>
    <row r="260" spans="1:51" ht="13.5" customHeight="1">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c r="AA260" s="289"/>
      <c r="AB260" s="289"/>
      <c r="AC260" s="289"/>
      <c r="AD260" s="289"/>
      <c r="AE260" s="289"/>
      <c r="AF260" s="289"/>
      <c r="AG260" s="289"/>
      <c r="AH260" s="289"/>
      <c r="AI260" s="289"/>
      <c r="AJ260" s="289"/>
      <c r="AK260" s="289"/>
      <c r="AL260" s="289"/>
      <c r="AM260" s="289"/>
      <c r="AN260" s="289"/>
      <c r="AO260" s="289"/>
      <c r="AP260" s="289"/>
      <c r="AQ260" s="289"/>
      <c r="AR260" s="289"/>
      <c r="AS260" s="289"/>
      <c r="AT260" s="289"/>
      <c r="AU260" s="289"/>
      <c r="AV260" s="289"/>
      <c r="AW260" s="289"/>
      <c r="AX260" s="289"/>
      <c r="AY260" s="289"/>
    </row>
    <row r="261" spans="1:51" ht="13.5" customHeight="1">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c r="AA261" s="289"/>
      <c r="AB261" s="289"/>
      <c r="AC261" s="289"/>
      <c r="AD261" s="289"/>
      <c r="AE261" s="289"/>
      <c r="AF261" s="289"/>
      <c r="AG261" s="289"/>
      <c r="AH261" s="289"/>
      <c r="AI261" s="289"/>
      <c r="AJ261" s="289"/>
      <c r="AK261" s="289"/>
      <c r="AL261" s="289"/>
      <c r="AM261" s="289"/>
      <c r="AN261" s="289"/>
      <c r="AO261" s="289"/>
      <c r="AP261" s="289"/>
      <c r="AQ261" s="289"/>
      <c r="AR261" s="289"/>
      <c r="AS261" s="289"/>
      <c r="AT261" s="289"/>
      <c r="AU261" s="289"/>
      <c r="AV261" s="289"/>
      <c r="AW261" s="289"/>
      <c r="AX261" s="289"/>
      <c r="AY261" s="289"/>
    </row>
    <row r="262" spans="1:51" ht="13.5" customHeight="1">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c r="AA262" s="289"/>
      <c r="AB262" s="289"/>
      <c r="AC262" s="289"/>
      <c r="AD262" s="289"/>
      <c r="AE262" s="289"/>
      <c r="AF262" s="289"/>
      <c r="AG262" s="289"/>
      <c r="AH262" s="289"/>
      <c r="AI262" s="289"/>
      <c r="AJ262" s="289"/>
      <c r="AK262" s="289"/>
      <c r="AL262" s="289"/>
      <c r="AM262" s="289"/>
      <c r="AN262" s="289"/>
      <c r="AO262" s="289"/>
      <c r="AP262" s="289"/>
      <c r="AQ262" s="289"/>
      <c r="AR262" s="289"/>
      <c r="AS262" s="289"/>
      <c r="AT262" s="289"/>
      <c r="AU262" s="289"/>
      <c r="AV262" s="289"/>
      <c r="AW262" s="289"/>
      <c r="AX262" s="289"/>
      <c r="AY262" s="289"/>
    </row>
    <row r="263" spans="1:51" ht="13.5" customHeight="1">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c r="AA263" s="289"/>
      <c r="AB263" s="289"/>
      <c r="AC263" s="289"/>
      <c r="AD263" s="289"/>
      <c r="AE263" s="289"/>
      <c r="AF263" s="289"/>
      <c r="AG263" s="289"/>
      <c r="AH263" s="289"/>
      <c r="AI263" s="289"/>
      <c r="AJ263" s="289"/>
      <c r="AK263" s="289"/>
      <c r="AL263" s="289"/>
      <c r="AM263" s="289"/>
      <c r="AN263" s="289"/>
      <c r="AO263" s="289"/>
      <c r="AP263" s="289"/>
      <c r="AQ263" s="289"/>
      <c r="AR263" s="289"/>
      <c r="AS263" s="289"/>
      <c r="AT263" s="289"/>
      <c r="AU263" s="289"/>
      <c r="AV263" s="289"/>
      <c r="AW263" s="289"/>
      <c r="AX263" s="289"/>
      <c r="AY263" s="289"/>
    </row>
    <row r="264" spans="1:51" ht="13.5" customHeight="1">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c r="AA264" s="289"/>
      <c r="AB264" s="289"/>
      <c r="AC264" s="289"/>
      <c r="AD264" s="289"/>
      <c r="AE264" s="289"/>
      <c r="AF264" s="289"/>
      <c r="AG264" s="289"/>
      <c r="AH264" s="289"/>
      <c r="AI264" s="289"/>
      <c r="AJ264" s="289"/>
      <c r="AK264" s="289"/>
      <c r="AL264" s="289"/>
      <c r="AM264" s="289"/>
      <c r="AN264" s="289"/>
      <c r="AO264" s="289"/>
      <c r="AP264" s="289"/>
      <c r="AQ264" s="289"/>
      <c r="AR264" s="289"/>
      <c r="AS264" s="289"/>
      <c r="AT264" s="289"/>
      <c r="AU264" s="289"/>
      <c r="AV264" s="289"/>
      <c r="AW264" s="289"/>
      <c r="AX264" s="289"/>
      <c r="AY264" s="289"/>
    </row>
    <row r="265" spans="1:51" ht="13.5" customHeight="1">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c r="AA265" s="289"/>
      <c r="AB265" s="289"/>
      <c r="AC265" s="289"/>
      <c r="AD265" s="289"/>
      <c r="AE265" s="289"/>
      <c r="AF265" s="289"/>
      <c r="AG265" s="289"/>
      <c r="AH265" s="289"/>
      <c r="AI265" s="289"/>
      <c r="AJ265" s="289"/>
      <c r="AK265" s="289"/>
      <c r="AL265" s="289"/>
      <c r="AM265" s="289"/>
      <c r="AN265" s="289"/>
      <c r="AO265" s="289"/>
      <c r="AP265" s="289"/>
      <c r="AQ265" s="289"/>
      <c r="AR265" s="289"/>
      <c r="AS265" s="289"/>
      <c r="AT265" s="289"/>
      <c r="AU265" s="289"/>
      <c r="AV265" s="289"/>
      <c r="AW265" s="289"/>
      <c r="AX265" s="289"/>
      <c r="AY265" s="289"/>
    </row>
    <row r="266" spans="1:51" ht="13.5" customHeight="1">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c r="AA266" s="289"/>
      <c r="AB266" s="289"/>
      <c r="AC266" s="289"/>
      <c r="AD266" s="289"/>
      <c r="AE266" s="289"/>
      <c r="AF266" s="289"/>
      <c r="AG266" s="289"/>
      <c r="AH266" s="289"/>
      <c r="AI266" s="289"/>
      <c r="AJ266" s="289"/>
      <c r="AK266" s="289"/>
      <c r="AL266" s="289"/>
      <c r="AM266" s="289"/>
      <c r="AN266" s="289"/>
      <c r="AO266" s="289"/>
      <c r="AP266" s="289"/>
      <c r="AQ266" s="289"/>
      <c r="AR266" s="289"/>
      <c r="AS266" s="289"/>
      <c r="AT266" s="289"/>
      <c r="AU266" s="289"/>
      <c r="AV266" s="289"/>
      <c r="AW266" s="289"/>
      <c r="AX266" s="289"/>
      <c r="AY266" s="289"/>
    </row>
    <row r="267" spans="1:51" ht="13.5" customHeight="1">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c r="AA267" s="289"/>
      <c r="AB267" s="289"/>
      <c r="AC267" s="289"/>
      <c r="AD267" s="289"/>
      <c r="AE267" s="289"/>
      <c r="AF267" s="289"/>
      <c r="AG267" s="289"/>
      <c r="AH267" s="289"/>
      <c r="AI267" s="289"/>
      <c r="AJ267" s="289"/>
      <c r="AK267" s="289"/>
      <c r="AL267" s="289"/>
      <c r="AM267" s="289"/>
      <c r="AN267" s="289"/>
      <c r="AO267" s="289"/>
      <c r="AP267" s="289"/>
      <c r="AQ267" s="289"/>
      <c r="AR267" s="289"/>
      <c r="AS267" s="289"/>
      <c r="AT267" s="289"/>
      <c r="AU267" s="289"/>
      <c r="AV267" s="289"/>
      <c r="AW267" s="289"/>
      <c r="AX267" s="289"/>
      <c r="AY267" s="289"/>
    </row>
    <row r="268" spans="1:51" ht="13.5" customHeight="1">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c r="AA268" s="289"/>
      <c r="AB268" s="289"/>
      <c r="AC268" s="289"/>
      <c r="AD268" s="289"/>
      <c r="AE268" s="289"/>
      <c r="AF268" s="289"/>
      <c r="AG268" s="289"/>
      <c r="AH268" s="289"/>
      <c r="AI268" s="289"/>
      <c r="AJ268" s="289"/>
      <c r="AK268" s="289"/>
      <c r="AL268" s="289"/>
      <c r="AM268" s="289"/>
      <c r="AN268" s="289"/>
      <c r="AO268" s="289"/>
      <c r="AP268" s="289"/>
      <c r="AQ268" s="289"/>
      <c r="AR268" s="289"/>
      <c r="AS268" s="289"/>
      <c r="AT268" s="289"/>
      <c r="AU268" s="289"/>
      <c r="AV268" s="289"/>
      <c r="AW268" s="289"/>
      <c r="AX268" s="289"/>
      <c r="AY268" s="289"/>
    </row>
    <row r="269" spans="1:51" ht="13.5" customHeight="1">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c r="AA269" s="289"/>
      <c r="AB269" s="289"/>
      <c r="AC269" s="289"/>
      <c r="AD269" s="289"/>
      <c r="AE269" s="289"/>
      <c r="AF269" s="289"/>
      <c r="AG269" s="289"/>
      <c r="AH269" s="289"/>
      <c r="AI269" s="289"/>
      <c r="AJ269" s="289"/>
      <c r="AK269" s="289"/>
      <c r="AL269" s="289"/>
      <c r="AM269" s="289"/>
      <c r="AN269" s="289"/>
      <c r="AO269" s="289"/>
      <c r="AP269" s="289"/>
      <c r="AQ269" s="289"/>
      <c r="AR269" s="289"/>
      <c r="AS269" s="289"/>
      <c r="AT269" s="289"/>
      <c r="AU269" s="289"/>
      <c r="AV269" s="289"/>
      <c r="AW269" s="289"/>
      <c r="AX269" s="289"/>
      <c r="AY269" s="289"/>
    </row>
    <row r="270" spans="1:51" ht="13.5" customHeight="1">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289"/>
      <c r="AH270" s="289"/>
      <c r="AI270" s="289"/>
      <c r="AJ270" s="289"/>
      <c r="AK270" s="289"/>
      <c r="AL270" s="289"/>
      <c r="AM270" s="289"/>
      <c r="AN270" s="289"/>
      <c r="AO270" s="289"/>
      <c r="AP270" s="289"/>
      <c r="AQ270" s="289"/>
      <c r="AR270" s="289"/>
      <c r="AS270" s="289"/>
      <c r="AT270" s="289"/>
      <c r="AU270" s="289"/>
      <c r="AV270" s="289"/>
      <c r="AW270" s="289"/>
      <c r="AX270" s="289"/>
      <c r="AY270" s="289"/>
    </row>
    <row r="271" spans="1:51" ht="13.5" customHeight="1">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289"/>
      <c r="AH271" s="289"/>
      <c r="AI271" s="289"/>
      <c r="AJ271" s="289"/>
      <c r="AK271" s="289"/>
      <c r="AL271" s="289"/>
      <c r="AM271" s="289"/>
      <c r="AN271" s="289"/>
      <c r="AO271" s="289"/>
      <c r="AP271" s="289"/>
      <c r="AQ271" s="289"/>
      <c r="AR271" s="289"/>
      <c r="AS271" s="289"/>
      <c r="AT271" s="289"/>
      <c r="AU271" s="289"/>
      <c r="AV271" s="289"/>
      <c r="AW271" s="289"/>
      <c r="AX271" s="289"/>
      <c r="AY271" s="289"/>
    </row>
    <row r="272" spans="1:51" ht="13.5" customHeight="1">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c r="AA272" s="289"/>
      <c r="AB272" s="289"/>
      <c r="AC272" s="289"/>
      <c r="AD272" s="289"/>
      <c r="AE272" s="289"/>
      <c r="AF272" s="289"/>
      <c r="AG272" s="289"/>
      <c r="AH272" s="289"/>
      <c r="AI272" s="289"/>
      <c r="AJ272" s="289"/>
      <c r="AK272" s="289"/>
      <c r="AL272" s="289"/>
      <c r="AM272" s="289"/>
      <c r="AN272" s="289"/>
      <c r="AO272" s="289"/>
      <c r="AP272" s="289"/>
      <c r="AQ272" s="289"/>
      <c r="AR272" s="289"/>
      <c r="AS272" s="289"/>
      <c r="AT272" s="289"/>
      <c r="AU272" s="289"/>
      <c r="AV272" s="289"/>
      <c r="AW272" s="289"/>
      <c r="AX272" s="289"/>
      <c r="AY272" s="289"/>
    </row>
    <row r="273" spans="1:51" ht="13.5" customHeight="1">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c r="AA273" s="289"/>
      <c r="AB273" s="289"/>
      <c r="AC273" s="289"/>
      <c r="AD273" s="289"/>
      <c r="AE273" s="289"/>
      <c r="AF273" s="289"/>
      <c r="AG273" s="289"/>
      <c r="AH273" s="289"/>
      <c r="AI273" s="289"/>
      <c r="AJ273" s="289"/>
      <c r="AK273" s="289"/>
      <c r="AL273" s="289"/>
      <c r="AM273" s="289"/>
      <c r="AN273" s="289"/>
      <c r="AO273" s="289"/>
      <c r="AP273" s="289"/>
      <c r="AQ273" s="289"/>
      <c r="AR273" s="289"/>
      <c r="AS273" s="289"/>
      <c r="AT273" s="289"/>
      <c r="AU273" s="289"/>
      <c r="AV273" s="289"/>
      <c r="AW273" s="289"/>
      <c r="AX273" s="289"/>
      <c r="AY273" s="289"/>
    </row>
    <row r="274" spans="1:51" ht="13.5" customHeight="1">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c r="AA274" s="289"/>
      <c r="AB274" s="289"/>
      <c r="AC274" s="289"/>
      <c r="AD274" s="289"/>
      <c r="AE274" s="289"/>
      <c r="AF274" s="289"/>
      <c r="AG274" s="289"/>
      <c r="AH274" s="289"/>
      <c r="AI274" s="289"/>
      <c r="AJ274" s="289"/>
      <c r="AK274" s="289"/>
      <c r="AL274" s="289"/>
      <c r="AM274" s="289"/>
      <c r="AN274" s="289"/>
      <c r="AO274" s="289"/>
      <c r="AP274" s="289"/>
      <c r="AQ274" s="289"/>
      <c r="AR274" s="289"/>
      <c r="AS274" s="289"/>
      <c r="AT274" s="289"/>
      <c r="AU274" s="289"/>
      <c r="AV274" s="289"/>
      <c r="AW274" s="289"/>
      <c r="AX274" s="289"/>
      <c r="AY274" s="289"/>
    </row>
    <row r="275" spans="1:51" ht="13.5" customHeight="1">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c r="AA275" s="289"/>
      <c r="AB275" s="289"/>
      <c r="AC275" s="289"/>
      <c r="AD275" s="289"/>
      <c r="AE275" s="289"/>
      <c r="AF275" s="289"/>
      <c r="AG275" s="289"/>
      <c r="AH275" s="289"/>
      <c r="AI275" s="289"/>
      <c r="AJ275" s="289"/>
      <c r="AK275" s="289"/>
      <c r="AL275" s="289"/>
      <c r="AM275" s="289"/>
      <c r="AN275" s="289"/>
      <c r="AO275" s="289"/>
      <c r="AP275" s="289"/>
      <c r="AQ275" s="289"/>
      <c r="AR275" s="289"/>
      <c r="AS275" s="289"/>
      <c r="AT275" s="289"/>
      <c r="AU275" s="289"/>
      <c r="AV275" s="289"/>
      <c r="AW275" s="289"/>
      <c r="AX275" s="289"/>
      <c r="AY275" s="289"/>
    </row>
    <row r="276" spans="1:51" ht="13.5" customHeight="1">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c r="AA276" s="289"/>
      <c r="AB276" s="289"/>
      <c r="AC276" s="289"/>
      <c r="AD276" s="289"/>
      <c r="AE276" s="289"/>
      <c r="AF276" s="289"/>
      <c r="AG276" s="289"/>
      <c r="AH276" s="289"/>
      <c r="AI276" s="289"/>
      <c r="AJ276" s="289"/>
      <c r="AK276" s="289"/>
      <c r="AL276" s="289"/>
      <c r="AM276" s="289"/>
      <c r="AN276" s="289"/>
      <c r="AO276" s="289"/>
      <c r="AP276" s="289"/>
      <c r="AQ276" s="289"/>
      <c r="AR276" s="289"/>
      <c r="AS276" s="289"/>
      <c r="AT276" s="289"/>
      <c r="AU276" s="289"/>
      <c r="AV276" s="289"/>
      <c r="AW276" s="289"/>
      <c r="AX276" s="289"/>
      <c r="AY276" s="289"/>
    </row>
    <row r="277" spans="1:51" ht="13.5" customHeight="1">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c r="AA277" s="289"/>
      <c r="AB277" s="289"/>
      <c r="AC277" s="289"/>
      <c r="AD277" s="289"/>
      <c r="AE277" s="289"/>
      <c r="AF277" s="289"/>
      <c r="AG277" s="289"/>
      <c r="AH277" s="289"/>
      <c r="AI277" s="289"/>
      <c r="AJ277" s="289"/>
      <c r="AK277" s="289"/>
      <c r="AL277" s="289"/>
      <c r="AM277" s="289"/>
      <c r="AN277" s="289"/>
      <c r="AO277" s="289"/>
      <c r="AP277" s="289"/>
      <c r="AQ277" s="289"/>
      <c r="AR277" s="289"/>
      <c r="AS277" s="289"/>
      <c r="AT277" s="289"/>
      <c r="AU277" s="289"/>
      <c r="AV277" s="289"/>
      <c r="AW277" s="289"/>
      <c r="AX277" s="289"/>
      <c r="AY277" s="289"/>
    </row>
    <row r="278" spans="1:51" ht="13.5" customHeight="1">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c r="AA278" s="289"/>
      <c r="AB278" s="289"/>
      <c r="AC278" s="289"/>
      <c r="AD278" s="289"/>
      <c r="AE278" s="289"/>
      <c r="AF278" s="289"/>
      <c r="AG278" s="289"/>
      <c r="AH278" s="289"/>
      <c r="AI278" s="289"/>
      <c r="AJ278" s="289"/>
      <c r="AK278" s="289"/>
      <c r="AL278" s="289"/>
      <c r="AM278" s="289"/>
      <c r="AN278" s="289"/>
      <c r="AO278" s="289"/>
      <c r="AP278" s="289"/>
      <c r="AQ278" s="289"/>
      <c r="AR278" s="289"/>
      <c r="AS278" s="289"/>
      <c r="AT278" s="289"/>
      <c r="AU278" s="289"/>
      <c r="AV278" s="289"/>
      <c r="AW278" s="289"/>
      <c r="AX278" s="289"/>
      <c r="AY278" s="289"/>
    </row>
    <row r="279" spans="1:51" ht="13.5" customHeight="1">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c r="AA279" s="289"/>
      <c r="AB279" s="289"/>
      <c r="AC279" s="289"/>
      <c r="AD279" s="289"/>
      <c r="AE279" s="289"/>
      <c r="AF279" s="289"/>
      <c r="AG279" s="289"/>
      <c r="AH279" s="289"/>
      <c r="AI279" s="289"/>
      <c r="AJ279" s="289"/>
      <c r="AK279" s="289"/>
      <c r="AL279" s="289"/>
      <c r="AM279" s="289"/>
      <c r="AN279" s="289"/>
      <c r="AO279" s="289"/>
      <c r="AP279" s="289"/>
      <c r="AQ279" s="289"/>
      <c r="AR279" s="289"/>
      <c r="AS279" s="289"/>
      <c r="AT279" s="289"/>
      <c r="AU279" s="289"/>
      <c r="AV279" s="289"/>
      <c r="AW279" s="289"/>
      <c r="AX279" s="289"/>
      <c r="AY279" s="289"/>
    </row>
    <row r="280" spans="1:51" ht="13.5" customHeight="1">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c r="AB280" s="289"/>
      <c r="AC280" s="289"/>
      <c r="AD280" s="289"/>
      <c r="AE280" s="289"/>
      <c r="AF280" s="289"/>
      <c r="AG280" s="289"/>
      <c r="AH280" s="289"/>
      <c r="AI280" s="289"/>
      <c r="AJ280" s="289"/>
      <c r="AK280" s="289"/>
      <c r="AL280" s="289"/>
      <c r="AM280" s="289"/>
      <c r="AN280" s="289"/>
      <c r="AO280" s="289"/>
      <c r="AP280" s="289"/>
      <c r="AQ280" s="289"/>
      <c r="AR280" s="289"/>
      <c r="AS280" s="289"/>
      <c r="AT280" s="289"/>
      <c r="AU280" s="289"/>
      <c r="AV280" s="289"/>
      <c r="AW280" s="289"/>
      <c r="AX280" s="289"/>
      <c r="AY280" s="289"/>
    </row>
    <row r="281" spans="1:51" ht="13.5" customHeight="1">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c r="AB281" s="289"/>
      <c r="AC281" s="289"/>
      <c r="AD281" s="289"/>
      <c r="AE281" s="289"/>
      <c r="AF281" s="289"/>
      <c r="AG281" s="289"/>
      <c r="AH281" s="289"/>
      <c r="AI281" s="289"/>
      <c r="AJ281" s="289"/>
      <c r="AK281" s="289"/>
      <c r="AL281" s="289"/>
      <c r="AM281" s="289"/>
      <c r="AN281" s="289"/>
      <c r="AO281" s="289"/>
      <c r="AP281" s="289"/>
      <c r="AQ281" s="289"/>
      <c r="AR281" s="289"/>
      <c r="AS281" s="289"/>
      <c r="AT281" s="289"/>
      <c r="AU281" s="289"/>
      <c r="AV281" s="289"/>
      <c r="AW281" s="289"/>
      <c r="AX281" s="289"/>
      <c r="AY281" s="289"/>
    </row>
    <row r="282" spans="1:51" ht="13.5" customHeight="1">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c r="AA282" s="289"/>
      <c r="AB282" s="289"/>
      <c r="AC282" s="289"/>
      <c r="AD282" s="289"/>
      <c r="AE282" s="289"/>
      <c r="AF282" s="289"/>
      <c r="AG282" s="289"/>
      <c r="AH282" s="289"/>
      <c r="AI282" s="289"/>
      <c r="AJ282" s="289"/>
      <c r="AK282" s="289"/>
      <c r="AL282" s="289"/>
      <c r="AM282" s="289"/>
      <c r="AN282" s="289"/>
      <c r="AO282" s="289"/>
      <c r="AP282" s="289"/>
      <c r="AQ282" s="289"/>
      <c r="AR282" s="289"/>
      <c r="AS282" s="289"/>
      <c r="AT282" s="289"/>
      <c r="AU282" s="289"/>
      <c r="AV282" s="289"/>
      <c r="AW282" s="289"/>
      <c r="AX282" s="289"/>
      <c r="AY282" s="289"/>
    </row>
    <row r="283" spans="1:51" ht="13.5" customHeight="1">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c r="AA283" s="289"/>
      <c r="AB283" s="289"/>
      <c r="AC283" s="289"/>
      <c r="AD283" s="289"/>
      <c r="AE283" s="289"/>
      <c r="AF283" s="289"/>
      <c r="AG283" s="289"/>
      <c r="AH283" s="289"/>
      <c r="AI283" s="289"/>
      <c r="AJ283" s="289"/>
      <c r="AK283" s="289"/>
      <c r="AL283" s="289"/>
      <c r="AM283" s="289"/>
      <c r="AN283" s="289"/>
      <c r="AO283" s="289"/>
      <c r="AP283" s="289"/>
      <c r="AQ283" s="289"/>
      <c r="AR283" s="289"/>
      <c r="AS283" s="289"/>
      <c r="AT283" s="289"/>
      <c r="AU283" s="289"/>
      <c r="AV283" s="289"/>
      <c r="AW283" s="289"/>
      <c r="AX283" s="289"/>
      <c r="AY283" s="289"/>
    </row>
    <row r="284" spans="1:51" ht="13.5" customHeight="1">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c r="AA284" s="289"/>
      <c r="AB284" s="289"/>
      <c r="AC284" s="289"/>
      <c r="AD284" s="289"/>
      <c r="AE284" s="289"/>
      <c r="AF284" s="289"/>
      <c r="AG284" s="289"/>
      <c r="AH284" s="289"/>
      <c r="AI284" s="289"/>
      <c r="AJ284" s="289"/>
      <c r="AK284" s="289"/>
      <c r="AL284" s="289"/>
      <c r="AM284" s="289"/>
      <c r="AN284" s="289"/>
      <c r="AO284" s="289"/>
      <c r="AP284" s="289"/>
      <c r="AQ284" s="289"/>
      <c r="AR284" s="289"/>
      <c r="AS284" s="289"/>
      <c r="AT284" s="289"/>
      <c r="AU284" s="289"/>
      <c r="AV284" s="289"/>
      <c r="AW284" s="289"/>
      <c r="AX284" s="289"/>
      <c r="AY284" s="289"/>
    </row>
    <row r="285" spans="1:51" ht="13.5" customHeight="1">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c r="AA285" s="289"/>
      <c r="AB285" s="289"/>
      <c r="AC285" s="289"/>
      <c r="AD285" s="289"/>
      <c r="AE285" s="289"/>
      <c r="AF285" s="289"/>
      <c r="AG285" s="289"/>
      <c r="AH285" s="289"/>
      <c r="AI285" s="289"/>
      <c r="AJ285" s="289"/>
      <c r="AK285" s="289"/>
      <c r="AL285" s="289"/>
      <c r="AM285" s="289"/>
      <c r="AN285" s="289"/>
      <c r="AO285" s="289"/>
      <c r="AP285" s="289"/>
      <c r="AQ285" s="289"/>
      <c r="AR285" s="289"/>
      <c r="AS285" s="289"/>
      <c r="AT285" s="289"/>
      <c r="AU285" s="289"/>
      <c r="AV285" s="289"/>
      <c r="AW285" s="289"/>
      <c r="AX285" s="289"/>
      <c r="AY285" s="289"/>
    </row>
    <row r="286" spans="1:51" ht="13.5" customHeight="1">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c r="AA286" s="289"/>
      <c r="AB286" s="289"/>
      <c r="AC286" s="289"/>
      <c r="AD286" s="289"/>
      <c r="AE286" s="289"/>
      <c r="AF286" s="289"/>
      <c r="AG286" s="289"/>
      <c r="AH286" s="289"/>
      <c r="AI286" s="289"/>
      <c r="AJ286" s="289"/>
      <c r="AK286" s="289"/>
      <c r="AL286" s="289"/>
      <c r="AM286" s="289"/>
      <c r="AN286" s="289"/>
      <c r="AO286" s="289"/>
      <c r="AP286" s="289"/>
      <c r="AQ286" s="289"/>
      <c r="AR286" s="289"/>
      <c r="AS286" s="289"/>
      <c r="AT286" s="289"/>
      <c r="AU286" s="289"/>
      <c r="AV286" s="289"/>
      <c r="AW286" s="289"/>
      <c r="AX286" s="289"/>
      <c r="AY286" s="289"/>
    </row>
    <row r="287" spans="1:51" ht="13.5" customHeight="1">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c r="AA287" s="289"/>
      <c r="AB287" s="289"/>
      <c r="AC287" s="289"/>
      <c r="AD287" s="289"/>
      <c r="AE287" s="289"/>
      <c r="AF287" s="289"/>
      <c r="AG287" s="289"/>
      <c r="AH287" s="289"/>
      <c r="AI287" s="289"/>
      <c r="AJ287" s="289"/>
      <c r="AK287" s="289"/>
      <c r="AL287" s="289"/>
      <c r="AM287" s="289"/>
      <c r="AN287" s="289"/>
      <c r="AO287" s="289"/>
      <c r="AP287" s="289"/>
      <c r="AQ287" s="289"/>
      <c r="AR287" s="289"/>
      <c r="AS287" s="289"/>
      <c r="AT287" s="289"/>
      <c r="AU287" s="289"/>
      <c r="AV287" s="289"/>
      <c r="AW287" s="289"/>
      <c r="AX287" s="289"/>
      <c r="AY287" s="289"/>
    </row>
    <row r="288" spans="1:51" ht="13.5" customHeight="1">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c r="AA288" s="289"/>
      <c r="AB288" s="289"/>
      <c r="AC288" s="289"/>
      <c r="AD288" s="289"/>
      <c r="AE288" s="289"/>
      <c r="AF288" s="289"/>
      <c r="AG288" s="289"/>
      <c r="AH288" s="289"/>
      <c r="AI288" s="289"/>
      <c r="AJ288" s="289"/>
      <c r="AK288" s="289"/>
      <c r="AL288" s="289"/>
      <c r="AM288" s="289"/>
      <c r="AN288" s="289"/>
      <c r="AO288" s="289"/>
      <c r="AP288" s="289"/>
      <c r="AQ288" s="289"/>
      <c r="AR288" s="289"/>
      <c r="AS288" s="289"/>
      <c r="AT288" s="289"/>
      <c r="AU288" s="289"/>
      <c r="AV288" s="289"/>
      <c r="AW288" s="289"/>
      <c r="AX288" s="289"/>
      <c r="AY288" s="289"/>
    </row>
    <row r="289" spans="1:51" ht="13.5" customHeight="1">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c r="AA289" s="289"/>
      <c r="AB289" s="289"/>
      <c r="AC289" s="289"/>
      <c r="AD289" s="289"/>
      <c r="AE289" s="289"/>
      <c r="AF289" s="289"/>
      <c r="AG289" s="289"/>
      <c r="AH289" s="289"/>
      <c r="AI289" s="289"/>
      <c r="AJ289" s="289"/>
      <c r="AK289" s="289"/>
      <c r="AL289" s="289"/>
      <c r="AM289" s="289"/>
      <c r="AN289" s="289"/>
      <c r="AO289" s="289"/>
      <c r="AP289" s="289"/>
      <c r="AQ289" s="289"/>
      <c r="AR289" s="289"/>
      <c r="AS289" s="289"/>
      <c r="AT289" s="289"/>
      <c r="AU289" s="289"/>
      <c r="AV289" s="289"/>
      <c r="AW289" s="289"/>
      <c r="AX289" s="289"/>
      <c r="AY289" s="289"/>
    </row>
    <row r="290" spans="1:51" ht="13.5" customHeight="1">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c r="AA290" s="289"/>
      <c r="AB290" s="289"/>
      <c r="AC290" s="289"/>
      <c r="AD290" s="289"/>
      <c r="AE290" s="289"/>
      <c r="AF290" s="289"/>
      <c r="AG290" s="289"/>
      <c r="AH290" s="289"/>
      <c r="AI290" s="289"/>
      <c r="AJ290" s="289"/>
      <c r="AK290" s="289"/>
      <c r="AL290" s="289"/>
      <c r="AM290" s="289"/>
      <c r="AN290" s="289"/>
      <c r="AO290" s="289"/>
      <c r="AP290" s="289"/>
      <c r="AQ290" s="289"/>
      <c r="AR290" s="289"/>
      <c r="AS290" s="289"/>
      <c r="AT290" s="289"/>
      <c r="AU290" s="289"/>
      <c r="AV290" s="289"/>
      <c r="AW290" s="289"/>
      <c r="AX290" s="289"/>
      <c r="AY290" s="289"/>
    </row>
    <row r="291" spans="1:51" ht="13.5" customHeight="1">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c r="AA291" s="289"/>
      <c r="AB291" s="289"/>
      <c r="AC291" s="289"/>
      <c r="AD291" s="289"/>
      <c r="AE291" s="289"/>
      <c r="AF291" s="289"/>
      <c r="AG291" s="289"/>
      <c r="AH291" s="289"/>
      <c r="AI291" s="289"/>
      <c r="AJ291" s="289"/>
      <c r="AK291" s="289"/>
      <c r="AL291" s="289"/>
      <c r="AM291" s="289"/>
      <c r="AN291" s="289"/>
      <c r="AO291" s="289"/>
      <c r="AP291" s="289"/>
      <c r="AQ291" s="289"/>
      <c r="AR291" s="289"/>
      <c r="AS291" s="289"/>
      <c r="AT291" s="289"/>
      <c r="AU291" s="289"/>
      <c r="AV291" s="289"/>
      <c r="AW291" s="289"/>
      <c r="AX291" s="289"/>
      <c r="AY291" s="289"/>
    </row>
    <row r="292" spans="1:51" ht="13.5" customHeight="1">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c r="AA292" s="289"/>
      <c r="AB292" s="289"/>
      <c r="AC292" s="289"/>
      <c r="AD292" s="289"/>
      <c r="AE292" s="289"/>
      <c r="AF292" s="289"/>
      <c r="AG292" s="289"/>
      <c r="AH292" s="289"/>
      <c r="AI292" s="289"/>
      <c r="AJ292" s="289"/>
      <c r="AK292" s="289"/>
      <c r="AL292" s="289"/>
      <c r="AM292" s="289"/>
      <c r="AN292" s="289"/>
      <c r="AO292" s="289"/>
      <c r="AP292" s="289"/>
      <c r="AQ292" s="289"/>
      <c r="AR292" s="289"/>
      <c r="AS292" s="289"/>
      <c r="AT292" s="289"/>
      <c r="AU292" s="289"/>
      <c r="AV292" s="289"/>
      <c r="AW292" s="289"/>
      <c r="AX292" s="289"/>
      <c r="AY292" s="289"/>
    </row>
    <row r="293" spans="1:51" ht="13.5" customHeight="1">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c r="AA293" s="289"/>
      <c r="AB293" s="289"/>
      <c r="AC293" s="289"/>
      <c r="AD293" s="289"/>
      <c r="AE293" s="289"/>
      <c r="AF293" s="289"/>
      <c r="AG293" s="289"/>
      <c r="AH293" s="289"/>
      <c r="AI293" s="289"/>
      <c r="AJ293" s="289"/>
      <c r="AK293" s="289"/>
      <c r="AL293" s="289"/>
      <c r="AM293" s="289"/>
      <c r="AN293" s="289"/>
      <c r="AO293" s="289"/>
      <c r="AP293" s="289"/>
      <c r="AQ293" s="289"/>
      <c r="AR293" s="289"/>
      <c r="AS293" s="289"/>
      <c r="AT293" s="289"/>
      <c r="AU293" s="289"/>
      <c r="AV293" s="289"/>
      <c r="AW293" s="289"/>
      <c r="AX293" s="289"/>
      <c r="AY293" s="289"/>
    </row>
    <row r="294" spans="1:51" ht="13.5" customHeight="1">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c r="AA294" s="289"/>
      <c r="AB294" s="289"/>
      <c r="AC294" s="289"/>
      <c r="AD294" s="289"/>
      <c r="AE294" s="289"/>
      <c r="AF294" s="289"/>
      <c r="AG294" s="289"/>
      <c r="AH294" s="289"/>
      <c r="AI294" s="289"/>
      <c r="AJ294" s="289"/>
      <c r="AK294" s="289"/>
      <c r="AL294" s="289"/>
      <c r="AM294" s="289"/>
      <c r="AN294" s="289"/>
      <c r="AO294" s="289"/>
      <c r="AP294" s="289"/>
      <c r="AQ294" s="289"/>
      <c r="AR294" s="289"/>
      <c r="AS294" s="289"/>
      <c r="AT294" s="289"/>
      <c r="AU294" s="289"/>
      <c r="AV294" s="289"/>
      <c r="AW294" s="289"/>
      <c r="AX294" s="289"/>
      <c r="AY294" s="289"/>
    </row>
    <row r="295" spans="1:51" ht="13.5" customHeight="1">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c r="AA295" s="289"/>
      <c r="AB295" s="289"/>
      <c r="AC295" s="289"/>
      <c r="AD295" s="289"/>
      <c r="AE295" s="289"/>
      <c r="AF295" s="289"/>
      <c r="AG295" s="289"/>
      <c r="AH295" s="289"/>
      <c r="AI295" s="289"/>
      <c r="AJ295" s="289"/>
      <c r="AK295" s="289"/>
      <c r="AL295" s="289"/>
      <c r="AM295" s="289"/>
      <c r="AN295" s="289"/>
      <c r="AO295" s="289"/>
      <c r="AP295" s="289"/>
      <c r="AQ295" s="289"/>
      <c r="AR295" s="289"/>
      <c r="AS295" s="289"/>
      <c r="AT295" s="289"/>
      <c r="AU295" s="289"/>
      <c r="AV295" s="289"/>
      <c r="AW295" s="289"/>
      <c r="AX295" s="289"/>
      <c r="AY295" s="289"/>
    </row>
    <row r="296" spans="1:51" ht="13.5" customHeight="1">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c r="AA296" s="289"/>
      <c r="AB296" s="289"/>
      <c r="AC296" s="289"/>
      <c r="AD296" s="289"/>
      <c r="AE296" s="289"/>
      <c r="AF296" s="289"/>
      <c r="AG296" s="289"/>
      <c r="AH296" s="289"/>
      <c r="AI296" s="289"/>
      <c r="AJ296" s="289"/>
      <c r="AK296" s="289"/>
      <c r="AL296" s="289"/>
      <c r="AM296" s="289"/>
      <c r="AN296" s="289"/>
      <c r="AO296" s="289"/>
      <c r="AP296" s="289"/>
      <c r="AQ296" s="289"/>
      <c r="AR296" s="289"/>
      <c r="AS296" s="289"/>
      <c r="AT296" s="289"/>
      <c r="AU296" s="289"/>
      <c r="AV296" s="289"/>
      <c r="AW296" s="289"/>
      <c r="AX296" s="289"/>
      <c r="AY296" s="289"/>
    </row>
    <row r="297" spans="1:51" ht="13.5" customHeight="1">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c r="AA297" s="289"/>
      <c r="AB297" s="289"/>
      <c r="AC297" s="289"/>
      <c r="AD297" s="289"/>
      <c r="AE297" s="289"/>
      <c r="AF297" s="289"/>
      <c r="AG297" s="289"/>
      <c r="AH297" s="289"/>
      <c r="AI297" s="289"/>
      <c r="AJ297" s="289"/>
      <c r="AK297" s="289"/>
      <c r="AL297" s="289"/>
      <c r="AM297" s="289"/>
      <c r="AN297" s="289"/>
      <c r="AO297" s="289"/>
      <c r="AP297" s="289"/>
      <c r="AQ297" s="289"/>
      <c r="AR297" s="289"/>
      <c r="AS297" s="289"/>
      <c r="AT297" s="289"/>
      <c r="AU297" s="289"/>
      <c r="AV297" s="289"/>
      <c r="AW297" s="289"/>
      <c r="AX297" s="289"/>
      <c r="AY297" s="289"/>
    </row>
    <row r="298" spans="1:51" ht="13.5" customHeight="1">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c r="AA298" s="289"/>
      <c r="AB298" s="289"/>
      <c r="AC298" s="289"/>
      <c r="AD298" s="289"/>
      <c r="AE298" s="289"/>
      <c r="AF298" s="289"/>
      <c r="AG298" s="289"/>
      <c r="AH298" s="289"/>
      <c r="AI298" s="289"/>
      <c r="AJ298" s="289"/>
      <c r="AK298" s="289"/>
      <c r="AL298" s="289"/>
      <c r="AM298" s="289"/>
      <c r="AN298" s="289"/>
      <c r="AO298" s="289"/>
      <c r="AP298" s="289"/>
      <c r="AQ298" s="289"/>
      <c r="AR298" s="289"/>
      <c r="AS298" s="289"/>
      <c r="AT298" s="289"/>
      <c r="AU298" s="289"/>
      <c r="AV298" s="289"/>
      <c r="AW298" s="289"/>
      <c r="AX298" s="289"/>
      <c r="AY298" s="289"/>
    </row>
    <row r="299" spans="1:51" ht="13.5" customHeight="1">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c r="AA299" s="289"/>
      <c r="AB299" s="289"/>
      <c r="AC299" s="289"/>
      <c r="AD299" s="289"/>
      <c r="AE299" s="289"/>
      <c r="AF299" s="289"/>
      <c r="AG299" s="289"/>
      <c r="AH299" s="289"/>
      <c r="AI299" s="289"/>
      <c r="AJ299" s="289"/>
      <c r="AK299" s="289"/>
      <c r="AL299" s="289"/>
      <c r="AM299" s="289"/>
      <c r="AN299" s="289"/>
      <c r="AO299" s="289"/>
      <c r="AP299" s="289"/>
      <c r="AQ299" s="289"/>
      <c r="AR299" s="289"/>
      <c r="AS299" s="289"/>
      <c r="AT299" s="289"/>
      <c r="AU299" s="289"/>
      <c r="AV299" s="289"/>
      <c r="AW299" s="289"/>
      <c r="AX299" s="289"/>
      <c r="AY299" s="289"/>
    </row>
    <row r="300" spans="1:51" ht="13.5" customHeight="1">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c r="AA300" s="289"/>
      <c r="AB300" s="289"/>
      <c r="AC300" s="289"/>
      <c r="AD300" s="289"/>
      <c r="AE300" s="289"/>
      <c r="AF300" s="289"/>
      <c r="AG300" s="289"/>
      <c r="AH300" s="289"/>
      <c r="AI300" s="289"/>
      <c r="AJ300" s="289"/>
      <c r="AK300" s="289"/>
      <c r="AL300" s="289"/>
      <c r="AM300" s="289"/>
      <c r="AN300" s="289"/>
      <c r="AO300" s="289"/>
      <c r="AP300" s="289"/>
      <c r="AQ300" s="289"/>
      <c r="AR300" s="289"/>
      <c r="AS300" s="289"/>
      <c r="AT300" s="289"/>
      <c r="AU300" s="289"/>
      <c r="AV300" s="289"/>
      <c r="AW300" s="289"/>
      <c r="AX300" s="289"/>
      <c r="AY300" s="289"/>
    </row>
    <row r="301" spans="1:51" ht="13.5" customHeight="1">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c r="AA301" s="289"/>
      <c r="AB301" s="289"/>
      <c r="AC301" s="289"/>
      <c r="AD301" s="289"/>
      <c r="AE301" s="289"/>
      <c r="AF301" s="289"/>
      <c r="AG301" s="289"/>
      <c r="AH301" s="289"/>
      <c r="AI301" s="289"/>
      <c r="AJ301" s="289"/>
      <c r="AK301" s="289"/>
      <c r="AL301" s="289"/>
      <c r="AM301" s="289"/>
      <c r="AN301" s="289"/>
      <c r="AO301" s="289"/>
      <c r="AP301" s="289"/>
      <c r="AQ301" s="289"/>
      <c r="AR301" s="289"/>
      <c r="AS301" s="289"/>
      <c r="AT301" s="289"/>
      <c r="AU301" s="289"/>
      <c r="AV301" s="289"/>
      <c r="AW301" s="289"/>
      <c r="AX301" s="289"/>
      <c r="AY301" s="289"/>
    </row>
    <row r="302" spans="1:51" ht="13.5" customHeight="1">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c r="AA302" s="289"/>
      <c r="AB302" s="289"/>
      <c r="AC302" s="289"/>
      <c r="AD302" s="289"/>
      <c r="AE302" s="289"/>
      <c r="AF302" s="289"/>
      <c r="AG302" s="289"/>
      <c r="AH302" s="289"/>
      <c r="AI302" s="289"/>
      <c r="AJ302" s="289"/>
      <c r="AK302" s="289"/>
      <c r="AL302" s="289"/>
      <c r="AM302" s="289"/>
      <c r="AN302" s="289"/>
      <c r="AO302" s="289"/>
      <c r="AP302" s="289"/>
      <c r="AQ302" s="289"/>
      <c r="AR302" s="289"/>
      <c r="AS302" s="289"/>
      <c r="AT302" s="289"/>
      <c r="AU302" s="289"/>
      <c r="AV302" s="289"/>
      <c r="AW302" s="289"/>
      <c r="AX302" s="289"/>
      <c r="AY302" s="289"/>
    </row>
    <row r="303" spans="1:51" ht="13.5" customHeight="1">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c r="AA303" s="289"/>
      <c r="AB303" s="289"/>
      <c r="AC303" s="289"/>
      <c r="AD303" s="289"/>
      <c r="AE303" s="289"/>
      <c r="AF303" s="289"/>
      <c r="AG303" s="289"/>
      <c r="AH303" s="289"/>
      <c r="AI303" s="289"/>
      <c r="AJ303" s="289"/>
      <c r="AK303" s="289"/>
      <c r="AL303" s="289"/>
      <c r="AM303" s="289"/>
      <c r="AN303" s="289"/>
      <c r="AO303" s="289"/>
      <c r="AP303" s="289"/>
      <c r="AQ303" s="289"/>
      <c r="AR303" s="289"/>
      <c r="AS303" s="289"/>
      <c r="AT303" s="289"/>
      <c r="AU303" s="289"/>
      <c r="AV303" s="289"/>
      <c r="AW303" s="289"/>
      <c r="AX303" s="289"/>
      <c r="AY303" s="289"/>
    </row>
    <row r="304" spans="1:51" ht="13.5" customHeight="1">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c r="AA304" s="289"/>
      <c r="AB304" s="289"/>
      <c r="AC304" s="289"/>
      <c r="AD304" s="289"/>
      <c r="AE304" s="289"/>
      <c r="AF304" s="289"/>
      <c r="AG304" s="289"/>
      <c r="AH304" s="289"/>
      <c r="AI304" s="289"/>
      <c r="AJ304" s="289"/>
      <c r="AK304" s="289"/>
      <c r="AL304" s="289"/>
      <c r="AM304" s="289"/>
      <c r="AN304" s="289"/>
      <c r="AO304" s="289"/>
      <c r="AP304" s="289"/>
      <c r="AQ304" s="289"/>
      <c r="AR304" s="289"/>
      <c r="AS304" s="289"/>
      <c r="AT304" s="289"/>
      <c r="AU304" s="289"/>
      <c r="AV304" s="289"/>
      <c r="AW304" s="289"/>
      <c r="AX304" s="289"/>
      <c r="AY304" s="289"/>
    </row>
    <row r="305" spans="1:51" ht="13.5" customHeight="1">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c r="AA305" s="289"/>
      <c r="AB305" s="289"/>
      <c r="AC305" s="289"/>
      <c r="AD305" s="289"/>
      <c r="AE305" s="289"/>
      <c r="AF305" s="289"/>
      <c r="AG305" s="289"/>
      <c r="AH305" s="289"/>
      <c r="AI305" s="289"/>
      <c r="AJ305" s="289"/>
      <c r="AK305" s="289"/>
      <c r="AL305" s="289"/>
      <c r="AM305" s="289"/>
      <c r="AN305" s="289"/>
      <c r="AO305" s="289"/>
      <c r="AP305" s="289"/>
      <c r="AQ305" s="289"/>
      <c r="AR305" s="289"/>
      <c r="AS305" s="289"/>
      <c r="AT305" s="289"/>
      <c r="AU305" s="289"/>
      <c r="AV305" s="289"/>
      <c r="AW305" s="289"/>
      <c r="AX305" s="289"/>
      <c r="AY305" s="289"/>
    </row>
    <row r="306" spans="1:51" ht="13.5" customHeight="1">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c r="AA306" s="289"/>
      <c r="AB306" s="289"/>
      <c r="AC306" s="289"/>
      <c r="AD306" s="289"/>
      <c r="AE306" s="289"/>
      <c r="AF306" s="289"/>
      <c r="AG306" s="289"/>
      <c r="AH306" s="289"/>
      <c r="AI306" s="289"/>
      <c r="AJ306" s="289"/>
      <c r="AK306" s="289"/>
      <c r="AL306" s="289"/>
      <c r="AM306" s="289"/>
      <c r="AN306" s="289"/>
      <c r="AO306" s="289"/>
      <c r="AP306" s="289"/>
      <c r="AQ306" s="289"/>
      <c r="AR306" s="289"/>
      <c r="AS306" s="289"/>
      <c r="AT306" s="289"/>
      <c r="AU306" s="289"/>
      <c r="AV306" s="289"/>
      <c r="AW306" s="289"/>
      <c r="AX306" s="289"/>
      <c r="AY306" s="289"/>
    </row>
    <row r="307" spans="1:51" ht="13.5" customHeight="1">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c r="AA307" s="289"/>
      <c r="AB307" s="289"/>
      <c r="AC307" s="289"/>
      <c r="AD307" s="289"/>
      <c r="AE307" s="289"/>
      <c r="AF307" s="289"/>
      <c r="AG307" s="289"/>
      <c r="AH307" s="289"/>
      <c r="AI307" s="289"/>
      <c r="AJ307" s="289"/>
      <c r="AK307" s="289"/>
      <c r="AL307" s="289"/>
      <c r="AM307" s="289"/>
      <c r="AN307" s="289"/>
      <c r="AO307" s="289"/>
      <c r="AP307" s="289"/>
      <c r="AQ307" s="289"/>
      <c r="AR307" s="289"/>
      <c r="AS307" s="289"/>
      <c r="AT307" s="289"/>
      <c r="AU307" s="289"/>
      <c r="AV307" s="289"/>
      <c r="AW307" s="289"/>
      <c r="AX307" s="289"/>
      <c r="AY307" s="289"/>
    </row>
    <row r="308" spans="1:51" ht="13.5" customHeight="1">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c r="AA308" s="289"/>
      <c r="AB308" s="289"/>
      <c r="AC308" s="289"/>
      <c r="AD308" s="289"/>
      <c r="AE308" s="289"/>
      <c r="AF308" s="289"/>
      <c r="AG308" s="289"/>
      <c r="AH308" s="289"/>
      <c r="AI308" s="289"/>
      <c r="AJ308" s="289"/>
      <c r="AK308" s="289"/>
      <c r="AL308" s="289"/>
      <c r="AM308" s="289"/>
      <c r="AN308" s="289"/>
      <c r="AO308" s="289"/>
      <c r="AP308" s="289"/>
      <c r="AQ308" s="289"/>
      <c r="AR308" s="289"/>
      <c r="AS308" s="289"/>
      <c r="AT308" s="289"/>
      <c r="AU308" s="289"/>
      <c r="AV308" s="289"/>
      <c r="AW308" s="289"/>
      <c r="AX308" s="289"/>
      <c r="AY308" s="289"/>
    </row>
    <row r="309" spans="1:51" ht="13.5" customHeight="1">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c r="AA309" s="289"/>
      <c r="AB309" s="289"/>
      <c r="AC309" s="289"/>
      <c r="AD309" s="289"/>
      <c r="AE309" s="289"/>
      <c r="AF309" s="289"/>
      <c r="AG309" s="289"/>
      <c r="AH309" s="289"/>
      <c r="AI309" s="289"/>
      <c r="AJ309" s="289"/>
      <c r="AK309" s="289"/>
      <c r="AL309" s="289"/>
      <c r="AM309" s="289"/>
      <c r="AN309" s="289"/>
      <c r="AO309" s="289"/>
      <c r="AP309" s="289"/>
      <c r="AQ309" s="289"/>
      <c r="AR309" s="289"/>
      <c r="AS309" s="289"/>
      <c r="AT309" s="289"/>
      <c r="AU309" s="289"/>
      <c r="AV309" s="289"/>
      <c r="AW309" s="289"/>
      <c r="AX309" s="289"/>
      <c r="AY309" s="289"/>
    </row>
    <row r="310" spans="1:51" ht="13.5" customHeight="1">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c r="AA310" s="289"/>
      <c r="AB310" s="289"/>
      <c r="AC310" s="289"/>
      <c r="AD310" s="289"/>
      <c r="AE310" s="289"/>
      <c r="AF310" s="289"/>
      <c r="AG310" s="289"/>
      <c r="AH310" s="289"/>
      <c r="AI310" s="289"/>
      <c r="AJ310" s="289"/>
      <c r="AK310" s="289"/>
      <c r="AL310" s="289"/>
      <c r="AM310" s="289"/>
      <c r="AN310" s="289"/>
      <c r="AO310" s="289"/>
      <c r="AP310" s="289"/>
      <c r="AQ310" s="289"/>
      <c r="AR310" s="289"/>
      <c r="AS310" s="289"/>
      <c r="AT310" s="289"/>
      <c r="AU310" s="289"/>
      <c r="AV310" s="289"/>
      <c r="AW310" s="289"/>
      <c r="AX310" s="289"/>
      <c r="AY310" s="289"/>
    </row>
    <row r="311" spans="1:51" ht="13.5" customHeight="1">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c r="AA311" s="289"/>
      <c r="AB311" s="289"/>
      <c r="AC311" s="289"/>
      <c r="AD311" s="289"/>
      <c r="AE311" s="289"/>
      <c r="AF311" s="289"/>
      <c r="AG311" s="289"/>
      <c r="AH311" s="289"/>
      <c r="AI311" s="289"/>
      <c r="AJ311" s="289"/>
      <c r="AK311" s="289"/>
      <c r="AL311" s="289"/>
      <c r="AM311" s="289"/>
      <c r="AN311" s="289"/>
      <c r="AO311" s="289"/>
      <c r="AP311" s="289"/>
      <c r="AQ311" s="289"/>
      <c r="AR311" s="289"/>
      <c r="AS311" s="289"/>
      <c r="AT311" s="289"/>
      <c r="AU311" s="289"/>
      <c r="AV311" s="289"/>
      <c r="AW311" s="289"/>
      <c r="AX311" s="289"/>
      <c r="AY311" s="289"/>
    </row>
    <row r="312" spans="1:51" ht="13.5" customHeight="1">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c r="AA312" s="289"/>
      <c r="AB312" s="289"/>
      <c r="AC312" s="289"/>
      <c r="AD312" s="289"/>
      <c r="AE312" s="289"/>
      <c r="AF312" s="289"/>
      <c r="AG312" s="289"/>
      <c r="AH312" s="289"/>
      <c r="AI312" s="289"/>
      <c r="AJ312" s="289"/>
      <c r="AK312" s="289"/>
      <c r="AL312" s="289"/>
      <c r="AM312" s="289"/>
      <c r="AN312" s="289"/>
      <c r="AO312" s="289"/>
      <c r="AP312" s="289"/>
      <c r="AQ312" s="289"/>
      <c r="AR312" s="289"/>
      <c r="AS312" s="289"/>
      <c r="AT312" s="289"/>
      <c r="AU312" s="289"/>
      <c r="AV312" s="289"/>
      <c r="AW312" s="289"/>
      <c r="AX312" s="289"/>
      <c r="AY312" s="289"/>
    </row>
    <row r="313" spans="1:51" ht="13.5" customHeight="1">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c r="AA313" s="289"/>
      <c r="AB313" s="289"/>
      <c r="AC313" s="289"/>
      <c r="AD313" s="289"/>
      <c r="AE313" s="289"/>
      <c r="AF313" s="289"/>
      <c r="AG313" s="289"/>
      <c r="AH313" s="289"/>
      <c r="AI313" s="289"/>
      <c r="AJ313" s="289"/>
      <c r="AK313" s="289"/>
      <c r="AL313" s="289"/>
      <c r="AM313" s="289"/>
      <c r="AN313" s="289"/>
      <c r="AO313" s="289"/>
      <c r="AP313" s="289"/>
      <c r="AQ313" s="289"/>
      <c r="AR313" s="289"/>
      <c r="AS313" s="289"/>
      <c r="AT313" s="289"/>
      <c r="AU313" s="289"/>
      <c r="AV313" s="289"/>
      <c r="AW313" s="289"/>
      <c r="AX313" s="289"/>
      <c r="AY313" s="289"/>
    </row>
    <row r="314" spans="1:51" ht="13.5" customHeight="1">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c r="AA314" s="289"/>
      <c r="AB314" s="289"/>
      <c r="AC314" s="289"/>
      <c r="AD314" s="289"/>
      <c r="AE314" s="289"/>
      <c r="AF314" s="289"/>
      <c r="AG314" s="289"/>
      <c r="AH314" s="289"/>
      <c r="AI314" s="289"/>
      <c r="AJ314" s="289"/>
      <c r="AK314" s="289"/>
      <c r="AL314" s="289"/>
      <c r="AM314" s="289"/>
      <c r="AN314" s="289"/>
      <c r="AO314" s="289"/>
      <c r="AP314" s="289"/>
      <c r="AQ314" s="289"/>
      <c r="AR314" s="289"/>
      <c r="AS314" s="289"/>
      <c r="AT314" s="289"/>
      <c r="AU314" s="289"/>
      <c r="AV314" s="289"/>
      <c r="AW314" s="289"/>
      <c r="AX314" s="289"/>
      <c r="AY314" s="289"/>
    </row>
    <row r="315" spans="1:51" ht="13.5" customHeight="1">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c r="AA315" s="289"/>
      <c r="AB315" s="289"/>
      <c r="AC315" s="289"/>
      <c r="AD315" s="289"/>
      <c r="AE315" s="289"/>
      <c r="AF315" s="289"/>
      <c r="AG315" s="289"/>
      <c r="AH315" s="289"/>
      <c r="AI315" s="289"/>
      <c r="AJ315" s="289"/>
      <c r="AK315" s="289"/>
      <c r="AL315" s="289"/>
      <c r="AM315" s="289"/>
      <c r="AN315" s="289"/>
      <c r="AO315" s="289"/>
      <c r="AP315" s="289"/>
      <c r="AQ315" s="289"/>
      <c r="AR315" s="289"/>
      <c r="AS315" s="289"/>
      <c r="AT315" s="289"/>
      <c r="AU315" s="289"/>
      <c r="AV315" s="289"/>
      <c r="AW315" s="289"/>
      <c r="AX315" s="289"/>
      <c r="AY315" s="289"/>
    </row>
    <row r="316" spans="1:51" ht="13.5" customHeight="1">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c r="AA316" s="289"/>
      <c r="AB316" s="289"/>
      <c r="AC316" s="289"/>
      <c r="AD316" s="289"/>
      <c r="AE316" s="289"/>
      <c r="AF316" s="289"/>
      <c r="AG316" s="289"/>
      <c r="AH316" s="289"/>
      <c r="AI316" s="289"/>
      <c r="AJ316" s="289"/>
      <c r="AK316" s="289"/>
      <c r="AL316" s="289"/>
      <c r="AM316" s="289"/>
      <c r="AN316" s="289"/>
      <c r="AO316" s="289"/>
      <c r="AP316" s="289"/>
      <c r="AQ316" s="289"/>
      <c r="AR316" s="289"/>
      <c r="AS316" s="289"/>
      <c r="AT316" s="289"/>
      <c r="AU316" s="289"/>
      <c r="AV316" s="289"/>
      <c r="AW316" s="289"/>
      <c r="AX316" s="289"/>
      <c r="AY316" s="289"/>
    </row>
    <row r="317" spans="1:51" ht="13.5" customHeight="1">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c r="AA317" s="289"/>
      <c r="AB317" s="289"/>
      <c r="AC317" s="289"/>
      <c r="AD317" s="289"/>
      <c r="AE317" s="289"/>
      <c r="AF317" s="289"/>
      <c r="AG317" s="289"/>
      <c r="AH317" s="289"/>
      <c r="AI317" s="289"/>
      <c r="AJ317" s="289"/>
      <c r="AK317" s="289"/>
      <c r="AL317" s="289"/>
      <c r="AM317" s="289"/>
      <c r="AN317" s="289"/>
      <c r="AO317" s="289"/>
      <c r="AP317" s="289"/>
      <c r="AQ317" s="289"/>
      <c r="AR317" s="289"/>
      <c r="AS317" s="289"/>
      <c r="AT317" s="289"/>
      <c r="AU317" s="289"/>
      <c r="AV317" s="289"/>
      <c r="AW317" s="289"/>
      <c r="AX317" s="289"/>
      <c r="AY317" s="289"/>
    </row>
    <row r="318" spans="1:51" ht="13.5" customHeight="1">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c r="AA318" s="289"/>
      <c r="AB318" s="289"/>
      <c r="AC318" s="289"/>
      <c r="AD318" s="289"/>
      <c r="AE318" s="289"/>
      <c r="AF318" s="289"/>
      <c r="AG318" s="289"/>
      <c r="AH318" s="289"/>
      <c r="AI318" s="289"/>
      <c r="AJ318" s="289"/>
      <c r="AK318" s="289"/>
      <c r="AL318" s="289"/>
      <c r="AM318" s="289"/>
      <c r="AN318" s="289"/>
      <c r="AO318" s="289"/>
      <c r="AP318" s="289"/>
      <c r="AQ318" s="289"/>
      <c r="AR318" s="289"/>
      <c r="AS318" s="289"/>
      <c r="AT318" s="289"/>
      <c r="AU318" s="289"/>
      <c r="AV318" s="289"/>
      <c r="AW318" s="289"/>
      <c r="AX318" s="289"/>
      <c r="AY318" s="289"/>
    </row>
    <row r="319" spans="1:51" ht="13.5" customHeight="1">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c r="AA319" s="289"/>
      <c r="AB319" s="289"/>
      <c r="AC319" s="289"/>
      <c r="AD319" s="289"/>
      <c r="AE319" s="289"/>
      <c r="AF319" s="289"/>
      <c r="AG319" s="289"/>
      <c r="AH319" s="289"/>
      <c r="AI319" s="289"/>
      <c r="AJ319" s="289"/>
      <c r="AK319" s="289"/>
      <c r="AL319" s="289"/>
      <c r="AM319" s="289"/>
      <c r="AN319" s="289"/>
      <c r="AO319" s="289"/>
      <c r="AP319" s="289"/>
      <c r="AQ319" s="289"/>
      <c r="AR319" s="289"/>
      <c r="AS319" s="289"/>
      <c r="AT319" s="289"/>
      <c r="AU319" s="289"/>
      <c r="AV319" s="289"/>
      <c r="AW319" s="289"/>
      <c r="AX319" s="289"/>
      <c r="AY319" s="289"/>
    </row>
    <row r="320" spans="1:51" ht="13.5" customHeight="1">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c r="AA320" s="289"/>
      <c r="AB320" s="289"/>
      <c r="AC320" s="289"/>
      <c r="AD320" s="289"/>
      <c r="AE320" s="289"/>
      <c r="AF320" s="289"/>
      <c r="AG320" s="289"/>
      <c r="AH320" s="289"/>
      <c r="AI320" s="289"/>
      <c r="AJ320" s="289"/>
      <c r="AK320" s="289"/>
      <c r="AL320" s="289"/>
      <c r="AM320" s="289"/>
      <c r="AN320" s="289"/>
      <c r="AO320" s="289"/>
      <c r="AP320" s="289"/>
      <c r="AQ320" s="289"/>
      <c r="AR320" s="289"/>
      <c r="AS320" s="289"/>
      <c r="AT320" s="289"/>
      <c r="AU320" s="289"/>
      <c r="AV320" s="289"/>
      <c r="AW320" s="289"/>
      <c r="AX320" s="289"/>
      <c r="AY320" s="289"/>
    </row>
    <row r="321" spans="1:51" ht="13.5" customHeight="1">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c r="AA321" s="289"/>
      <c r="AB321" s="289"/>
      <c r="AC321" s="289"/>
      <c r="AD321" s="289"/>
      <c r="AE321" s="289"/>
      <c r="AF321" s="289"/>
      <c r="AG321" s="289"/>
      <c r="AH321" s="289"/>
      <c r="AI321" s="289"/>
      <c r="AJ321" s="289"/>
      <c r="AK321" s="289"/>
      <c r="AL321" s="289"/>
      <c r="AM321" s="289"/>
      <c r="AN321" s="289"/>
      <c r="AO321" s="289"/>
      <c r="AP321" s="289"/>
      <c r="AQ321" s="289"/>
      <c r="AR321" s="289"/>
      <c r="AS321" s="289"/>
      <c r="AT321" s="289"/>
      <c r="AU321" s="289"/>
      <c r="AV321" s="289"/>
      <c r="AW321" s="289"/>
      <c r="AX321" s="289"/>
      <c r="AY321" s="289"/>
    </row>
    <row r="322" spans="1:51" ht="13.5" customHeight="1">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c r="AB322" s="289"/>
      <c r="AC322" s="289"/>
      <c r="AD322" s="289"/>
      <c r="AE322" s="289"/>
      <c r="AF322" s="289"/>
      <c r="AG322" s="289"/>
      <c r="AH322" s="289"/>
      <c r="AI322" s="289"/>
      <c r="AJ322" s="289"/>
      <c r="AK322" s="289"/>
      <c r="AL322" s="289"/>
      <c r="AM322" s="289"/>
      <c r="AN322" s="289"/>
      <c r="AO322" s="289"/>
      <c r="AP322" s="289"/>
      <c r="AQ322" s="289"/>
      <c r="AR322" s="289"/>
      <c r="AS322" s="289"/>
      <c r="AT322" s="289"/>
      <c r="AU322" s="289"/>
      <c r="AV322" s="289"/>
      <c r="AW322" s="289"/>
      <c r="AX322" s="289"/>
      <c r="AY322" s="289"/>
    </row>
    <row r="323" spans="1:51" ht="13.5" customHeight="1">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c r="AA323" s="289"/>
      <c r="AB323" s="289"/>
      <c r="AC323" s="289"/>
      <c r="AD323" s="289"/>
      <c r="AE323" s="289"/>
      <c r="AF323" s="289"/>
      <c r="AG323" s="289"/>
      <c r="AH323" s="289"/>
      <c r="AI323" s="289"/>
      <c r="AJ323" s="289"/>
      <c r="AK323" s="289"/>
      <c r="AL323" s="289"/>
      <c r="AM323" s="289"/>
      <c r="AN323" s="289"/>
      <c r="AO323" s="289"/>
      <c r="AP323" s="289"/>
      <c r="AQ323" s="289"/>
      <c r="AR323" s="289"/>
      <c r="AS323" s="289"/>
      <c r="AT323" s="289"/>
      <c r="AU323" s="289"/>
      <c r="AV323" s="289"/>
      <c r="AW323" s="289"/>
      <c r="AX323" s="289"/>
      <c r="AY323" s="289"/>
    </row>
    <row r="324" spans="1:51" ht="13.5" customHeight="1">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c r="AA324" s="289"/>
      <c r="AB324" s="289"/>
      <c r="AC324" s="289"/>
      <c r="AD324" s="289"/>
      <c r="AE324" s="289"/>
      <c r="AF324" s="289"/>
      <c r="AG324" s="289"/>
      <c r="AH324" s="289"/>
      <c r="AI324" s="289"/>
      <c r="AJ324" s="289"/>
      <c r="AK324" s="289"/>
      <c r="AL324" s="289"/>
      <c r="AM324" s="289"/>
      <c r="AN324" s="289"/>
      <c r="AO324" s="289"/>
      <c r="AP324" s="289"/>
      <c r="AQ324" s="289"/>
      <c r="AR324" s="289"/>
      <c r="AS324" s="289"/>
      <c r="AT324" s="289"/>
      <c r="AU324" s="289"/>
      <c r="AV324" s="289"/>
      <c r="AW324" s="289"/>
      <c r="AX324" s="289"/>
      <c r="AY324" s="289"/>
    </row>
    <row r="325" spans="1:51" ht="13.5" customHeight="1">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c r="AA325" s="289"/>
      <c r="AB325" s="289"/>
      <c r="AC325" s="289"/>
      <c r="AD325" s="289"/>
      <c r="AE325" s="289"/>
      <c r="AF325" s="289"/>
      <c r="AG325" s="289"/>
      <c r="AH325" s="289"/>
      <c r="AI325" s="289"/>
      <c r="AJ325" s="289"/>
      <c r="AK325" s="289"/>
      <c r="AL325" s="289"/>
      <c r="AM325" s="289"/>
      <c r="AN325" s="289"/>
      <c r="AO325" s="289"/>
      <c r="AP325" s="289"/>
      <c r="AQ325" s="289"/>
      <c r="AR325" s="289"/>
      <c r="AS325" s="289"/>
      <c r="AT325" s="289"/>
      <c r="AU325" s="289"/>
      <c r="AV325" s="289"/>
      <c r="AW325" s="289"/>
      <c r="AX325" s="289"/>
      <c r="AY325" s="289"/>
    </row>
    <row r="326" spans="1:51" ht="13.5" customHeight="1">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c r="AA326" s="289"/>
      <c r="AB326" s="289"/>
      <c r="AC326" s="289"/>
      <c r="AD326" s="289"/>
      <c r="AE326" s="289"/>
      <c r="AF326" s="289"/>
      <c r="AG326" s="289"/>
      <c r="AH326" s="289"/>
      <c r="AI326" s="289"/>
      <c r="AJ326" s="289"/>
      <c r="AK326" s="289"/>
      <c r="AL326" s="289"/>
      <c r="AM326" s="289"/>
      <c r="AN326" s="289"/>
      <c r="AO326" s="289"/>
      <c r="AP326" s="289"/>
      <c r="AQ326" s="289"/>
      <c r="AR326" s="289"/>
      <c r="AS326" s="289"/>
      <c r="AT326" s="289"/>
      <c r="AU326" s="289"/>
      <c r="AV326" s="289"/>
      <c r="AW326" s="289"/>
      <c r="AX326" s="289"/>
      <c r="AY326" s="289"/>
    </row>
    <row r="327" spans="1:51" ht="13.5" customHeight="1">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c r="AA327" s="289"/>
      <c r="AB327" s="289"/>
      <c r="AC327" s="289"/>
      <c r="AD327" s="289"/>
      <c r="AE327" s="289"/>
      <c r="AF327" s="289"/>
      <c r="AG327" s="289"/>
      <c r="AH327" s="289"/>
      <c r="AI327" s="289"/>
      <c r="AJ327" s="289"/>
      <c r="AK327" s="289"/>
      <c r="AL327" s="289"/>
      <c r="AM327" s="289"/>
      <c r="AN327" s="289"/>
      <c r="AO327" s="289"/>
      <c r="AP327" s="289"/>
      <c r="AQ327" s="289"/>
      <c r="AR327" s="289"/>
      <c r="AS327" s="289"/>
      <c r="AT327" s="289"/>
      <c r="AU327" s="289"/>
      <c r="AV327" s="289"/>
      <c r="AW327" s="289"/>
      <c r="AX327" s="289"/>
      <c r="AY327" s="289"/>
    </row>
    <row r="328" spans="1:51" ht="13.5" customHeight="1">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c r="AA328" s="289"/>
      <c r="AB328" s="289"/>
      <c r="AC328" s="289"/>
      <c r="AD328" s="289"/>
      <c r="AE328" s="289"/>
      <c r="AF328" s="289"/>
      <c r="AG328" s="289"/>
      <c r="AH328" s="289"/>
      <c r="AI328" s="289"/>
      <c r="AJ328" s="289"/>
      <c r="AK328" s="289"/>
      <c r="AL328" s="289"/>
      <c r="AM328" s="289"/>
      <c r="AN328" s="289"/>
      <c r="AO328" s="289"/>
      <c r="AP328" s="289"/>
      <c r="AQ328" s="289"/>
      <c r="AR328" s="289"/>
      <c r="AS328" s="289"/>
      <c r="AT328" s="289"/>
      <c r="AU328" s="289"/>
      <c r="AV328" s="289"/>
      <c r="AW328" s="289"/>
      <c r="AX328" s="289"/>
      <c r="AY328" s="289"/>
    </row>
    <row r="329" spans="1:51" ht="13.5" customHeight="1">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c r="AA329" s="289"/>
      <c r="AB329" s="289"/>
      <c r="AC329" s="289"/>
      <c r="AD329" s="289"/>
      <c r="AE329" s="289"/>
      <c r="AF329" s="289"/>
      <c r="AG329" s="289"/>
      <c r="AH329" s="289"/>
      <c r="AI329" s="289"/>
      <c r="AJ329" s="289"/>
      <c r="AK329" s="289"/>
      <c r="AL329" s="289"/>
      <c r="AM329" s="289"/>
      <c r="AN329" s="289"/>
      <c r="AO329" s="289"/>
      <c r="AP329" s="289"/>
      <c r="AQ329" s="289"/>
      <c r="AR329" s="289"/>
      <c r="AS329" s="289"/>
      <c r="AT329" s="289"/>
      <c r="AU329" s="289"/>
      <c r="AV329" s="289"/>
      <c r="AW329" s="289"/>
      <c r="AX329" s="289"/>
      <c r="AY329" s="289"/>
    </row>
    <row r="330" spans="1:51" ht="13.5" customHeight="1">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c r="AA330" s="289"/>
      <c r="AB330" s="289"/>
      <c r="AC330" s="289"/>
      <c r="AD330" s="289"/>
      <c r="AE330" s="289"/>
      <c r="AF330" s="289"/>
      <c r="AG330" s="289"/>
      <c r="AH330" s="289"/>
      <c r="AI330" s="289"/>
      <c r="AJ330" s="289"/>
      <c r="AK330" s="289"/>
      <c r="AL330" s="289"/>
      <c r="AM330" s="289"/>
      <c r="AN330" s="289"/>
      <c r="AO330" s="289"/>
      <c r="AP330" s="289"/>
      <c r="AQ330" s="289"/>
      <c r="AR330" s="289"/>
      <c r="AS330" s="289"/>
      <c r="AT330" s="289"/>
      <c r="AU330" s="289"/>
      <c r="AV330" s="289"/>
      <c r="AW330" s="289"/>
      <c r="AX330" s="289"/>
      <c r="AY330" s="289"/>
    </row>
    <row r="331" spans="1:51" ht="13.5" customHeight="1">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c r="AA331" s="289"/>
      <c r="AB331" s="289"/>
      <c r="AC331" s="289"/>
      <c r="AD331" s="289"/>
      <c r="AE331" s="289"/>
      <c r="AF331" s="289"/>
      <c r="AG331" s="289"/>
      <c r="AH331" s="289"/>
      <c r="AI331" s="289"/>
      <c r="AJ331" s="289"/>
      <c r="AK331" s="289"/>
      <c r="AL331" s="289"/>
      <c r="AM331" s="289"/>
      <c r="AN331" s="289"/>
      <c r="AO331" s="289"/>
      <c r="AP331" s="289"/>
      <c r="AQ331" s="289"/>
      <c r="AR331" s="289"/>
      <c r="AS331" s="289"/>
      <c r="AT331" s="289"/>
      <c r="AU331" s="289"/>
      <c r="AV331" s="289"/>
      <c r="AW331" s="289"/>
      <c r="AX331" s="289"/>
      <c r="AY331" s="289"/>
    </row>
    <row r="332" spans="1:51" ht="13.5" customHeight="1">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c r="AA332" s="289"/>
      <c r="AB332" s="289"/>
      <c r="AC332" s="289"/>
      <c r="AD332" s="289"/>
      <c r="AE332" s="289"/>
      <c r="AF332" s="289"/>
      <c r="AG332" s="289"/>
      <c r="AH332" s="289"/>
      <c r="AI332" s="289"/>
      <c r="AJ332" s="289"/>
      <c r="AK332" s="289"/>
      <c r="AL332" s="289"/>
      <c r="AM332" s="289"/>
      <c r="AN332" s="289"/>
      <c r="AO332" s="289"/>
      <c r="AP332" s="289"/>
      <c r="AQ332" s="289"/>
      <c r="AR332" s="289"/>
      <c r="AS332" s="289"/>
      <c r="AT332" s="289"/>
      <c r="AU332" s="289"/>
      <c r="AV332" s="289"/>
      <c r="AW332" s="289"/>
      <c r="AX332" s="289"/>
      <c r="AY332" s="289"/>
    </row>
    <row r="333" spans="1:51" ht="13.5" customHeight="1">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c r="AA333" s="289"/>
      <c r="AB333" s="289"/>
      <c r="AC333" s="289"/>
      <c r="AD333" s="289"/>
      <c r="AE333" s="289"/>
      <c r="AF333" s="289"/>
      <c r="AG333" s="289"/>
      <c r="AH333" s="289"/>
      <c r="AI333" s="289"/>
      <c r="AJ333" s="289"/>
      <c r="AK333" s="289"/>
      <c r="AL333" s="289"/>
      <c r="AM333" s="289"/>
      <c r="AN333" s="289"/>
      <c r="AO333" s="289"/>
      <c r="AP333" s="289"/>
      <c r="AQ333" s="289"/>
      <c r="AR333" s="289"/>
      <c r="AS333" s="289"/>
      <c r="AT333" s="289"/>
      <c r="AU333" s="289"/>
      <c r="AV333" s="289"/>
      <c r="AW333" s="289"/>
      <c r="AX333" s="289"/>
      <c r="AY333" s="289"/>
    </row>
    <row r="334" spans="1:51" ht="13.5" customHeight="1">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c r="AA334" s="289"/>
      <c r="AB334" s="289"/>
      <c r="AC334" s="289"/>
      <c r="AD334" s="289"/>
      <c r="AE334" s="289"/>
      <c r="AF334" s="289"/>
      <c r="AG334" s="289"/>
      <c r="AH334" s="289"/>
      <c r="AI334" s="289"/>
      <c r="AJ334" s="289"/>
      <c r="AK334" s="289"/>
      <c r="AL334" s="289"/>
      <c r="AM334" s="289"/>
      <c r="AN334" s="289"/>
      <c r="AO334" s="289"/>
      <c r="AP334" s="289"/>
      <c r="AQ334" s="289"/>
      <c r="AR334" s="289"/>
      <c r="AS334" s="289"/>
      <c r="AT334" s="289"/>
      <c r="AU334" s="289"/>
      <c r="AV334" s="289"/>
      <c r="AW334" s="289"/>
      <c r="AX334" s="289"/>
      <c r="AY334" s="289"/>
    </row>
    <row r="335" spans="1:51" ht="13.5" customHeight="1">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c r="AA335" s="289"/>
      <c r="AB335" s="289"/>
      <c r="AC335" s="289"/>
      <c r="AD335" s="289"/>
      <c r="AE335" s="289"/>
      <c r="AF335" s="289"/>
      <c r="AG335" s="289"/>
      <c r="AH335" s="289"/>
      <c r="AI335" s="289"/>
      <c r="AJ335" s="289"/>
      <c r="AK335" s="289"/>
      <c r="AL335" s="289"/>
      <c r="AM335" s="289"/>
      <c r="AN335" s="289"/>
      <c r="AO335" s="289"/>
      <c r="AP335" s="289"/>
      <c r="AQ335" s="289"/>
      <c r="AR335" s="289"/>
      <c r="AS335" s="289"/>
      <c r="AT335" s="289"/>
      <c r="AU335" s="289"/>
      <c r="AV335" s="289"/>
      <c r="AW335" s="289"/>
      <c r="AX335" s="289"/>
      <c r="AY335" s="289"/>
    </row>
    <row r="336" spans="1:51" ht="13.5" customHeight="1">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c r="AA336" s="289"/>
      <c r="AB336" s="289"/>
      <c r="AC336" s="289"/>
      <c r="AD336" s="289"/>
      <c r="AE336" s="289"/>
      <c r="AF336" s="289"/>
      <c r="AG336" s="289"/>
      <c r="AH336" s="289"/>
      <c r="AI336" s="289"/>
      <c r="AJ336" s="289"/>
      <c r="AK336" s="289"/>
      <c r="AL336" s="289"/>
      <c r="AM336" s="289"/>
      <c r="AN336" s="289"/>
      <c r="AO336" s="289"/>
      <c r="AP336" s="289"/>
      <c r="AQ336" s="289"/>
      <c r="AR336" s="289"/>
      <c r="AS336" s="289"/>
      <c r="AT336" s="289"/>
      <c r="AU336" s="289"/>
      <c r="AV336" s="289"/>
      <c r="AW336" s="289"/>
      <c r="AX336" s="289"/>
      <c r="AY336" s="289"/>
    </row>
    <row r="337" spans="1:51" ht="13.5" customHeight="1">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c r="AA337" s="289"/>
      <c r="AB337" s="289"/>
      <c r="AC337" s="289"/>
      <c r="AD337" s="289"/>
      <c r="AE337" s="289"/>
      <c r="AF337" s="289"/>
      <c r="AG337" s="289"/>
      <c r="AH337" s="289"/>
      <c r="AI337" s="289"/>
      <c r="AJ337" s="289"/>
      <c r="AK337" s="289"/>
      <c r="AL337" s="289"/>
      <c r="AM337" s="289"/>
      <c r="AN337" s="289"/>
      <c r="AO337" s="289"/>
      <c r="AP337" s="289"/>
      <c r="AQ337" s="289"/>
      <c r="AR337" s="289"/>
      <c r="AS337" s="289"/>
      <c r="AT337" s="289"/>
      <c r="AU337" s="289"/>
      <c r="AV337" s="289"/>
      <c r="AW337" s="289"/>
      <c r="AX337" s="289"/>
      <c r="AY337" s="289"/>
    </row>
    <row r="338" spans="1:51" ht="13.5" customHeight="1">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c r="AA338" s="289"/>
      <c r="AB338" s="289"/>
      <c r="AC338" s="289"/>
      <c r="AD338" s="289"/>
      <c r="AE338" s="289"/>
      <c r="AF338" s="289"/>
      <c r="AG338" s="289"/>
      <c r="AH338" s="289"/>
      <c r="AI338" s="289"/>
      <c r="AJ338" s="289"/>
      <c r="AK338" s="289"/>
      <c r="AL338" s="289"/>
      <c r="AM338" s="289"/>
      <c r="AN338" s="289"/>
      <c r="AO338" s="289"/>
      <c r="AP338" s="289"/>
      <c r="AQ338" s="289"/>
      <c r="AR338" s="289"/>
      <c r="AS338" s="289"/>
      <c r="AT338" s="289"/>
      <c r="AU338" s="289"/>
      <c r="AV338" s="289"/>
      <c r="AW338" s="289"/>
      <c r="AX338" s="289"/>
      <c r="AY338" s="289"/>
    </row>
    <row r="339" spans="1:51" ht="13.5" customHeight="1">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c r="AA339" s="289"/>
      <c r="AB339" s="289"/>
      <c r="AC339" s="289"/>
      <c r="AD339" s="289"/>
      <c r="AE339" s="289"/>
      <c r="AF339" s="289"/>
      <c r="AG339" s="289"/>
      <c r="AH339" s="289"/>
      <c r="AI339" s="289"/>
      <c r="AJ339" s="289"/>
      <c r="AK339" s="289"/>
      <c r="AL339" s="289"/>
      <c r="AM339" s="289"/>
      <c r="AN339" s="289"/>
      <c r="AO339" s="289"/>
      <c r="AP339" s="289"/>
      <c r="AQ339" s="289"/>
      <c r="AR339" s="289"/>
      <c r="AS339" s="289"/>
      <c r="AT339" s="289"/>
      <c r="AU339" s="289"/>
      <c r="AV339" s="289"/>
      <c r="AW339" s="289"/>
      <c r="AX339" s="289"/>
      <c r="AY339" s="289"/>
    </row>
    <row r="340" spans="1:51" ht="13.5" customHeight="1">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c r="AA340" s="289"/>
      <c r="AB340" s="289"/>
      <c r="AC340" s="289"/>
      <c r="AD340" s="289"/>
      <c r="AE340" s="289"/>
      <c r="AF340" s="289"/>
      <c r="AG340" s="289"/>
      <c r="AH340" s="289"/>
      <c r="AI340" s="289"/>
      <c r="AJ340" s="289"/>
      <c r="AK340" s="289"/>
      <c r="AL340" s="289"/>
      <c r="AM340" s="289"/>
      <c r="AN340" s="289"/>
      <c r="AO340" s="289"/>
      <c r="AP340" s="289"/>
      <c r="AQ340" s="289"/>
      <c r="AR340" s="289"/>
      <c r="AS340" s="289"/>
      <c r="AT340" s="289"/>
      <c r="AU340" s="289"/>
      <c r="AV340" s="289"/>
      <c r="AW340" s="289"/>
      <c r="AX340" s="289"/>
      <c r="AY340" s="289"/>
    </row>
    <row r="341" spans="1:51" ht="13.5" customHeight="1">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c r="AA341" s="289"/>
      <c r="AB341" s="289"/>
      <c r="AC341" s="289"/>
      <c r="AD341" s="289"/>
      <c r="AE341" s="289"/>
      <c r="AF341" s="289"/>
      <c r="AG341" s="289"/>
      <c r="AH341" s="289"/>
      <c r="AI341" s="289"/>
      <c r="AJ341" s="289"/>
      <c r="AK341" s="289"/>
      <c r="AL341" s="289"/>
      <c r="AM341" s="289"/>
      <c r="AN341" s="289"/>
      <c r="AO341" s="289"/>
      <c r="AP341" s="289"/>
      <c r="AQ341" s="289"/>
      <c r="AR341" s="289"/>
      <c r="AS341" s="289"/>
      <c r="AT341" s="289"/>
      <c r="AU341" s="289"/>
      <c r="AV341" s="289"/>
      <c r="AW341" s="289"/>
      <c r="AX341" s="289"/>
      <c r="AY341" s="289"/>
    </row>
    <row r="342" spans="1:51" ht="13.5" customHeight="1">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c r="AA342" s="289"/>
      <c r="AB342" s="289"/>
      <c r="AC342" s="289"/>
      <c r="AD342" s="289"/>
      <c r="AE342" s="289"/>
      <c r="AF342" s="289"/>
      <c r="AG342" s="289"/>
      <c r="AH342" s="289"/>
      <c r="AI342" s="289"/>
      <c r="AJ342" s="289"/>
      <c r="AK342" s="289"/>
      <c r="AL342" s="289"/>
      <c r="AM342" s="289"/>
      <c r="AN342" s="289"/>
      <c r="AO342" s="289"/>
      <c r="AP342" s="289"/>
      <c r="AQ342" s="289"/>
      <c r="AR342" s="289"/>
      <c r="AS342" s="289"/>
      <c r="AT342" s="289"/>
      <c r="AU342" s="289"/>
      <c r="AV342" s="289"/>
      <c r="AW342" s="289"/>
      <c r="AX342" s="289"/>
      <c r="AY342" s="289"/>
    </row>
    <row r="343" spans="1:51" ht="13.5" customHeight="1">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c r="AA343" s="289"/>
      <c r="AB343" s="289"/>
      <c r="AC343" s="289"/>
      <c r="AD343" s="289"/>
      <c r="AE343" s="289"/>
      <c r="AF343" s="289"/>
      <c r="AG343" s="289"/>
      <c r="AH343" s="289"/>
      <c r="AI343" s="289"/>
      <c r="AJ343" s="289"/>
      <c r="AK343" s="289"/>
      <c r="AL343" s="289"/>
      <c r="AM343" s="289"/>
      <c r="AN343" s="289"/>
      <c r="AO343" s="289"/>
      <c r="AP343" s="289"/>
      <c r="AQ343" s="289"/>
      <c r="AR343" s="289"/>
      <c r="AS343" s="289"/>
      <c r="AT343" s="289"/>
      <c r="AU343" s="289"/>
      <c r="AV343" s="289"/>
      <c r="AW343" s="289"/>
      <c r="AX343" s="289"/>
      <c r="AY343" s="289"/>
    </row>
    <row r="344" spans="1:51" ht="13.5" customHeight="1">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c r="AA344" s="289"/>
      <c r="AB344" s="289"/>
      <c r="AC344" s="289"/>
      <c r="AD344" s="289"/>
      <c r="AE344" s="289"/>
      <c r="AF344" s="289"/>
      <c r="AG344" s="289"/>
      <c r="AH344" s="289"/>
      <c r="AI344" s="289"/>
      <c r="AJ344" s="289"/>
      <c r="AK344" s="289"/>
      <c r="AL344" s="289"/>
      <c r="AM344" s="289"/>
      <c r="AN344" s="289"/>
      <c r="AO344" s="289"/>
      <c r="AP344" s="289"/>
      <c r="AQ344" s="289"/>
      <c r="AR344" s="289"/>
      <c r="AS344" s="289"/>
      <c r="AT344" s="289"/>
      <c r="AU344" s="289"/>
      <c r="AV344" s="289"/>
      <c r="AW344" s="289"/>
      <c r="AX344" s="289"/>
      <c r="AY344" s="289"/>
    </row>
    <row r="345" spans="1:51" ht="13.5" customHeight="1">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c r="AA345" s="289"/>
      <c r="AB345" s="289"/>
      <c r="AC345" s="289"/>
      <c r="AD345" s="289"/>
      <c r="AE345" s="289"/>
      <c r="AF345" s="289"/>
      <c r="AG345" s="289"/>
      <c r="AH345" s="289"/>
      <c r="AI345" s="289"/>
      <c r="AJ345" s="289"/>
      <c r="AK345" s="289"/>
      <c r="AL345" s="289"/>
      <c r="AM345" s="289"/>
      <c r="AN345" s="289"/>
      <c r="AO345" s="289"/>
      <c r="AP345" s="289"/>
      <c r="AQ345" s="289"/>
      <c r="AR345" s="289"/>
      <c r="AS345" s="289"/>
      <c r="AT345" s="289"/>
      <c r="AU345" s="289"/>
      <c r="AV345" s="289"/>
      <c r="AW345" s="289"/>
      <c r="AX345" s="289"/>
      <c r="AY345" s="289"/>
    </row>
    <row r="346" spans="1:51" ht="13.5" customHeight="1">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c r="AA346" s="289"/>
      <c r="AB346" s="289"/>
      <c r="AC346" s="289"/>
      <c r="AD346" s="289"/>
      <c r="AE346" s="289"/>
      <c r="AF346" s="289"/>
      <c r="AG346" s="289"/>
      <c r="AH346" s="289"/>
      <c r="AI346" s="289"/>
      <c r="AJ346" s="289"/>
      <c r="AK346" s="289"/>
      <c r="AL346" s="289"/>
      <c r="AM346" s="289"/>
      <c r="AN346" s="289"/>
      <c r="AO346" s="289"/>
      <c r="AP346" s="289"/>
      <c r="AQ346" s="289"/>
      <c r="AR346" s="289"/>
      <c r="AS346" s="289"/>
      <c r="AT346" s="289"/>
      <c r="AU346" s="289"/>
      <c r="AV346" s="289"/>
      <c r="AW346" s="289"/>
      <c r="AX346" s="289"/>
      <c r="AY346" s="289"/>
    </row>
    <row r="347" spans="1:51" ht="13.5" customHeight="1">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c r="AA347" s="289"/>
      <c r="AB347" s="289"/>
      <c r="AC347" s="289"/>
      <c r="AD347" s="289"/>
      <c r="AE347" s="289"/>
      <c r="AF347" s="289"/>
      <c r="AG347" s="289"/>
      <c r="AH347" s="289"/>
      <c r="AI347" s="289"/>
      <c r="AJ347" s="289"/>
      <c r="AK347" s="289"/>
      <c r="AL347" s="289"/>
      <c r="AM347" s="289"/>
      <c r="AN347" s="289"/>
      <c r="AO347" s="289"/>
      <c r="AP347" s="289"/>
      <c r="AQ347" s="289"/>
      <c r="AR347" s="289"/>
      <c r="AS347" s="289"/>
      <c r="AT347" s="289"/>
      <c r="AU347" s="289"/>
      <c r="AV347" s="289"/>
      <c r="AW347" s="289"/>
      <c r="AX347" s="289"/>
      <c r="AY347" s="289"/>
    </row>
    <row r="348" spans="1:51" ht="13.5" customHeight="1">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c r="AA348" s="289"/>
      <c r="AB348" s="289"/>
      <c r="AC348" s="289"/>
      <c r="AD348" s="289"/>
      <c r="AE348" s="289"/>
      <c r="AF348" s="289"/>
      <c r="AG348" s="289"/>
      <c r="AH348" s="289"/>
      <c r="AI348" s="289"/>
      <c r="AJ348" s="289"/>
      <c r="AK348" s="289"/>
      <c r="AL348" s="289"/>
      <c r="AM348" s="289"/>
      <c r="AN348" s="289"/>
      <c r="AO348" s="289"/>
      <c r="AP348" s="289"/>
      <c r="AQ348" s="289"/>
      <c r="AR348" s="289"/>
      <c r="AS348" s="289"/>
      <c r="AT348" s="289"/>
      <c r="AU348" s="289"/>
      <c r="AV348" s="289"/>
      <c r="AW348" s="289"/>
      <c r="AX348" s="289"/>
      <c r="AY348" s="289"/>
    </row>
    <row r="349" spans="1:51" ht="13.5" customHeight="1">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c r="AA349" s="289"/>
      <c r="AB349" s="289"/>
      <c r="AC349" s="289"/>
      <c r="AD349" s="289"/>
      <c r="AE349" s="289"/>
      <c r="AF349" s="289"/>
      <c r="AG349" s="289"/>
      <c r="AH349" s="289"/>
      <c r="AI349" s="289"/>
      <c r="AJ349" s="289"/>
      <c r="AK349" s="289"/>
      <c r="AL349" s="289"/>
      <c r="AM349" s="289"/>
      <c r="AN349" s="289"/>
      <c r="AO349" s="289"/>
      <c r="AP349" s="289"/>
      <c r="AQ349" s="289"/>
      <c r="AR349" s="289"/>
      <c r="AS349" s="289"/>
      <c r="AT349" s="289"/>
      <c r="AU349" s="289"/>
      <c r="AV349" s="289"/>
      <c r="AW349" s="289"/>
      <c r="AX349" s="289"/>
      <c r="AY349" s="289"/>
    </row>
    <row r="350" spans="1:51" ht="13.5" customHeight="1">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c r="AA350" s="289"/>
      <c r="AB350" s="289"/>
      <c r="AC350" s="289"/>
      <c r="AD350" s="289"/>
      <c r="AE350" s="289"/>
      <c r="AF350" s="289"/>
      <c r="AG350" s="289"/>
      <c r="AH350" s="289"/>
      <c r="AI350" s="289"/>
      <c r="AJ350" s="289"/>
      <c r="AK350" s="289"/>
      <c r="AL350" s="289"/>
      <c r="AM350" s="289"/>
      <c r="AN350" s="289"/>
      <c r="AO350" s="289"/>
      <c r="AP350" s="289"/>
      <c r="AQ350" s="289"/>
      <c r="AR350" s="289"/>
      <c r="AS350" s="289"/>
      <c r="AT350" s="289"/>
      <c r="AU350" s="289"/>
      <c r="AV350" s="289"/>
      <c r="AW350" s="289"/>
      <c r="AX350" s="289"/>
      <c r="AY350" s="289"/>
    </row>
    <row r="351" spans="1:51" ht="13.5" customHeight="1">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c r="AA351" s="289"/>
      <c r="AB351" s="289"/>
      <c r="AC351" s="289"/>
      <c r="AD351" s="289"/>
      <c r="AE351" s="289"/>
      <c r="AF351" s="289"/>
      <c r="AG351" s="289"/>
      <c r="AH351" s="289"/>
      <c r="AI351" s="289"/>
      <c r="AJ351" s="289"/>
      <c r="AK351" s="289"/>
      <c r="AL351" s="289"/>
      <c r="AM351" s="289"/>
      <c r="AN351" s="289"/>
      <c r="AO351" s="289"/>
      <c r="AP351" s="289"/>
      <c r="AQ351" s="289"/>
      <c r="AR351" s="289"/>
      <c r="AS351" s="289"/>
      <c r="AT351" s="289"/>
      <c r="AU351" s="289"/>
      <c r="AV351" s="289"/>
      <c r="AW351" s="289"/>
      <c r="AX351" s="289"/>
      <c r="AY351" s="289"/>
    </row>
    <row r="352" spans="1:51" ht="13.5" customHeight="1">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c r="AA352" s="289"/>
      <c r="AB352" s="289"/>
      <c r="AC352" s="289"/>
      <c r="AD352" s="289"/>
      <c r="AE352" s="289"/>
      <c r="AF352" s="289"/>
      <c r="AG352" s="289"/>
      <c r="AH352" s="289"/>
      <c r="AI352" s="289"/>
      <c r="AJ352" s="289"/>
      <c r="AK352" s="289"/>
      <c r="AL352" s="289"/>
      <c r="AM352" s="289"/>
      <c r="AN352" s="289"/>
      <c r="AO352" s="289"/>
      <c r="AP352" s="289"/>
      <c r="AQ352" s="289"/>
      <c r="AR352" s="289"/>
      <c r="AS352" s="289"/>
      <c r="AT352" s="289"/>
      <c r="AU352" s="289"/>
      <c r="AV352" s="289"/>
      <c r="AW352" s="289"/>
      <c r="AX352" s="289"/>
      <c r="AY352" s="289"/>
    </row>
    <row r="353" spans="1:51" ht="13.5" customHeight="1">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c r="AA353" s="289"/>
      <c r="AB353" s="289"/>
      <c r="AC353" s="289"/>
      <c r="AD353" s="289"/>
      <c r="AE353" s="289"/>
      <c r="AF353" s="289"/>
      <c r="AG353" s="289"/>
      <c r="AH353" s="289"/>
      <c r="AI353" s="289"/>
      <c r="AJ353" s="289"/>
      <c r="AK353" s="289"/>
      <c r="AL353" s="289"/>
      <c r="AM353" s="289"/>
      <c r="AN353" s="289"/>
      <c r="AO353" s="289"/>
      <c r="AP353" s="289"/>
      <c r="AQ353" s="289"/>
      <c r="AR353" s="289"/>
      <c r="AS353" s="289"/>
      <c r="AT353" s="289"/>
      <c r="AU353" s="289"/>
      <c r="AV353" s="289"/>
      <c r="AW353" s="289"/>
      <c r="AX353" s="289"/>
      <c r="AY353" s="289"/>
    </row>
    <row r="354" spans="1:51" ht="13.5" customHeight="1">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c r="AB354" s="289"/>
      <c r="AC354" s="289"/>
      <c r="AD354" s="289"/>
      <c r="AE354" s="289"/>
      <c r="AF354" s="289"/>
      <c r="AG354" s="289"/>
      <c r="AH354" s="289"/>
      <c r="AI354" s="289"/>
      <c r="AJ354" s="289"/>
      <c r="AK354" s="289"/>
      <c r="AL354" s="289"/>
      <c r="AM354" s="289"/>
      <c r="AN354" s="289"/>
      <c r="AO354" s="289"/>
      <c r="AP354" s="289"/>
      <c r="AQ354" s="289"/>
      <c r="AR354" s="289"/>
      <c r="AS354" s="289"/>
      <c r="AT354" s="289"/>
      <c r="AU354" s="289"/>
      <c r="AV354" s="289"/>
      <c r="AW354" s="289"/>
      <c r="AX354" s="289"/>
      <c r="AY354" s="289"/>
    </row>
    <row r="355" spans="1:51" ht="13.5" customHeight="1">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c r="AA355" s="289"/>
      <c r="AB355" s="289"/>
      <c r="AC355" s="289"/>
      <c r="AD355" s="289"/>
      <c r="AE355" s="289"/>
      <c r="AF355" s="289"/>
      <c r="AG355" s="289"/>
      <c r="AH355" s="289"/>
      <c r="AI355" s="289"/>
      <c r="AJ355" s="289"/>
      <c r="AK355" s="289"/>
      <c r="AL355" s="289"/>
      <c r="AM355" s="289"/>
      <c r="AN355" s="289"/>
      <c r="AO355" s="289"/>
      <c r="AP355" s="289"/>
      <c r="AQ355" s="289"/>
      <c r="AR355" s="289"/>
      <c r="AS355" s="289"/>
      <c r="AT355" s="289"/>
      <c r="AU355" s="289"/>
      <c r="AV355" s="289"/>
      <c r="AW355" s="289"/>
      <c r="AX355" s="289"/>
      <c r="AY355" s="289"/>
    </row>
    <row r="356" spans="1:51" ht="13.5" customHeight="1">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c r="AA356" s="289"/>
      <c r="AB356" s="289"/>
      <c r="AC356" s="289"/>
      <c r="AD356" s="289"/>
      <c r="AE356" s="289"/>
      <c r="AF356" s="289"/>
      <c r="AG356" s="289"/>
      <c r="AH356" s="289"/>
      <c r="AI356" s="289"/>
      <c r="AJ356" s="289"/>
      <c r="AK356" s="289"/>
      <c r="AL356" s="289"/>
      <c r="AM356" s="289"/>
      <c r="AN356" s="289"/>
      <c r="AO356" s="289"/>
      <c r="AP356" s="289"/>
      <c r="AQ356" s="289"/>
      <c r="AR356" s="289"/>
      <c r="AS356" s="289"/>
      <c r="AT356" s="289"/>
      <c r="AU356" s="289"/>
      <c r="AV356" s="289"/>
      <c r="AW356" s="289"/>
      <c r="AX356" s="289"/>
      <c r="AY356" s="289"/>
    </row>
    <row r="357" spans="1:51" ht="13.5" customHeight="1">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c r="AA357" s="289"/>
      <c r="AB357" s="289"/>
      <c r="AC357" s="289"/>
      <c r="AD357" s="289"/>
      <c r="AE357" s="289"/>
      <c r="AF357" s="289"/>
      <c r="AG357" s="289"/>
      <c r="AH357" s="289"/>
      <c r="AI357" s="289"/>
      <c r="AJ357" s="289"/>
      <c r="AK357" s="289"/>
      <c r="AL357" s="289"/>
      <c r="AM357" s="289"/>
      <c r="AN357" s="289"/>
      <c r="AO357" s="289"/>
      <c r="AP357" s="289"/>
      <c r="AQ357" s="289"/>
      <c r="AR357" s="289"/>
      <c r="AS357" s="289"/>
      <c r="AT357" s="289"/>
      <c r="AU357" s="289"/>
      <c r="AV357" s="289"/>
      <c r="AW357" s="289"/>
      <c r="AX357" s="289"/>
      <c r="AY357" s="289"/>
    </row>
    <row r="358" spans="1:51" ht="13.5" customHeight="1">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c r="AA358" s="289"/>
      <c r="AB358" s="289"/>
      <c r="AC358" s="289"/>
      <c r="AD358" s="289"/>
      <c r="AE358" s="289"/>
      <c r="AF358" s="289"/>
      <c r="AG358" s="289"/>
      <c r="AH358" s="289"/>
      <c r="AI358" s="289"/>
      <c r="AJ358" s="289"/>
      <c r="AK358" s="289"/>
      <c r="AL358" s="289"/>
      <c r="AM358" s="289"/>
      <c r="AN358" s="289"/>
      <c r="AO358" s="289"/>
      <c r="AP358" s="289"/>
      <c r="AQ358" s="289"/>
      <c r="AR358" s="289"/>
      <c r="AS358" s="289"/>
      <c r="AT358" s="289"/>
      <c r="AU358" s="289"/>
      <c r="AV358" s="289"/>
      <c r="AW358" s="289"/>
      <c r="AX358" s="289"/>
      <c r="AY358" s="289"/>
    </row>
    <row r="359" spans="1:51" ht="13.5" customHeight="1">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c r="AA359" s="289"/>
      <c r="AB359" s="289"/>
      <c r="AC359" s="289"/>
      <c r="AD359" s="289"/>
      <c r="AE359" s="289"/>
      <c r="AF359" s="289"/>
      <c r="AG359" s="289"/>
      <c r="AH359" s="289"/>
      <c r="AI359" s="289"/>
      <c r="AJ359" s="289"/>
      <c r="AK359" s="289"/>
      <c r="AL359" s="289"/>
      <c r="AM359" s="289"/>
      <c r="AN359" s="289"/>
      <c r="AO359" s="289"/>
      <c r="AP359" s="289"/>
      <c r="AQ359" s="289"/>
      <c r="AR359" s="289"/>
      <c r="AS359" s="289"/>
      <c r="AT359" s="289"/>
      <c r="AU359" s="289"/>
      <c r="AV359" s="289"/>
      <c r="AW359" s="289"/>
      <c r="AX359" s="289"/>
      <c r="AY359" s="289"/>
    </row>
    <row r="360" spans="1:51" ht="13.5" customHeight="1">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c r="AA360" s="289"/>
      <c r="AB360" s="289"/>
      <c r="AC360" s="289"/>
      <c r="AD360" s="289"/>
      <c r="AE360" s="289"/>
      <c r="AF360" s="289"/>
      <c r="AG360" s="289"/>
      <c r="AH360" s="289"/>
      <c r="AI360" s="289"/>
      <c r="AJ360" s="289"/>
      <c r="AK360" s="289"/>
      <c r="AL360" s="289"/>
      <c r="AM360" s="289"/>
      <c r="AN360" s="289"/>
      <c r="AO360" s="289"/>
      <c r="AP360" s="289"/>
      <c r="AQ360" s="289"/>
      <c r="AR360" s="289"/>
      <c r="AS360" s="289"/>
      <c r="AT360" s="289"/>
      <c r="AU360" s="289"/>
      <c r="AV360" s="289"/>
      <c r="AW360" s="289"/>
      <c r="AX360" s="289"/>
      <c r="AY360" s="289"/>
    </row>
    <row r="361" spans="1:51" ht="13.5" customHeight="1">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c r="AA361" s="289"/>
      <c r="AB361" s="289"/>
      <c r="AC361" s="289"/>
      <c r="AD361" s="289"/>
      <c r="AE361" s="289"/>
      <c r="AF361" s="289"/>
      <c r="AG361" s="289"/>
      <c r="AH361" s="289"/>
      <c r="AI361" s="289"/>
      <c r="AJ361" s="289"/>
      <c r="AK361" s="289"/>
      <c r="AL361" s="289"/>
      <c r="AM361" s="289"/>
      <c r="AN361" s="289"/>
      <c r="AO361" s="289"/>
      <c r="AP361" s="289"/>
      <c r="AQ361" s="289"/>
      <c r="AR361" s="289"/>
      <c r="AS361" s="289"/>
      <c r="AT361" s="289"/>
      <c r="AU361" s="289"/>
      <c r="AV361" s="289"/>
      <c r="AW361" s="289"/>
      <c r="AX361" s="289"/>
      <c r="AY361" s="289"/>
    </row>
    <row r="362" spans="1:51" ht="13.5" customHeight="1">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c r="AA362" s="289"/>
      <c r="AB362" s="289"/>
      <c r="AC362" s="289"/>
      <c r="AD362" s="289"/>
      <c r="AE362" s="289"/>
      <c r="AF362" s="289"/>
      <c r="AG362" s="289"/>
      <c r="AH362" s="289"/>
      <c r="AI362" s="289"/>
      <c r="AJ362" s="289"/>
      <c r="AK362" s="289"/>
      <c r="AL362" s="289"/>
      <c r="AM362" s="289"/>
      <c r="AN362" s="289"/>
      <c r="AO362" s="289"/>
      <c r="AP362" s="289"/>
      <c r="AQ362" s="289"/>
      <c r="AR362" s="289"/>
      <c r="AS362" s="289"/>
      <c r="AT362" s="289"/>
      <c r="AU362" s="289"/>
      <c r="AV362" s="289"/>
      <c r="AW362" s="289"/>
      <c r="AX362" s="289"/>
      <c r="AY362" s="289"/>
    </row>
    <row r="363" spans="1:51" ht="13.5" customHeight="1">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c r="AA363" s="289"/>
      <c r="AB363" s="289"/>
      <c r="AC363" s="289"/>
      <c r="AD363" s="289"/>
      <c r="AE363" s="289"/>
      <c r="AF363" s="289"/>
      <c r="AG363" s="289"/>
      <c r="AH363" s="289"/>
      <c r="AI363" s="289"/>
      <c r="AJ363" s="289"/>
      <c r="AK363" s="289"/>
      <c r="AL363" s="289"/>
      <c r="AM363" s="289"/>
      <c r="AN363" s="289"/>
      <c r="AO363" s="289"/>
      <c r="AP363" s="289"/>
      <c r="AQ363" s="289"/>
      <c r="AR363" s="289"/>
      <c r="AS363" s="289"/>
      <c r="AT363" s="289"/>
      <c r="AU363" s="289"/>
      <c r="AV363" s="289"/>
      <c r="AW363" s="289"/>
      <c r="AX363" s="289"/>
      <c r="AY363" s="289"/>
    </row>
    <row r="364" spans="1:51" ht="13.5" customHeight="1">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c r="AA364" s="289"/>
      <c r="AB364" s="289"/>
      <c r="AC364" s="289"/>
      <c r="AD364" s="289"/>
      <c r="AE364" s="289"/>
      <c r="AF364" s="289"/>
      <c r="AG364" s="289"/>
      <c r="AH364" s="289"/>
      <c r="AI364" s="289"/>
      <c r="AJ364" s="289"/>
      <c r="AK364" s="289"/>
      <c r="AL364" s="289"/>
      <c r="AM364" s="289"/>
      <c r="AN364" s="289"/>
      <c r="AO364" s="289"/>
      <c r="AP364" s="289"/>
      <c r="AQ364" s="289"/>
      <c r="AR364" s="289"/>
      <c r="AS364" s="289"/>
      <c r="AT364" s="289"/>
      <c r="AU364" s="289"/>
      <c r="AV364" s="289"/>
      <c r="AW364" s="289"/>
      <c r="AX364" s="289"/>
      <c r="AY364" s="289"/>
    </row>
    <row r="365" spans="1:51" ht="13.5" customHeight="1">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c r="AA365" s="289"/>
      <c r="AB365" s="289"/>
      <c r="AC365" s="289"/>
      <c r="AD365" s="289"/>
      <c r="AE365" s="289"/>
      <c r="AF365" s="289"/>
      <c r="AG365" s="289"/>
      <c r="AH365" s="289"/>
      <c r="AI365" s="289"/>
      <c r="AJ365" s="289"/>
      <c r="AK365" s="289"/>
      <c r="AL365" s="289"/>
      <c r="AM365" s="289"/>
      <c r="AN365" s="289"/>
      <c r="AO365" s="289"/>
      <c r="AP365" s="289"/>
      <c r="AQ365" s="289"/>
      <c r="AR365" s="289"/>
      <c r="AS365" s="289"/>
      <c r="AT365" s="289"/>
      <c r="AU365" s="289"/>
      <c r="AV365" s="289"/>
      <c r="AW365" s="289"/>
      <c r="AX365" s="289"/>
      <c r="AY365" s="289"/>
    </row>
    <row r="366" spans="1:51" ht="13.5" customHeight="1">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c r="AA366" s="289"/>
      <c r="AB366" s="289"/>
      <c r="AC366" s="289"/>
      <c r="AD366" s="289"/>
      <c r="AE366" s="289"/>
      <c r="AF366" s="289"/>
      <c r="AG366" s="289"/>
      <c r="AH366" s="289"/>
      <c r="AI366" s="289"/>
      <c r="AJ366" s="289"/>
      <c r="AK366" s="289"/>
      <c r="AL366" s="289"/>
      <c r="AM366" s="289"/>
      <c r="AN366" s="289"/>
      <c r="AO366" s="289"/>
      <c r="AP366" s="289"/>
      <c r="AQ366" s="289"/>
      <c r="AR366" s="289"/>
      <c r="AS366" s="289"/>
      <c r="AT366" s="289"/>
      <c r="AU366" s="289"/>
      <c r="AV366" s="289"/>
      <c r="AW366" s="289"/>
      <c r="AX366" s="289"/>
      <c r="AY366" s="289"/>
    </row>
    <row r="367" spans="1:51" ht="13.5" customHeight="1">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c r="AA367" s="289"/>
      <c r="AB367" s="289"/>
      <c r="AC367" s="289"/>
      <c r="AD367" s="289"/>
      <c r="AE367" s="289"/>
      <c r="AF367" s="289"/>
      <c r="AG367" s="289"/>
      <c r="AH367" s="289"/>
      <c r="AI367" s="289"/>
      <c r="AJ367" s="289"/>
      <c r="AK367" s="289"/>
      <c r="AL367" s="289"/>
      <c r="AM367" s="289"/>
      <c r="AN367" s="289"/>
      <c r="AO367" s="289"/>
      <c r="AP367" s="289"/>
      <c r="AQ367" s="289"/>
      <c r="AR367" s="289"/>
      <c r="AS367" s="289"/>
      <c r="AT367" s="289"/>
      <c r="AU367" s="289"/>
      <c r="AV367" s="289"/>
      <c r="AW367" s="289"/>
      <c r="AX367" s="289"/>
      <c r="AY367" s="289"/>
    </row>
    <row r="368" spans="1:51" ht="13.5" customHeight="1">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c r="AA368" s="289"/>
      <c r="AB368" s="289"/>
      <c r="AC368" s="289"/>
      <c r="AD368" s="289"/>
      <c r="AE368" s="289"/>
      <c r="AF368" s="289"/>
      <c r="AG368" s="289"/>
      <c r="AH368" s="289"/>
      <c r="AI368" s="289"/>
      <c r="AJ368" s="289"/>
      <c r="AK368" s="289"/>
      <c r="AL368" s="289"/>
      <c r="AM368" s="289"/>
      <c r="AN368" s="289"/>
      <c r="AO368" s="289"/>
      <c r="AP368" s="289"/>
      <c r="AQ368" s="289"/>
      <c r="AR368" s="289"/>
      <c r="AS368" s="289"/>
      <c r="AT368" s="289"/>
      <c r="AU368" s="289"/>
      <c r="AV368" s="289"/>
      <c r="AW368" s="289"/>
      <c r="AX368" s="289"/>
      <c r="AY368" s="289"/>
    </row>
    <row r="369" spans="1:51" ht="13.5" customHeight="1">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c r="AA369" s="289"/>
      <c r="AB369" s="289"/>
      <c r="AC369" s="289"/>
      <c r="AD369" s="289"/>
      <c r="AE369" s="289"/>
      <c r="AF369" s="289"/>
      <c r="AG369" s="289"/>
      <c r="AH369" s="289"/>
      <c r="AI369" s="289"/>
      <c r="AJ369" s="289"/>
      <c r="AK369" s="289"/>
      <c r="AL369" s="289"/>
      <c r="AM369" s="289"/>
      <c r="AN369" s="289"/>
      <c r="AO369" s="289"/>
      <c r="AP369" s="289"/>
      <c r="AQ369" s="289"/>
      <c r="AR369" s="289"/>
      <c r="AS369" s="289"/>
      <c r="AT369" s="289"/>
      <c r="AU369" s="289"/>
      <c r="AV369" s="289"/>
      <c r="AW369" s="289"/>
      <c r="AX369" s="289"/>
      <c r="AY369" s="289"/>
    </row>
    <row r="370" spans="1:51" ht="13.5" customHeight="1">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c r="AA370" s="289"/>
      <c r="AB370" s="289"/>
      <c r="AC370" s="289"/>
      <c r="AD370" s="289"/>
      <c r="AE370" s="289"/>
      <c r="AF370" s="289"/>
      <c r="AG370" s="289"/>
      <c r="AH370" s="289"/>
      <c r="AI370" s="289"/>
      <c r="AJ370" s="289"/>
      <c r="AK370" s="289"/>
      <c r="AL370" s="289"/>
      <c r="AM370" s="289"/>
      <c r="AN370" s="289"/>
      <c r="AO370" s="289"/>
      <c r="AP370" s="289"/>
      <c r="AQ370" s="289"/>
      <c r="AR370" s="289"/>
      <c r="AS370" s="289"/>
      <c r="AT370" s="289"/>
      <c r="AU370" s="289"/>
      <c r="AV370" s="289"/>
      <c r="AW370" s="289"/>
      <c r="AX370" s="289"/>
      <c r="AY370" s="289"/>
    </row>
    <row r="371" spans="1:51" ht="13.5" customHeight="1">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c r="AA371" s="289"/>
      <c r="AB371" s="289"/>
      <c r="AC371" s="289"/>
      <c r="AD371" s="289"/>
      <c r="AE371" s="289"/>
      <c r="AF371" s="289"/>
      <c r="AG371" s="289"/>
      <c r="AH371" s="289"/>
      <c r="AI371" s="289"/>
      <c r="AJ371" s="289"/>
      <c r="AK371" s="289"/>
      <c r="AL371" s="289"/>
      <c r="AM371" s="289"/>
      <c r="AN371" s="289"/>
      <c r="AO371" s="289"/>
      <c r="AP371" s="289"/>
      <c r="AQ371" s="289"/>
      <c r="AR371" s="289"/>
      <c r="AS371" s="289"/>
      <c r="AT371" s="289"/>
      <c r="AU371" s="289"/>
      <c r="AV371" s="289"/>
      <c r="AW371" s="289"/>
      <c r="AX371" s="289"/>
      <c r="AY371" s="289"/>
    </row>
    <row r="372" spans="1:51" ht="13.5" customHeight="1">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c r="AA372" s="289"/>
      <c r="AB372" s="289"/>
      <c r="AC372" s="289"/>
      <c r="AD372" s="289"/>
      <c r="AE372" s="289"/>
      <c r="AF372" s="289"/>
      <c r="AG372" s="289"/>
      <c r="AH372" s="289"/>
      <c r="AI372" s="289"/>
      <c r="AJ372" s="289"/>
      <c r="AK372" s="289"/>
      <c r="AL372" s="289"/>
      <c r="AM372" s="289"/>
      <c r="AN372" s="289"/>
      <c r="AO372" s="289"/>
      <c r="AP372" s="289"/>
      <c r="AQ372" s="289"/>
      <c r="AR372" s="289"/>
      <c r="AS372" s="289"/>
      <c r="AT372" s="289"/>
      <c r="AU372" s="289"/>
      <c r="AV372" s="289"/>
      <c r="AW372" s="289"/>
      <c r="AX372" s="289"/>
      <c r="AY372" s="289"/>
    </row>
    <row r="373" spans="1:51" ht="13.5" customHeight="1">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c r="AA373" s="289"/>
      <c r="AB373" s="289"/>
      <c r="AC373" s="289"/>
      <c r="AD373" s="289"/>
      <c r="AE373" s="289"/>
      <c r="AF373" s="289"/>
      <c r="AG373" s="289"/>
      <c r="AH373" s="289"/>
      <c r="AI373" s="289"/>
      <c r="AJ373" s="289"/>
      <c r="AK373" s="289"/>
      <c r="AL373" s="289"/>
      <c r="AM373" s="289"/>
      <c r="AN373" s="289"/>
      <c r="AO373" s="289"/>
      <c r="AP373" s="289"/>
      <c r="AQ373" s="289"/>
      <c r="AR373" s="289"/>
      <c r="AS373" s="289"/>
      <c r="AT373" s="289"/>
      <c r="AU373" s="289"/>
      <c r="AV373" s="289"/>
      <c r="AW373" s="289"/>
      <c r="AX373" s="289"/>
      <c r="AY373" s="289"/>
    </row>
    <row r="374" spans="1:51" ht="13.5" customHeight="1">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c r="AA374" s="289"/>
      <c r="AB374" s="289"/>
      <c r="AC374" s="289"/>
      <c r="AD374" s="289"/>
      <c r="AE374" s="289"/>
      <c r="AF374" s="289"/>
      <c r="AG374" s="289"/>
      <c r="AH374" s="289"/>
      <c r="AI374" s="289"/>
      <c r="AJ374" s="289"/>
      <c r="AK374" s="289"/>
      <c r="AL374" s="289"/>
      <c r="AM374" s="289"/>
      <c r="AN374" s="289"/>
      <c r="AO374" s="289"/>
      <c r="AP374" s="289"/>
      <c r="AQ374" s="289"/>
      <c r="AR374" s="289"/>
      <c r="AS374" s="289"/>
      <c r="AT374" s="289"/>
      <c r="AU374" s="289"/>
      <c r="AV374" s="289"/>
      <c r="AW374" s="289"/>
      <c r="AX374" s="289"/>
      <c r="AY374" s="289"/>
    </row>
    <row r="375" spans="1:51" ht="13.5" customHeight="1">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c r="AA375" s="289"/>
      <c r="AB375" s="289"/>
      <c r="AC375" s="289"/>
      <c r="AD375" s="289"/>
      <c r="AE375" s="289"/>
      <c r="AF375" s="289"/>
      <c r="AG375" s="289"/>
      <c r="AH375" s="289"/>
      <c r="AI375" s="289"/>
      <c r="AJ375" s="289"/>
      <c r="AK375" s="289"/>
      <c r="AL375" s="289"/>
      <c r="AM375" s="289"/>
      <c r="AN375" s="289"/>
      <c r="AO375" s="289"/>
      <c r="AP375" s="289"/>
      <c r="AQ375" s="289"/>
      <c r="AR375" s="289"/>
      <c r="AS375" s="289"/>
      <c r="AT375" s="289"/>
      <c r="AU375" s="289"/>
      <c r="AV375" s="289"/>
      <c r="AW375" s="289"/>
      <c r="AX375" s="289"/>
      <c r="AY375" s="289"/>
    </row>
    <row r="376" spans="1:51" ht="13.5" customHeight="1">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c r="AA376" s="289"/>
      <c r="AB376" s="289"/>
      <c r="AC376" s="289"/>
      <c r="AD376" s="289"/>
      <c r="AE376" s="289"/>
      <c r="AF376" s="289"/>
      <c r="AG376" s="289"/>
      <c r="AH376" s="289"/>
      <c r="AI376" s="289"/>
      <c r="AJ376" s="289"/>
      <c r="AK376" s="289"/>
      <c r="AL376" s="289"/>
      <c r="AM376" s="289"/>
      <c r="AN376" s="289"/>
      <c r="AO376" s="289"/>
      <c r="AP376" s="289"/>
      <c r="AQ376" s="289"/>
      <c r="AR376" s="289"/>
      <c r="AS376" s="289"/>
      <c r="AT376" s="289"/>
      <c r="AU376" s="289"/>
      <c r="AV376" s="289"/>
      <c r="AW376" s="289"/>
      <c r="AX376" s="289"/>
      <c r="AY376" s="289"/>
    </row>
    <row r="377" spans="1:51" ht="13.5" customHeight="1">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c r="AA377" s="289"/>
      <c r="AB377" s="289"/>
      <c r="AC377" s="289"/>
      <c r="AD377" s="289"/>
      <c r="AE377" s="289"/>
      <c r="AF377" s="289"/>
      <c r="AG377" s="289"/>
      <c r="AH377" s="289"/>
      <c r="AI377" s="289"/>
      <c r="AJ377" s="289"/>
      <c r="AK377" s="289"/>
      <c r="AL377" s="289"/>
      <c r="AM377" s="289"/>
      <c r="AN377" s="289"/>
      <c r="AO377" s="289"/>
      <c r="AP377" s="289"/>
      <c r="AQ377" s="289"/>
      <c r="AR377" s="289"/>
      <c r="AS377" s="289"/>
      <c r="AT377" s="289"/>
      <c r="AU377" s="289"/>
      <c r="AV377" s="289"/>
      <c r="AW377" s="289"/>
      <c r="AX377" s="289"/>
      <c r="AY377" s="289"/>
    </row>
    <row r="378" spans="1:51" ht="13.5" customHeight="1">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c r="AA378" s="289"/>
      <c r="AB378" s="289"/>
      <c r="AC378" s="289"/>
      <c r="AD378" s="289"/>
      <c r="AE378" s="289"/>
      <c r="AF378" s="289"/>
      <c r="AG378" s="289"/>
      <c r="AH378" s="289"/>
      <c r="AI378" s="289"/>
      <c r="AJ378" s="289"/>
      <c r="AK378" s="289"/>
      <c r="AL378" s="289"/>
      <c r="AM378" s="289"/>
      <c r="AN378" s="289"/>
      <c r="AO378" s="289"/>
      <c r="AP378" s="289"/>
      <c r="AQ378" s="289"/>
      <c r="AR378" s="289"/>
      <c r="AS378" s="289"/>
      <c r="AT378" s="289"/>
      <c r="AU378" s="289"/>
      <c r="AV378" s="289"/>
      <c r="AW378" s="289"/>
      <c r="AX378" s="289"/>
      <c r="AY378" s="289"/>
    </row>
    <row r="379" spans="1:51" ht="13.5" customHeight="1">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c r="AA379" s="289"/>
      <c r="AB379" s="289"/>
      <c r="AC379" s="289"/>
      <c r="AD379" s="289"/>
      <c r="AE379" s="289"/>
      <c r="AF379" s="289"/>
      <c r="AG379" s="289"/>
      <c r="AH379" s="289"/>
      <c r="AI379" s="289"/>
      <c r="AJ379" s="289"/>
      <c r="AK379" s="289"/>
      <c r="AL379" s="289"/>
      <c r="AM379" s="289"/>
      <c r="AN379" s="289"/>
      <c r="AO379" s="289"/>
      <c r="AP379" s="289"/>
      <c r="AQ379" s="289"/>
      <c r="AR379" s="289"/>
      <c r="AS379" s="289"/>
      <c r="AT379" s="289"/>
      <c r="AU379" s="289"/>
      <c r="AV379" s="289"/>
      <c r="AW379" s="289"/>
      <c r="AX379" s="289"/>
      <c r="AY379" s="289"/>
    </row>
    <row r="380" spans="1:51" ht="13.5" customHeight="1">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c r="AA380" s="289"/>
      <c r="AB380" s="289"/>
      <c r="AC380" s="289"/>
      <c r="AD380" s="289"/>
      <c r="AE380" s="289"/>
      <c r="AF380" s="289"/>
      <c r="AG380" s="289"/>
      <c r="AH380" s="289"/>
      <c r="AI380" s="289"/>
      <c r="AJ380" s="289"/>
      <c r="AK380" s="289"/>
      <c r="AL380" s="289"/>
      <c r="AM380" s="289"/>
      <c r="AN380" s="289"/>
      <c r="AO380" s="289"/>
      <c r="AP380" s="289"/>
      <c r="AQ380" s="289"/>
      <c r="AR380" s="289"/>
      <c r="AS380" s="289"/>
      <c r="AT380" s="289"/>
      <c r="AU380" s="289"/>
      <c r="AV380" s="289"/>
      <c r="AW380" s="289"/>
      <c r="AX380" s="289"/>
      <c r="AY380" s="289"/>
    </row>
    <row r="381" spans="1:51" ht="13.5" customHeight="1">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c r="AA381" s="289"/>
      <c r="AB381" s="289"/>
      <c r="AC381" s="289"/>
      <c r="AD381" s="289"/>
      <c r="AE381" s="289"/>
      <c r="AF381" s="289"/>
      <c r="AG381" s="289"/>
      <c r="AH381" s="289"/>
      <c r="AI381" s="289"/>
      <c r="AJ381" s="289"/>
      <c r="AK381" s="289"/>
      <c r="AL381" s="289"/>
      <c r="AM381" s="289"/>
      <c r="AN381" s="289"/>
      <c r="AO381" s="289"/>
      <c r="AP381" s="289"/>
      <c r="AQ381" s="289"/>
      <c r="AR381" s="289"/>
      <c r="AS381" s="289"/>
      <c r="AT381" s="289"/>
      <c r="AU381" s="289"/>
      <c r="AV381" s="289"/>
      <c r="AW381" s="289"/>
      <c r="AX381" s="289"/>
      <c r="AY381" s="289"/>
    </row>
    <row r="382" spans="1:51" ht="13.5" customHeight="1">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c r="AA382" s="289"/>
      <c r="AB382" s="289"/>
      <c r="AC382" s="289"/>
      <c r="AD382" s="289"/>
      <c r="AE382" s="289"/>
      <c r="AF382" s="289"/>
      <c r="AG382" s="289"/>
      <c r="AH382" s="289"/>
      <c r="AI382" s="289"/>
      <c r="AJ382" s="289"/>
      <c r="AK382" s="289"/>
      <c r="AL382" s="289"/>
      <c r="AM382" s="289"/>
      <c r="AN382" s="289"/>
      <c r="AO382" s="289"/>
      <c r="AP382" s="289"/>
      <c r="AQ382" s="289"/>
      <c r="AR382" s="289"/>
      <c r="AS382" s="289"/>
      <c r="AT382" s="289"/>
      <c r="AU382" s="289"/>
      <c r="AV382" s="289"/>
      <c r="AW382" s="289"/>
      <c r="AX382" s="289"/>
      <c r="AY382" s="289"/>
    </row>
    <row r="383" spans="1:51" ht="13.5" customHeight="1">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c r="AB383" s="289"/>
      <c r="AC383" s="289"/>
      <c r="AD383" s="289"/>
      <c r="AE383" s="289"/>
      <c r="AF383" s="289"/>
      <c r="AG383" s="289"/>
      <c r="AH383" s="289"/>
      <c r="AI383" s="289"/>
      <c r="AJ383" s="289"/>
      <c r="AK383" s="289"/>
      <c r="AL383" s="289"/>
      <c r="AM383" s="289"/>
      <c r="AN383" s="289"/>
      <c r="AO383" s="289"/>
      <c r="AP383" s="289"/>
      <c r="AQ383" s="289"/>
      <c r="AR383" s="289"/>
      <c r="AS383" s="289"/>
      <c r="AT383" s="289"/>
      <c r="AU383" s="289"/>
      <c r="AV383" s="289"/>
      <c r="AW383" s="289"/>
      <c r="AX383" s="289"/>
      <c r="AY383" s="289"/>
    </row>
    <row r="384" spans="1:51" ht="13.5" customHeight="1">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c r="AA384" s="289"/>
      <c r="AB384" s="289"/>
      <c r="AC384" s="289"/>
      <c r="AD384" s="289"/>
      <c r="AE384" s="289"/>
      <c r="AF384" s="289"/>
      <c r="AG384" s="289"/>
      <c r="AH384" s="289"/>
      <c r="AI384" s="289"/>
      <c r="AJ384" s="289"/>
      <c r="AK384" s="289"/>
      <c r="AL384" s="289"/>
      <c r="AM384" s="289"/>
      <c r="AN384" s="289"/>
      <c r="AO384" s="289"/>
      <c r="AP384" s="289"/>
      <c r="AQ384" s="289"/>
      <c r="AR384" s="289"/>
      <c r="AS384" s="289"/>
      <c r="AT384" s="289"/>
      <c r="AU384" s="289"/>
      <c r="AV384" s="289"/>
      <c r="AW384" s="289"/>
      <c r="AX384" s="289"/>
      <c r="AY384" s="289"/>
    </row>
    <row r="385" spans="1:51" ht="13.5" customHeight="1">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c r="AA385" s="289"/>
      <c r="AB385" s="289"/>
      <c r="AC385" s="289"/>
      <c r="AD385" s="289"/>
      <c r="AE385" s="289"/>
      <c r="AF385" s="289"/>
      <c r="AG385" s="289"/>
      <c r="AH385" s="289"/>
      <c r="AI385" s="289"/>
      <c r="AJ385" s="289"/>
      <c r="AK385" s="289"/>
      <c r="AL385" s="289"/>
      <c r="AM385" s="289"/>
      <c r="AN385" s="289"/>
      <c r="AO385" s="289"/>
      <c r="AP385" s="289"/>
      <c r="AQ385" s="289"/>
      <c r="AR385" s="289"/>
      <c r="AS385" s="289"/>
      <c r="AT385" s="289"/>
      <c r="AU385" s="289"/>
      <c r="AV385" s="289"/>
      <c r="AW385" s="289"/>
      <c r="AX385" s="289"/>
      <c r="AY385" s="289"/>
    </row>
    <row r="386" spans="1:51" ht="13.5" customHeight="1">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c r="AA386" s="289"/>
      <c r="AB386" s="289"/>
      <c r="AC386" s="289"/>
      <c r="AD386" s="289"/>
      <c r="AE386" s="289"/>
      <c r="AF386" s="289"/>
      <c r="AG386" s="289"/>
      <c r="AH386" s="289"/>
      <c r="AI386" s="289"/>
      <c r="AJ386" s="289"/>
      <c r="AK386" s="289"/>
      <c r="AL386" s="289"/>
      <c r="AM386" s="289"/>
      <c r="AN386" s="289"/>
      <c r="AO386" s="289"/>
      <c r="AP386" s="289"/>
      <c r="AQ386" s="289"/>
      <c r="AR386" s="289"/>
      <c r="AS386" s="289"/>
      <c r="AT386" s="289"/>
      <c r="AU386" s="289"/>
      <c r="AV386" s="289"/>
      <c r="AW386" s="289"/>
      <c r="AX386" s="289"/>
      <c r="AY386" s="289"/>
    </row>
    <row r="387" spans="1:51" ht="13.5" customHeight="1">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c r="AA387" s="289"/>
      <c r="AB387" s="289"/>
      <c r="AC387" s="289"/>
      <c r="AD387" s="289"/>
      <c r="AE387" s="289"/>
      <c r="AF387" s="289"/>
      <c r="AG387" s="289"/>
      <c r="AH387" s="289"/>
      <c r="AI387" s="289"/>
      <c r="AJ387" s="289"/>
      <c r="AK387" s="289"/>
      <c r="AL387" s="289"/>
      <c r="AM387" s="289"/>
      <c r="AN387" s="289"/>
      <c r="AO387" s="289"/>
      <c r="AP387" s="289"/>
      <c r="AQ387" s="289"/>
      <c r="AR387" s="289"/>
      <c r="AS387" s="289"/>
      <c r="AT387" s="289"/>
      <c r="AU387" s="289"/>
      <c r="AV387" s="289"/>
      <c r="AW387" s="289"/>
      <c r="AX387" s="289"/>
      <c r="AY387" s="289"/>
    </row>
    <row r="388" spans="1:51" ht="13.5" customHeight="1">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c r="AA388" s="289"/>
      <c r="AB388" s="289"/>
      <c r="AC388" s="289"/>
      <c r="AD388" s="289"/>
      <c r="AE388" s="289"/>
      <c r="AF388" s="289"/>
      <c r="AG388" s="289"/>
      <c r="AH388" s="289"/>
      <c r="AI388" s="289"/>
      <c r="AJ388" s="289"/>
      <c r="AK388" s="289"/>
      <c r="AL388" s="289"/>
      <c r="AM388" s="289"/>
      <c r="AN388" s="289"/>
      <c r="AO388" s="289"/>
      <c r="AP388" s="289"/>
      <c r="AQ388" s="289"/>
      <c r="AR388" s="289"/>
      <c r="AS388" s="289"/>
      <c r="AT388" s="289"/>
      <c r="AU388" s="289"/>
      <c r="AV388" s="289"/>
      <c r="AW388" s="289"/>
      <c r="AX388" s="289"/>
      <c r="AY388" s="289"/>
    </row>
    <row r="389" spans="1:51" ht="13.5" customHeight="1">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c r="AA389" s="289"/>
      <c r="AB389" s="289"/>
      <c r="AC389" s="289"/>
      <c r="AD389" s="289"/>
      <c r="AE389" s="289"/>
      <c r="AF389" s="289"/>
      <c r="AG389" s="289"/>
      <c r="AH389" s="289"/>
      <c r="AI389" s="289"/>
      <c r="AJ389" s="289"/>
      <c r="AK389" s="289"/>
      <c r="AL389" s="289"/>
      <c r="AM389" s="289"/>
      <c r="AN389" s="289"/>
      <c r="AO389" s="289"/>
      <c r="AP389" s="289"/>
      <c r="AQ389" s="289"/>
      <c r="AR389" s="289"/>
      <c r="AS389" s="289"/>
      <c r="AT389" s="289"/>
      <c r="AU389" s="289"/>
      <c r="AV389" s="289"/>
      <c r="AW389" s="289"/>
      <c r="AX389" s="289"/>
      <c r="AY389" s="289"/>
    </row>
    <row r="390" spans="1:51" ht="13.5" customHeight="1">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c r="AA390" s="289"/>
      <c r="AB390" s="289"/>
      <c r="AC390" s="289"/>
      <c r="AD390" s="289"/>
      <c r="AE390" s="289"/>
      <c r="AF390" s="289"/>
      <c r="AG390" s="289"/>
      <c r="AH390" s="289"/>
      <c r="AI390" s="289"/>
      <c r="AJ390" s="289"/>
      <c r="AK390" s="289"/>
      <c r="AL390" s="289"/>
      <c r="AM390" s="289"/>
      <c r="AN390" s="289"/>
      <c r="AO390" s="289"/>
      <c r="AP390" s="289"/>
      <c r="AQ390" s="289"/>
      <c r="AR390" s="289"/>
      <c r="AS390" s="289"/>
      <c r="AT390" s="289"/>
      <c r="AU390" s="289"/>
      <c r="AV390" s="289"/>
      <c r="AW390" s="289"/>
      <c r="AX390" s="289"/>
      <c r="AY390" s="289"/>
    </row>
    <row r="391" spans="1:51" ht="13.5" customHeight="1">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c r="AA391" s="289"/>
      <c r="AB391" s="289"/>
      <c r="AC391" s="289"/>
      <c r="AD391" s="289"/>
      <c r="AE391" s="289"/>
      <c r="AF391" s="289"/>
      <c r="AG391" s="289"/>
      <c r="AH391" s="289"/>
      <c r="AI391" s="289"/>
      <c r="AJ391" s="289"/>
      <c r="AK391" s="289"/>
      <c r="AL391" s="289"/>
      <c r="AM391" s="289"/>
      <c r="AN391" s="289"/>
      <c r="AO391" s="289"/>
      <c r="AP391" s="289"/>
      <c r="AQ391" s="289"/>
      <c r="AR391" s="289"/>
      <c r="AS391" s="289"/>
      <c r="AT391" s="289"/>
      <c r="AU391" s="289"/>
      <c r="AV391" s="289"/>
      <c r="AW391" s="289"/>
      <c r="AX391" s="289"/>
      <c r="AY391" s="289"/>
    </row>
    <row r="392" spans="1:51" ht="13.5" customHeight="1">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c r="AA392" s="289"/>
      <c r="AB392" s="289"/>
      <c r="AC392" s="289"/>
      <c r="AD392" s="289"/>
      <c r="AE392" s="289"/>
      <c r="AF392" s="289"/>
      <c r="AG392" s="289"/>
      <c r="AH392" s="289"/>
      <c r="AI392" s="289"/>
      <c r="AJ392" s="289"/>
      <c r="AK392" s="289"/>
      <c r="AL392" s="289"/>
      <c r="AM392" s="289"/>
      <c r="AN392" s="289"/>
      <c r="AO392" s="289"/>
      <c r="AP392" s="289"/>
      <c r="AQ392" s="289"/>
      <c r="AR392" s="289"/>
      <c r="AS392" s="289"/>
      <c r="AT392" s="289"/>
      <c r="AU392" s="289"/>
      <c r="AV392" s="289"/>
      <c r="AW392" s="289"/>
      <c r="AX392" s="289"/>
      <c r="AY392" s="289"/>
    </row>
    <row r="393" spans="1:51" ht="13.5" customHeight="1">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c r="AA393" s="289"/>
      <c r="AB393" s="289"/>
      <c r="AC393" s="289"/>
      <c r="AD393" s="289"/>
      <c r="AE393" s="289"/>
      <c r="AF393" s="289"/>
      <c r="AG393" s="289"/>
      <c r="AH393" s="289"/>
      <c r="AI393" s="289"/>
      <c r="AJ393" s="289"/>
      <c r="AK393" s="289"/>
      <c r="AL393" s="289"/>
      <c r="AM393" s="289"/>
      <c r="AN393" s="289"/>
      <c r="AO393" s="289"/>
      <c r="AP393" s="289"/>
      <c r="AQ393" s="289"/>
      <c r="AR393" s="289"/>
      <c r="AS393" s="289"/>
      <c r="AT393" s="289"/>
      <c r="AU393" s="289"/>
      <c r="AV393" s="289"/>
      <c r="AW393" s="289"/>
      <c r="AX393" s="289"/>
      <c r="AY393" s="289"/>
    </row>
    <row r="394" spans="1:51" ht="13.5" customHeight="1">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c r="AA394" s="289"/>
      <c r="AB394" s="289"/>
      <c r="AC394" s="289"/>
      <c r="AD394" s="289"/>
      <c r="AE394" s="289"/>
      <c r="AF394" s="289"/>
      <c r="AG394" s="289"/>
      <c r="AH394" s="289"/>
      <c r="AI394" s="289"/>
      <c r="AJ394" s="289"/>
      <c r="AK394" s="289"/>
      <c r="AL394" s="289"/>
      <c r="AM394" s="289"/>
      <c r="AN394" s="289"/>
      <c r="AO394" s="289"/>
      <c r="AP394" s="289"/>
      <c r="AQ394" s="289"/>
      <c r="AR394" s="289"/>
      <c r="AS394" s="289"/>
      <c r="AT394" s="289"/>
      <c r="AU394" s="289"/>
      <c r="AV394" s="289"/>
      <c r="AW394" s="289"/>
      <c r="AX394" s="289"/>
      <c r="AY394" s="289"/>
    </row>
    <row r="395" spans="1:51" ht="13.5" customHeight="1">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c r="AA395" s="289"/>
      <c r="AB395" s="289"/>
      <c r="AC395" s="289"/>
      <c r="AD395" s="289"/>
      <c r="AE395" s="289"/>
      <c r="AF395" s="289"/>
      <c r="AG395" s="289"/>
      <c r="AH395" s="289"/>
      <c r="AI395" s="289"/>
      <c r="AJ395" s="289"/>
      <c r="AK395" s="289"/>
      <c r="AL395" s="289"/>
      <c r="AM395" s="289"/>
      <c r="AN395" s="289"/>
      <c r="AO395" s="289"/>
      <c r="AP395" s="289"/>
      <c r="AQ395" s="289"/>
      <c r="AR395" s="289"/>
      <c r="AS395" s="289"/>
      <c r="AT395" s="289"/>
      <c r="AU395" s="289"/>
      <c r="AV395" s="289"/>
      <c r="AW395" s="289"/>
      <c r="AX395" s="289"/>
      <c r="AY395" s="289"/>
    </row>
    <row r="396" spans="1:51" ht="13.5" customHeight="1">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c r="AA396" s="289"/>
      <c r="AB396" s="289"/>
      <c r="AC396" s="289"/>
      <c r="AD396" s="289"/>
      <c r="AE396" s="289"/>
      <c r="AF396" s="289"/>
      <c r="AG396" s="289"/>
      <c r="AH396" s="289"/>
      <c r="AI396" s="289"/>
      <c r="AJ396" s="289"/>
      <c r="AK396" s="289"/>
      <c r="AL396" s="289"/>
      <c r="AM396" s="289"/>
      <c r="AN396" s="289"/>
      <c r="AO396" s="289"/>
      <c r="AP396" s="289"/>
      <c r="AQ396" s="289"/>
      <c r="AR396" s="289"/>
      <c r="AS396" s="289"/>
      <c r="AT396" s="289"/>
      <c r="AU396" s="289"/>
      <c r="AV396" s="289"/>
      <c r="AW396" s="289"/>
      <c r="AX396" s="289"/>
      <c r="AY396" s="289"/>
    </row>
    <row r="397" spans="1:51" ht="13.5" customHeight="1">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c r="AA397" s="289"/>
      <c r="AB397" s="289"/>
      <c r="AC397" s="289"/>
      <c r="AD397" s="289"/>
      <c r="AE397" s="289"/>
      <c r="AF397" s="289"/>
      <c r="AG397" s="289"/>
      <c r="AH397" s="289"/>
      <c r="AI397" s="289"/>
      <c r="AJ397" s="289"/>
      <c r="AK397" s="289"/>
      <c r="AL397" s="289"/>
      <c r="AM397" s="289"/>
      <c r="AN397" s="289"/>
      <c r="AO397" s="289"/>
      <c r="AP397" s="289"/>
      <c r="AQ397" s="289"/>
      <c r="AR397" s="289"/>
      <c r="AS397" s="289"/>
      <c r="AT397" s="289"/>
      <c r="AU397" s="289"/>
      <c r="AV397" s="289"/>
      <c r="AW397" s="289"/>
      <c r="AX397" s="289"/>
      <c r="AY397" s="289"/>
    </row>
    <row r="398" spans="1:51" ht="13.5" customHeight="1">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c r="AA398" s="289"/>
      <c r="AB398" s="289"/>
      <c r="AC398" s="289"/>
      <c r="AD398" s="289"/>
      <c r="AE398" s="289"/>
      <c r="AF398" s="289"/>
      <c r="AG398" s="289"/>
      <c r="AH398" s="289"/>
      <c r="AI398" s="289"/>
      <c r="AJ398" s="289"/>
      <c r="AK398" s="289"/>
      <c r="AL398" s="289"/>
      <c r="AM398" s="289"/>
      <c r="AN398" s="289"/>
      <c r="AO398" s="289"/>
      <c r="AP398" s="289"/>
      <c r="AQ398" s="289"/>
      <c r="AR398" s="289"/>
      <c r="AS398" s="289"/>
      <c r="AT398" s="289"/>
      <c r="AU398" s="289"/>
      <c r="AV398" s="289"/>
      <c r="AW398" s="289"/>
      <c r="AX398" s="289"/>
      <c r="AY398" s="289"/>
    </row>
    <row r="399" spans="1:51" ht="13.5" customHeight="1">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c r="AA399" s="289"/>
      <c r="AB399" s="289"/>
      <c r="AC399" s="289"/>
      <c r="AD399" s="289"/>
      <c r="AE399" s="289"/>
      <c r="AF399" s="289"/>
      <c r="AG399" s="289"/>
      <c r="AH399" s="289"/>
      <c r="AI399" s="289"/>
      <c r="AJ399" s="289"/>
      <c r="AK399" s="289"/>
      <c r="AL399" s="289"/>
      <c r="AM399" s="289"/>
      <c r="AN399" s="289"/>
      <c r="AO399" s="289"/>
      <c r="AP399" s="289"/>
      <c r="AQ399" s="289"/>
      <c r="AR399" s="289"/>
      <c r="AS399" s="289"/>
      <c r="AT399" s="289"/>
      <c r="AU399" s="289"/>
      <c r="AV399" s="289"/>
      <c r="AW399" s="289"/>
      <c r="AX399" s="289"/>
      <c r="AY399" s="289"/>
    </row>
    <row r="400" spans="1:51" ht="13.5" customHeight="1">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c r="AA400" s="289"/>
      <c r="AB400" s="289"/>
      <c r="AC400" s="289"/>
      <c r="AD400" s="289"/>
      <c r="AE400" s="289"/>
      <c r="AF400" s="289"/>
      <c r="AG400" s="289"/>
      <c r="AH400" s="289"/>
      <c r="AI400" s="289"/>
      <c r="AJ400" s="289"/>
      <c r="AK400" s="289"/>
      <c r="AL400" s="289"/>
      <c r="AM400" s="289"/>
      <c r="AN400" s="289"/>
      <c r="AO400" s="289"/>
      <c r="AP400" s="289"/>
      <c r="AQ400" s="289"/>
      <c r="AR400" s="289"/>
      <c r="AS400" s="289"/>
      <c r="AT400" s="289"/>
      <c r="AU400" s="289"/>
      <c r="AV400" s="289"/>
      <c r="AW400" s="289"/>
      <c r="AX400" s="289"/>
      <c r="AY400" s="289"/>
    </row>
    <row r="401" spans="1:51" ht="13.5" customHeight="1">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c r="AA401" s="289"/>
      <c r="AB401" s="289"/>
      <c r="AC401" s="289"/>
      <c r="AD401" s="289"/>
      <c r="AE401" s="289"/>
      <c r="AF401" s="289"/>
      <c r="AG401" s="289"/>
      <c r="AH401" s="289"/>
      <c r="AI401" s="289"/>
      <c r="AJ401" s="289"/>
      <c r="AK401" s="289"/>
      <c r="AL401" s="289"/>
      <c r="AM401" s="289"/>
      <c r="AN401" s="289"/>
      <c r="AO401" s="289"/>
      <c r="AP401" s="289"/>
      <c r="AQ401" s="289"/>
      <c r="AR401" s="289"/>
      <c r="AS401" s="289"/>
      <c r="AT401" s="289"/>
      <c r="AU401" s="289"/>
      <c r="AV401" s="289"/>
      <c r="AW401" s="289"/>
      <c r="AX401" s="289"/>
      <c r="AY401" s="289"/>
    </row>
    <row r="402" spans="1:51" ht="13.5" customHeight="1">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c r="AA402" s="289"/>
      <c r="AB402" s="289"/>
      <c r="AC402" s="289"/>
      <c r="AD402" s="289"/>
      <c r="AE402" s="289"/>
      <c r="AF402" s="289"/>
      <c r="AG402" s="289"/>
      <c r="AH402" s="289"/>
      <c r="AI402" s="289"/>
      <c r="AJ402" s="289"/>
      <c r="AK402" s="289"/>
      <c r="AL402" s="289"/>
      <c r="AM402" s="289"/>
      <c r="AN402" s="289"/>
      <c r="AO402" s="289"/>
      <c r="AP402" s="289"/>
      <c r="AQ402" s="289"/>
      <c r="AR402" s="289"/>
      <c r="AS402" s="289"/>
      <c r="AT402" s="289"/>
      <c r="AU402" s="289"/>
      <c r="AV402" s="289"/>
      <c r="AW402" s="289"/>
      <c r="AX402" s="289"/>
      <c r="AY402" s="289"/>
    </row>
    <row r="403" spans="1:51" ht="13.5" customHeight="1">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c r="AA403" s="289"/>
      <c r="AB403" s="289"/>
      <c r="AC403" s="289"/>
      <c r="AD403" s="289"/>
      <c r="AE403" s="289"/>
      <c r="AF403" s="289"/>
      <c r="AG403" s="289"/>
      <c r="AH403" s="289"/>
      <c r="AI403" s="289"/>
      <c r="AJ403" s="289"/>
      <c r="AK403" s="289"/>
      <c r="AL403" s="289"/>
      <c r="AM403" s="289"/>
      <c r="AN403" s="289"/>
      <c r="AO403" s="289"/>
      <c r="AP403" s="289"/>
      <c r="AQ403" s="289"/>
      <c r="AR403" s="289"/>
      <c r="AS403" s="289"/>
      <c r="AT403" s="289"/>
      <c r="AU403" s="289"/>
      <c r="AV403" s="289"/>
      <c r="AW403" s="289"/>
      <c r="AX403" s="289"/>
      <c r="AY403" s="289"/>
    </row>
    <row r="404" spans="1:51" ht="13.5" customHeight="1">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c r="AA404" s="289"/>
      <c r="AB404" s="289"/>
      <c r="AC404" s="289"/>
      <c r="AD404" s="289"/>
      <c r="AE404" s="289"/>
      <c r="AF404" s="289"/>
      <c r="AG404" s="289"/>
      <c r="AH404" s="289"/>
      <c r="AI404" s="289"/>
      <c r="AJ404" s="289"/>
      <c r="AK404" s="289"/>
      <c r="AL404" s="289"/>
      <c r="AM404" s="289"/>
      <c r="AN404" s="289"/>
      <c r="AO404" s="289"/>
      <c r="AP404" s="289"/>
      <c r="AQ404" s="289"/>
      <c r="AR404" s="289"/>
      <c r="AS404" s="289"/>
      <c r="AT404" s="289"/>
      <c r="AU404" s="289"/>
      <c r="AV404" s="289"/>
      <c r="AW404" s="289"/>
      <c r="AX404" s="289"/>
      <c r="AY404" s="289"/>
    </row>
    <row r="405" spans="1:51" ht="13.5" customHeight="1">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c r="AA405" s="289"/>
      <c r="AB405" s="289"/>
      <c r="AC405" s="289"/>
      <c r="AD405" s="289"/>
      <c r="AE405" s="289"/>
      <c r="AF405" s="289"/>
      <c r="AG405" s="289"/>
      <c r="AH405" s="289"/>
      <c r="AI405" s="289"/>
      <c r="AJ405" s="289"/>
      <c r="AK405" s="289"/>
      <c r="AL405" s="289"/>
      <c r="AM405" s="289"/>
      <c r="AN405" s="289"/>
      <c r="AO405" s="289"/>
      <c r="AP405" s="289"/>
      <c r="AQ405" s="289"/>
      <c r="AR405" s="289"/>
      <c r="AS405" s="289"/>
      <c r="AT405" s="289"/>
      <c r="AU405" s="289"/>
      <c r="AV405" s="289"/>
      <c r="AW405" s="289"/>
      <c r="AX405" s="289"/>
      <c r="AY405" s="289"/>
    </row>
    <row r="406" spans="1:51" ht="13.5" customHeight="1">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c r="AA406" s="289"/>
      <c r="AB406" s="289"/>
      <c r="AC406" s="289"/>
      <c r="AD406" s="289"/>
      <c r="AE406" s="289"/>
      <c r="AF406" s="289"/>
      <c r="AG406" s="289"/>
      <c r="AH406" s="289"/>
      <c r="AI406" s="289"/>
      <c r="AJ406" s="289"/>
      <c r="AK406" s="289"/>
      <c r="AL406" s="289"/>
      <c r="AM406" s="289"/>
      <c r="AN406" s="289"/>
      <c r="AO406" s="289"/>
      <c r="AP406" s="289"/>
      <c r="AQ406" s="289"/>
      <c r="AR406" s="289"/>
      <c r="AS406" s="289"/>
      <c r="AT406" s="289"/>
      <c r="AU406" s="289"/>
      <c r="AV406" s="289"/>
      <c r="AW406" s="289"/>
      <c r="AX406" s="289"/>
      <c r="AY406" s="289"/>
    </row>
    <row r="407" spans="1:51" ht="13.5" customHeight="1">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c r="AA407" s="289"/>
      <c r="AB407" s="289"/>
      <c r="AC407" s="289"/>
      <c r="AD407" s="289"/>
      <c r="AE407" s="289"/>
      <c r="AF407" s="289"/>
      <c r="AG407" s="289"/>
      <c r="AH407" s="289"/>
      <c r="AI407" s="289"/>
      <c r="AJ407" s="289"/>
      <c r="AK407" s="289"/>
      <c r="AL407" s="289"/>
      <c r="AM407" s="289"/>
      <c r="AN407" s="289"/>
      <c r="AO407" s="289"/>
      <c r="AP407" s="289"/>
      <c r="AQ407" s="289"/>
      <c r="AR407" s="289"/>
      <c r="AS407" s="289"/>
      <c r="AT407" s="289"/>
      <c r="AU407" s="289"/>
      <c r="AV407" s="289"/>
      <c r="AW407" s="289"/>
      <c r="AX407" s="289"/>
      <c r="AY407" s="289"/>
    </row>
    <row r="408" spans="1:51" ht="13.5" customHeight="1">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c r="AA408" s="289"/>
      <c r="AB408" s="289"/>
      <c r="AC408" s="289"/>
      <c r="AD408" s="289"/>
      <c r="AE408" s="289"/>
      <c r="AF408" s="289"/>
      <c r="AG408" s="289"/>
      <c r="AH408" s="289"/>
      <c r="AI408" s="289"/>
      <c r="AJ408" s="289"/>
      <c r="AK408" s="289"/>
      <c r="AL408" s="289"/>
      <c r="AM408" s="289"/>
      <c r="AN408" s="289"/>
      <c r="AO408" s="289"/>
      <c r="AP408" s="289"/>
      <c r="AQ408" s="289"/>
      <c r="AR408" s="289"/>
      <c r="AS408" s="289"/>
      <c r="AT408" s="289"/>
      <c r="AU408" s="289"/>
      <c r="AV408" s="289"/>
      <c r="AW408" s="289"/>
      <c r="AX408" s="289"/>
      <c r="AY408" s="289"/>
    </row>
    <row r="409" spans="1:51" ht="13.5" customHeight="1">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c r="AA409" s="289"/>
      <c r="AB409" s="289"/>
      <c r="AC409" s="289"/>
      <c r="AD409" s="289"/>
      <c r="AE409" s="289"/>
      <c r="AF409" s="289"/>
      <c r="AG409" s="289"/>
      <c r="AH409" s="289"/>
      <c r="AI409" s="289"/>
      <c r="AJ409" s="289"/>
      <c r="AK409" s="289"/>
      <c r="AL409" s="289"/>
      <c r="AM409" s="289"/>
      <c r="AN409" s="289"/>
      <c r="AO409" s="289"/>
      <c r="AP409" s="289"/>
      <c r="AQ409" s="289"/>
      <c r="AR409" s="289"/>
      <c r="AS409" s="289"/>
      <c r="AT409" s="289"/>
      <c r="AU409" s="289"/>
      <c r="AV409" s="289"/>
      <c r="AW409" s="289"/>
      <c r="AX409" s="289"/>
      <c r="AY409" s="289"/>
    </row>
    <row r="410" spans="1:51" ht="13.5" customHeight="1">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c r="AA410" s="289"/>
      <c r="AB410" s="289"/>
      <c r="AC410" s="289"/>
      <c r="AD410" s="289"/>
      <c r="AE410" s="289"/>
      <c r="AF410" s="289"/>
      <c r="AG410" s="289"/>
      <c r="AH410" s="289"/>
      <c r="AI410" s="289"/>
      <c r="AJ410" s="289"/>
      <c r="AK410" s="289"/>
      <c r="AL410" s="289"/>
      <c r="AM410" s="289"/>
      <c r="AN410" s="289"/>
      <c r="AO410" s="289"/>
      <c r="AP410" s="289"/>
      <c r="AQ410" s="289"/>
      <c r="AR410" s="289"/>
      <c r="AS410" s="289"/>
      <c r="AT410" s="289"/>
      <c r="AU410" s="289"/>
      <c r="AV410" s="289"/>
      <c r="AW410" s="289"/>
      <c r="AX410" s="289"/>
      <c r="AY410" s="289"/>
    </row>
    <row r="411" spans="1:51" ht="13.5" customHeight="1">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c r="AA411" s="289"/>
      <c r="AB411" s="289"/>
      <c r="AC411" s="289"/>
      <c r="AD411" s="289"/>
      <c r="AE411" s="289"/>
      <c r="AF411" s="289"/>
      <c r="AG411" s="289"/>
      <c r="AH411" s="289"/>
      <c r="AI411" s="289"/>
      <c r="AJ411" s="289"/>
      <c r="AK411" s="289"/>
      <c r="AL411" s="289"/>
      <c r="AM411" s="289"/>
      <c r="AN411" s="289"/>
      <c r="AO411" s="289"/>
      <c r="AP411" s="289"/>
      <c r="AQ411" s="289"/>
      <c r="AR411" s="289"/>
      <c r="AS411" s="289"/>
      <c r="AT411" s="289"/>
      <c r="AU411" s="289"/>
      <c r="AV411" s="289"/>
      <c r="AW411" s="289"/>
      <c r="AX411" s="289"/>
      <c r="AY411" s="289"/>
    </row>
    <row r="412" spans="1:51" ht="13.5" customHeight="1">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c r="AA412" s="289"/>
      <c r="AB412" s="289"/>
      <c r="AC412" s="289"/>
      <c r="AD412" s="289"/>
      <c r="AE412" s="289"/>
      <c r="AF412" s="289"/>
      <c r="AG412" s="289"/>
      <c r="AH412" s="289"/>
      <c r="AI412" s="289"/>
      <c r="AJ412" s="289"/>
      <c r="AK412" s="289"/>
      <c r="AL412" s="289"/>
      <c r="AM412" s="289"/>
      <c r="AN412" s="289"/>
      <c r="AO412" s="289"/>
      <c r="AP412" s="289"/>
      <c r="AQ412" s="289"/>
      <c r="AR412" s="289"/>
      <c r="AS412" s="289"/>
      <c r="AT412" s="289"/>
      <c r="AU412" s="289"/>
      <c r="AV412" s="289"/>
      <c r="AW412" s="289"/>
      <c r="AX412" s="289"/>
      <c r="AY412" s="289"/>
    </row>
    <row r="413" spans="1:51" ht="13.5" customHeight="1">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c r="AA413" s="289"/>
      <c r="AB413" s="289"/>
      <c r="AC413" s="289"/>
      <c r="AD413" s="289"/>
      <c r="AE413" s="289"/>
      <c r="AF413" s="289"/>
      <c r="AG413" s="289"/>
      <c r="AH413" s="289"/>
      <c r="AI413" s="289"/>
      <c r="AJ413" s="289"/>
      <c r="AK413" s="289"/>
      <c r="AL413" s="289"/>
      <c r="AM413" s="289"/>
      <c r="AN413" s="289"/>
      <c r="AO413" s="289"/>
      <c r="AP413" s="289"/>
      <c r="AQ413" s="289"/>
      <c r="AR413" s="289"/>
      <c r="AS413" s="289"/>
      <c r="AT413" s="289"/>
      <c r="AU413" s="289"/>
      <c r="AV413" s="289"/>
      <c r="AW413" s="289"/>
      <c r="AX413" s="289"/>
      <c r="AY413" s="289"/>
    </row>
    <row r="414" spans="1:51" ht="13.5" customHeight="1">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c r="AA414" s="289"/>
      <c r="AB414" s="289"/>
      <c r="AC414" s="289"/>
      <c r="AD414" s="289"/>
      <c r="AE414" s="289"/>
      <c r="AF414" s="289"/>
      <c r="AG414" s="289"/>
      <c r="AH414" s="289"/>
      <c r="AI414" s="289"/>
      <c r="AJ414" s="289"/>
      <c r="AK414" s="289"/>
      <c r="AL414" s="289"/>
      <c r="AM414" s="289"/>
      <c r="AN414" s="289"/>
      <c r="AO414" s="289"/>
      <c r="AP414" s="289"/>
      <c r="AQ414" s="289"/>
      <c r="AR414" s="289"/>
      <c r="AS414" s="289"/>
      <c r="AT414" s="289"/>
      <c r="AU414" s="289"/>
      <c r="AV414" s="289"/>
      <c r="AW414" s="289"/>
      <c r="AX414" s="289"/>
      <c r="AY414" s="289"/>
    </row>
    <row r="415" spans="1:51" ht="13.5" customHeight="1">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c r="AA415" s="289"/>
      <c r="AB415" s="289"/>
      <c r="AC415" s="289"/>
      <c r="AD415" s="289"/>
      <c r="AE415" s="289"/>
      <c r="AF415" s="289"/>
      <c r="AG415" s="289"/>
      <c r="AH415" s="289"/>
      <c r="AI415" s="289"/>
      <c r="AJ415" s="289"/>
      <c r="AK415" s="289"/>
      <c r="AL415" s="289"/>
      <c r="AM415" s="289"/>
      <c r="AN415" s="289"/>
      <c r="AO415" s="289"/>
      <c r="AP415" s="289"/>
      <c r="AQ415" s="289"/>
      <c r="AR415" s="289"/>
      <c r="AS415" s="289"/>
      <c r="AT415" s="289"/>
      <c r="AU415" s="289"/>
      <c r="AV415" s="289"/>
      <c r="AW415" s="289"/>
      <c r="AX415" s="289"/>
      <c r="AY415" s="289"/>
    </row>
    <row r="416" spans="1:51" ht="13.5" customHeight="1">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c r="AA416" s="289"/>
      <c r="AB416" s="289"/>
      <c r="AC416" s="289"/>
      <c r="AD416" s="289"/>
      <c r="AE416" s="289"/>
      <c r="AF416" s="289"/>
      <c r="AG416" s="289"/>
      <c r="AH416" s="289"/>
      <c r="AI416" s="289"/>
      <c r="AJ416" s="289"/>
      <c r="AK416" s="289"/>
      <c r="AL416" s="289"/>
      <c r="AM416" s="289"/>
      <c r="AN416" s="289"/>
      <c r="AO416" s="289"/>
      <c r="AP416" s="289"/>
      <c r="AQ416" s="289"/>
      <c r="AR416" s="289"/>
      <c r="AS416" s="289"/>
      <c r="AT416" s="289"/>
      <c r="AU416" s="289"/>
      <c r="AV416" s="289"/>
      <c r="AW416" s="289"/>
      <c r="AX416" s="289"/>
      <c r="AY416" s="289"/>
    </row>
    <row r="417" spans="1:51" ht="13.5" customHeight="1">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c r="AA417" s="289"/>
      <c r="AB417" s="289"/>
      <c r="AC417" s="289"/>
      <c r="AD417" s="289"/>
      <c r="AE417" s="289"/>
      <c r="AF417" s="289"/>
      <c r="AG417" s="289"/>
      <c r="AH417" s="289"/>
      <c r="AI417" s="289"/>
      <c r="AJ417" s="289"/>
      <c r="AK417" s="289"/>
      <c r="AL417" s="289"/>
      <c r="AM417" s="289"/>
      <c r="AN417" s="289"/>
      <c r="AO417" s="289"/>
      <c r="AP417" s="289"/>
      <c r="AQ417" s="289"/>
      <c r="AR417" s="289"/>
      <c r="AS417" s="289"/>
      <c r="AT417" s="289"/>
      <c r="AU417" s="289"/>
      <c r="AV417" s="289"/>
      <c r="AW417" s="289"/>
      <c r="AX417" s="289"/>
      <c r="AY417" s="289"/>
    </row>
    <row r="418" spans="1:51" ht="13.5" customHeight="1">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c r="AA418" s="289"/>
      <c r="AB418" s="289"/>
      <c r="AC418" s="289"/>
      <c r="AD418" s="289"/>
      <c r="AE418" s="289"/>
      <c r="AF418" s="289"/>
      <c r="AG418" s="289"/>
      <c r="AH418" s="289"/>
      <c r="AI418" s="289"/>
      <c r="AJ418" s="289"/>
      <c r="AK418" s="289"/>
      <c r="AL418" s="289"/>
      <c r="AM418" s="289"/>
      <c r="AN418" s="289"/>
      <c r="AO418" s="289"/>
      <c r="AP418" s="289"/>
      <c r="AQ418" s="289"/>
      <c r="AR418" s="289"/>
      <c r="AS418" s="289"/>
      <c r="AT418" s="289"/>
      <c r="AU418" s="289"/>
      <c r="AV418" s="289"/>
      <c r="AW418" s="289"/>
      <c r="AX418" s="289"/>
      <c r="AY418" s="289"/>
    </row>
    <row r="419" spans="1:51" ht="13.5" customHeight="1">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c r="AA419" s="289"/>
      <c r="AB419" s="289"/>
      <c r="AC419" s="289"/>
      <c r="AD419" s="289"/>
      <c r="AE419" s="289"/>
      <c r="AF419" s="289"/>
      <c r="AG419" s="289"/>
      <c r="AH419" s="289"/>
      <c r="AI419" s="289"/>
      <c r="AJ419" s="289"/>
      <c r="AK419" s="289"/>
      <c r="AL419" s="289"/>
      <c r="AM419" s="289"/>
      <c r="AN419" s="289"/>
      <c r="AO419" s="289"/>
      <c r="AP419" s="289"/>
      <c r="AQ419" s="289"/>
      <c r="AR419" s="289"/>
      <c r="AS419" s="289"/>
      <c r="AT419" s="289"/>
      <c r="AU419" s="289"/>
      <c r="AV419" s="289"/>
      <c r="AW419" s="289"/>
      <c r="AX419" s="289"/>
      <c r="AY419" s="289"/>
    </row>
    <row r="420" spans="1:51" ht="13.5" customHeight="1">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c r="AA420" s="289"/>
      <c r="AB420" s="289"/>
      <c r="AC420" s="289"/>
      <c r="AD420" s="289"/>
      <c r="AE420" s="289"/>
      <c r="AF420" s="289"/>
      <c r="AG420" s="289"/>
      <c r="AH420" s="289"/>
      <c r="AI420" s="289"/>
      <c r="AJ420" s="289"/>
      <c r="AK420" s="289"/>
      <c r="AL420" s="289"/>
      <c r="AM420" s="289"/>
      <c r="AN420" s="289"/>
      <c r="AO420" s="289"/>
      <c r="AP420" s="289"/>
      <c r="AQ420" s="289"/>
      <c r="AR420" s="289"/>
      <c r="AS420" s="289"/>
      <c r="AT420" s="289"/>
      <c r="AU420" s="289"/>
      <c r="AV420" s="289"/>
      <c r="AW420" s="289"/>
      <c r="AX420" s="289"/>
      <c r="AY420" s="289"/>
    </row>
    <row r="421" spans="1:51" ht="13.5" customHeight="1">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c r="AA421" s="289"/>
      <c r="AB421" s="289"/>
      <c r="AC421" s="289"/>
      <c r="AD421" s="289"/>
      <c r="AE421" s="289"/>
      <c r="AF421" s="289"/>
      <c r="AG421" s="289"/>
      <c r="AH421" s="289"/>
      <c r="AI421" s="289"/>
      <c r="AJ421" s="289"/>
      <c r="AK421" s="289"/>
      <c r="AL421" s="289"/>
      <c r="AM421" s="289"/>
      <c r="AN421" s="289"/>
      <c r="AO421" s="289"/>
      <c r="AP421" s="289"/>
      <c r="AQ421" s="289"/>
      <c r="AR421" s="289"/>
      <c r="AS421" s="289"/>
      <c r="AT421" s="289"/>
      <c r="AU421" s="289"/>
      <c r="AV421" s="289"/>
      <c r="AW421" s="289"/>
      <c r="AX421" s="289"/>
      <c r="AY421" s="289"/>
    </row>
    <row r="422" spans="1:51" ht="13.5" customHeight="1">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c r="AA422" s="289"/>
      <c r="AB422" s="289"/>
      <c r="AC422" s="289"/>
      <c r="AD422" s="289"/>
      <c r="AE422" s="289"/>
      <c r="AF422" s="289"/>
      <c r="AG422" s="289"/>
      <c r="AH422" s="289"/>
      <c r="AI422" s="289"/>
      <c r="AJ422" s="289"/>
      <c r="AK422" s="289"/>
      <c r="AL422" s="289"/>
      <c r="AM422" s="289"/>
      <c r="AN422" s="289"/>
      <c r="AO422" s="289"/>
      <c r="AP422" s="289"/>
      <c r="AQ422" s="289"/>
      <c r="AR422" s="289"/>
      <c r="AS422" s="289"/>
      <c r="AT422" s="289"/>
      <c r="AU422" s="289"/>
      <c r="AV422" s="289"/>
      <c r="AW422" s="289"/>
      <c r="AX422" s="289"/>
      <c r="AY422" s="289"/>
    </row>
    <row r="423" spans="1:51" ht="13.5" customHeight="1">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c r="AA423" s="289"/>
      <c r="AB423" s="289"/>
      <c r="AC423" s="289"/>
      <c r="AD423" s="289"/>
      <c r="AE423" s="289"/>
      <c r="AF423" s="289"/>
      <c r="AG423" s="289"/>
      <c r="AH423" s="289"/>
      <c r="AI423" s="289"/>
      <c r="AJ423" s="289"/>
      <c r="AK423" s="289"/>
      <c r="AL423" s="289"/>
      <c r="AM423" s="289"/>
      <c r="AN423" s="289"/>
      <c r="AO423" s="289"/>
      <c r="AP423" s="289"/>
      <c r="AQ423" s="289"/>
      <c r="AR423" s="289"/>
      <c r="AS423" s="289"/>
      <c r="AT423" s="289"/>
      <c r="AU423" s="289"/>
      <c r="AV423" s="289"/>
      <c r="AW423" s="289"/>
      <c r="AX423" s="289"/>
      <c r="AY423" s="289"/>
    </row>
    <row r="424" spans="1:51" ht="13.5" customHeight="1">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c r="AA424" s="289"/>
      <c r="AB424" s="289"/>
      <c r="AC424" s="289"/>
      <c r="AD424" s="289"/>
      <c r="AE424" s="289"/>
      <c r="AF424" s="289"/>
      <c r="AG424" s="289"/>
      <c r="AH424" s="289"/>
      <c r="AI424" s="289"/>
      <c r="AJ424" s="289"/>
      <c r="AK424" s="289"/>
      <c r="AL424" s="289"/>
      <c r="AM424" s="289"/>
      <c r="AN424" s="289"/>
      <c r="AO424" s="289"/>
      <c r="AP424" s="289"/>
      <c r="AQ424" s="289"/>
      <c r="AR424" s="289"/>
      <c r="AS424" s="289"/>
      <c r="AT424" s="289"/>
      <c r="AU424" s="289"/>
      <c r="AV424" s="289"/>
      <c r="AW424" s="289"/>
      <c r="AX424" s="289"/>
      <c r="AY424" s="289"/>
    </row>
    <row r="425" spans="1:51" ht="13.5" customHeight="1">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c r="AA425" s="289"/>
      <c r="AB425" s="289"/>
      <c r="AC425" s="289"/>
      <c r="AD425" s="289"/>
      <c r="AE425" s="289"/>
      <c r="AF425" s="289"/>
      <c r="AG425" s="289"/>
      <c r="AH425" s="289"/>
      <c r="AI425" s="289"/>
      <c r="AJ425" s="289"/>
      <c r="AK425" s="289"/>
      <c r="AL425" s="289"/>
      <c r="AM425" s="289"/>
      <c r="AN425" s="289"/>
      <c r="AO425" s="289"/>
      <c r="AP425" s="289"/>
      <c r="AQ425" s="289"/>
      <c r="AR425" s="289"/>
      <c r="AS425" s="289"/>
      <c r="AT425" s="289"/>
      <c r="AU425" s="289"/>
      <c r="AV425" s="289"/>
      <c r="AW425" s="289"/>
      <c r="AX425" s="289"/>
      <c r="AY425" s="289"/>
    </row>
    <row r="426" spans="1:51" ht="13.5" customHeight="1">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c r="AA426" s="289"/>
      <c r="AB426" s="289"/>
      <c r="AC426" s="289"/>
      <c r="AD426" s="289"/>
      <c r="AE426" s="289"/>
      <c r="AF426" s="289"/>
      <c r="AG426" s="289"/>
      <c r="AH426" s="289"/>
      <c r="AI426" s="289"/>
      <c r="AJ426" s="289"/>
      <c r="AK426" s="289"/>
      <c r="AL426" s="289"/>
      <c r="AM426" s="289"/>
      <c r="AN426" s="289"/>
      <c r="AO426" s="289"/>
      <c r="AP426" s="289"/>
      <c r="AQ426" s="289"/>
      <c r="AR426" s="289"/>
      <c r="AS426" s="289"/>
      <c r="AT426" s="289"/>
      <c r="AU426" s="289"/>
      <c r="AV426" s="289"/>
      <c r="AW426" s="289"/>
      <c r="AX426" s="289"/>
      <c r="AY426" s="289"/>
    </row>
    <row r="427" spans="1:51" ht="13.5" customHeight="1">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c r="AA427" s="289"/>
      <c r="AB427" s="289"/>
      <c r="AC427" s="289"/>
      <c r="AD427" s="289"/>
      <c r="AE427" s="289"/>
      <c r="AF427" s="289"/>
      <c r="AG427" s="289"/>
      <c r="AH427" s="289"/>
      <c r="AI427" s="289"/>
      <c r="AJ427" s="289"/>
      <c r="AK427" s="289"/>
      <c r="AL427" s="289"/>
      <c r="AM427" s="289"/>
      <c r="AN427" s="289"/>
      <c r="AO427" s="289"/>
      <c r="AP427" s="289"/>
      <c r="AQ427" s="289"/>
      <c r="AR427" s="289"/>
      <c r="AS427" s="289"/>
      <c r="AT427" s="289"/>
      <c r="AU427" s="289"/>
      <c r="AV427" s="289"/>
      <c r="AW427" s="289"/>
      <c r="AX427" s="289"/>
      <c r="AY427" s="289"/>
    </row>
    <row r="428" spans="1:51" ht="13.5" customHeight="1">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c r="AA428" s="289"/>
      <c r="AB428" s="289"/>
      <c r="AC428" s="289"/>
      <c r="AD428" s="289"/>
      <c r="AE428" s="289"/>
      <c r="AF428" s="289"/>
      <c r="AG428" s="289"/>
      <c r="AH428" s="289"/>
      <c r="AI428" s="289"/>
      <c r="AJ428" s="289"/>
      <c r="AK428" s="289"/>
      <c r="AL428" s="289"/>
      <c r="AM428" s="289"/>
      <c r="AN428" s="289"/>
      <c r="AO428" s="289"/>
      <c r="AP428" s="289"/>
      <c r="AQ428" s="289"/>
      <c r="AR428" s="289"/>
      <c r="AS428" s="289"/>
      <c r="AT428" s="289"/>
      <c r="AU428" s="289"/>
      <c r="AV428" s="289"/>
      <c r="AW428" s="289"/>
      <c r="AX428" s="289"/>
      <c r="AY428" s="289"/>
    </row>
    <row r="429" spans="1:51" ht="13.5" customHeight="1">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c r="AA429" s="289"/>
      <c r="AB429" s="289"/>
      <c r="AC429" s="289"/>
      <c r="AD429" s="289"/>
      <c r="AE429" s="289"/>
      <c r="AF429" s="289"/>
      <c r="AG429" s="289"/>
      <c r="AH429" s="289"/>
      <c r="AI429" s="289"/>
      <c r="AJ429" s="289"/>
      <c r="AK429" s="289"/>
      <c r="AL429" s="289"/>
      <c r="AM429" s="289"/>
      <c r="AN429" s="289"/>
      <c r="AO429" s="289"/>
      <c r="AP429" s="289"/>
      <c r="AQ429" s="289"/>
      <c r="AR429" s="289"/>
      <c r="AS429" s="289"/>
      <c r="AT429" s="289"/>
      <c r="AU429" s="289"/>
      <c r="AV429" s="289"/>
      <c r="AW429" s="289"/>
      <c r="AX429" s="289"/>
      <c r="AY429" s="289"/>
    </row>
    <row r="430" spans="1:51" ht="13.5" customHeight="1">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c r="AA430" s="289"/>
      <c r="AB430" s="289"/>
      <c r="AC430" s="289"/>
      <c r="AD430" s="289"/>
      <c r="AE430" s="289"/>
      <c r="AF430" s="289"/>
      <c r="AG430" s="289"/>
      <c r="AH430" s="289"/>
      <c r="AI430" s="289"/>
      <c r="AJ430" s="289"/>
      <c r="AK430" s="289"/>
      <c r="AL430" s="289"/>
      <c r="AM430" s="289"/>
      <c r="AN430" s="289"/>
      <c r="AO430" s="289"/>
      <c r="AP430" s="289"/>
      <c r="AQ430" s="289"/>
      <c r="AR430" s="289"/>
      <c r="AS430" s="289"/>
      <c r="AT430" s="289"/>
      <c r="AU430" s="289"/>
      <c r="AV430" s="289"/>
      <c r="AW430" s="289"/>
      <c r="AX430" s="289"/>
      <c r="AY430" s="289"/>
    </row>
    <row r="431" spans="1:51" ht="13.5" customHeight="1">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c r="AA431" s="289"/>
      <c r="AB431" s="289"/>
      <c r="AC431" s="289"/>
      <c r="AD431" s="289"/>
      <c r="AE431" s="289"/>
      <c r="AF431" s="289"/>
      <c r="AG431" s="289"/>
      <c r="AH431" s="289"/>
      <c r="AI431" s="289"/>
      <c r="AJ431" s="289"/>
      <c r="AK431" s="289"/>
      <c r="AL431" s="289"/>
      <c r="AM431" s="289"/>
      <c r="AN431" s="289"/>
      <c r="AO431" s="289"/>
      <c r="AP431" s="289"/>
      <c r="AQ431" s="289"/>
      <c r="AR431" s="289"/>
      <c r="AS431" s="289"/>
      <c r="AT431" s="289"/>
      <c r="AU431" s="289"/>
      <c r="AV431" s="289"/>
      <c r="AW431" s="289"/>
      <c r="AX431" s="289"/>
      <c r="AY431" s="289"/>
    </row>
    <row r="432" spans="1:51" ht="13.5" customHeight="1">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c r="AA432" s="289"/>
      <c r="AB432" s="289"/>
      <c r="AC432" s="289"/>
      <c r="AD432" s="289"/>
      <c r="AE432" s="289"/>
      <c r="AF432" s="289"/>
      <c r="AG432" s="289"/>
      <c r="AH432" s="289"/>
      <c r="AI432" s="289"/>
      <c r="AJ432" s="289"/>
      <c r="AK432" s="289"/>
      <c r="AL432" s="289"/>
      <c r="AM432" s="289"/>
      <c r="AN432" s="289"/>
      <c r="AO432" s="289"/>
      <c r="AP432" s="289"/>
      <c r="AQ432" s="289"/>
      <c r="AR432" s="289"/>
      <c r="AS432" s="289"/>
      <c r="AT432" s="289"/>
      <c r="AU432" s="289"/>
      <c r="AV432" s="289"/>
      <c r="AW432" s="289"/>
      <c r="AX432" s="289"/>
      <c r="AY432" s="289"/>
    </row>
    <row r="433" spans="1:51" ht="13.5" customHeight="1">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c r="AA433" s="289"/>
      <c r="AB433" s="289"/>
      <c r="AC433" s="289"/>
      <c r="AD433" s="289"/>
      <c r="AE433" s="289"/>
      <c r="AF433" s="289"/>
      <c r="AG433" s="289"/>
      <c r="AH433" s="289"/>
      <c r="AI433" s="289"/>
      <c r="AJ433" s="289"/>
      <c r="AK433" s="289"/>
      <c r="AL433" s="289"/>
      <c r="AM433" s="289"/>
      <c r="AN433" s="289"/>
      <c r="AO433" s="289"/>
      <c r="AP433" s="289"/>
      <c r="AQ433" s="289"/>
      <c r="AR433" s="289"/>
      <c r="AS433" s="289"/>
      <c r="AT433" s="289"/>
      <c r="AU433" s="289"/>
      <c r="AV433" s="289"/>
      <c r="AW433" s="289"/>
      <c r="AX433" s="289"/>
      <c r="AY433" s="289"/>
    </row>
    <row r="434" spans="1:51" ht="13.5" customHeight="1">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c r="AA434" s="289"/>
      <c r="AB434" s="289"/>
      <c r="AC434" s="289"/>
      <c r="AD434" s="289"/>
      <c r="AE434" s="289"/>
      <c r="AF434" s="289"/>
      <c r="AG434" s="289"/>
      <c r="AH434" s="289"/>
      <c r="AI434" s="289"/>
      <c r="AJ434" s="289"/>
      <c r="AK434" s="289"/>
      <c r="AL434" s="289"/>
      <c r="AM434" s="289"/>
      <c r="AN434" s="289"/>
      <c r="AO434" s="289"/>
      <c r="AP434" s="289"/>
      <c r="AQ434" s="289"/>
      <c r="AR434" s="289"/>
      <c r="AS434" s="289"/>
      <c r="AT434" s="289"/>
      <c r="AU434" s="289"/>
      <c r="AV434" s="289"/>
      <c r="AW434" s="289"/>
      <c r="AX434" s="289"/>
      <c r="AY434" s="289"/>
    </row>
    <row r="435" spans="1:51" ht="13.5" customHeight="1">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c r="AA435" s="289"/>
      <c r="AB435" s="289"/>
      <c r="AC435" s="289"/>
      <c r="AD435" s="289"/>
      <c r="AE435" s="289"/>
      <c r="AF435" s="289"/>
      <c r="AG435" s="289"/>
      <c r="AH435" s="289"/>
      <c r="AI435" s="289"/>
      <c r="AJ435" s="289"/>
      <c r="AK435" s="289"/>
      <c r="AL435" s="289"/>
      <c r="AM435" s="289"/>
      <c r="AN435" s="289"/>
      <c r="AO435" s="289"/>
      <c r="AP435" s="289"/>
      <c r="AQ435" s="289"/>
      <c r="AR435" s="289"/>
      <c r="AS435" s="289"/>
      <c r="AT435" s="289"/>
      <c r="AU435" s="289"/>
      <c r="AV435" s="289"/>
      <c r="AW435" s="289"/>
      <c r="AX435" s="289"/>
      <c r="AY435" s="289"/>
    </row>
    <row r="436" spans="1:51" ht="13.5" customHeight="1">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c r="AA436" s="289"/>
      <c r="AB436" s="289"/>
      <c r="AC436" s="289"/>
      <c r="AD436" s="289"/>
      <c r="AE436" s="289"/>
      <c r="AF436" s="289"/>
      <c r="AG436" s="289"/>
      <c r="AH436" s="289"/>
      <c r="AI436" s="289"/>
      <c r="AJ436" s="289"/>
      <c r="AK436" s="289"/>
      <c r="AL436" s="289"/>
      <c r="AM436" s="289"/>
      <c r="AN436" s="289"/>
      <c r="AO436" s="289"/>
      <c r="AP436" s="289"/>
      <c r="AQ436" s="289"/>
      <c r="AR436" s="289"/>
      <c r="AS436" s="289"/>
      <c r="AT436" s="289"/>
      <c r="AU436" s="289"/>
      <c r="AV436" s="289"/>
      <c r="AW436" s="289"/>
      <c r="AX436" s="289"/>
      <c r="AY436" s="289"/>
    </row>
    <row r="437" spans="1:51" ht="13.5" customHeight="1">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c r="AA437" s="289"/>
      <c r="AB437" s="289"/>
      <c r="AC437" s="289"/>
      <c r="AD437" s="289"/>
      <c r="AE437" s="289"/>
      <c r="AF437" s="289"/>
      <c r="AG437" s="289"/>
      <c r="AH437" s="289"/>
      <c r="AI437" s="289"/>
      <c r="AJ437" s="289"/>
      <c r="AK437" s="289"/>
      <c r="AL437" s="289"/>
      <c r="AM437" s="289"/>
      <c r="AN437" s="289"/>
      <c r="AO437" s="289"/>
      <c r="AP437" s="289"/>
      <c r="AQ437" s="289"/>
      <c r="AR437" s="289"/>
      <c r="AS437" s="289"/>
      <c r="AT437" s="289"/>
      <c r="AU437" s="289"/>
      <c r="AV437" s="289"/>
      <c r="AW437" s="289"/>
      <c r="AX437" s="289"/>
      <c r="AY437" s="289"/>
    </row>
    <row r="438" spans="1:51" ht="13.5" customHeight="1">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c r="AA438" s="289"/>
      <c r="AB438" s="289"/>
      <c r="AC438" s="289"/>
      <c r="AD438" s="289"/>
      <c r="AE438" s="289"/>
      <c r="AF438" s="289"/>
      <c r="AG438" s="289"/>
      <c r="AH438" s="289"/>
      <c r="AI438" s="289"/>
      <c r="AJ438" s="289"/>
      <c r="AK438" s="289"/>
      <c r="AL438" s="289"/>
      <c r="AM438" s="289"/>
      <c r="AN438" s="289"/>
      <c r="AO438" s="289"/>
      <c r="AP438" s="289"/>
      <c r="AQ438" s="289"/>
      <c r="AR438" s="289"/>
      <c r="AS438" s="289"/>
      <c r="AT438" s="289"/>
      <c r="AU438" s="289"/>
      <c r="AV438" s="289"/>
      <c r="AW438" s="289"/>
      <c r="AX438" s="289"/>
      <c r="AY438" s="289"/>
    </row>
    <row r="439" spans="1:51" ht="13.5" customHeight="1">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c r="AA439" s="289"/>
      <c r="AB439" s="289"/>
      <c r="AC439" s="289"/>
      <c r="AD439" s="289"/>
      <c r="AE439" s="289"/>
      <c r="AF439" s="289"/>
      <c r="AG439" s="289"/>
      <c r="AH439" s="289"/>
      <c r="AI439" s="289"/>
      <c r="AJ439" s="289"/>
      <c r="AK439" s="289"/>
      <c r="AL439" s="289"/>
      <c r="AM439" s="289"/>
      <c r="AN439" s="289"/>
      <c r="AO439" s="289"/>
      <c r="AP439" s="289"/>
      <c r="AQ439" s="289"/>
      <c r="AR439" s="289"/>
      <c r="AS439" s="289"/>
      <c r="AT439" s="289"/>
      <c r="AU439" s="289"/>
      <c r="AV439" s="289"/>
      <c r="AW439" s="289"/>
      <c r="AX439" s="289"/>
      <c r="AY439" s="289"/>
    </row>
    <row r="440" spans="1:51" ht="13.5" customHeight="1">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c r="AA440" s="289"/>
      <c r="AB440" s="289"/>
      <c r="AC440" s="289"/>
      <c r="AD440" s="289"/>
      <c r="AE440" s="289"/>
      <c r="AF440" s="289"/>
      <c r="AG440" s="289"/>
      <c r="AH440" s="289"/>
      <c r="AI440" s="289"/>
      <c r="AJ440" s="289"/>
      <c r="AK440" s="289"/>
      <c r="AL440" s="289"/>
      <c r="AM440" s="289"/>
      <c r="AN440" s="289"/>
      <c r="AO440" s="289"/>
      <c r="AP440" s="289"/>
      <c r="AQ440" s="289"/>
      <c r="AR440" s="289"/>
      <c r="AS440" s="289"/>
      <c r="AT440" s="289"/>
      <c r="AU440" s="289"/>
      <c r="AV440" s="289"/>
      <c r="AW440" s="289"/>
      <c r="AX440" s="289"/>
      <c r="AY440" s="289"/>
    </row>
    <row r="441" spans="1:51" ht="13.5" customHeight="1">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c r="AA441" s="289"/>
      <c r="AB441" s="289"/>
      <c r="AC441" s="289"/>
      <c r="AD441" s="289"/>
      <c r="AE441" s="289"/>
      <c r="AF441" s="289"/>
      <c r="AG441" s="289"/>
      <c r="AH441" s="289"/>
      <c r="AI441" s="289"/>
      <c r="AJ441" s="289"/>
      <c r="AK441" s="289"/>
      <c r="AL441" s="289"/>
      <c r="AM441" s="289"/>
      <c r="AN441" s="289"/>
      <c r="AO441" s="289"/>
      <c r="AP441" s="289"/>
      <c r="AQ441" s="289"/>
      <c r="AR441" s="289"/>
      <c r="AS441" s="289"/>
      <c r="AT441" s="289"/>
      <c r="AU441" s="289"/>
      <c r="AV441" s="289"/>
      <c r="AW441" s="289"/>
      <c r="AX441" s="289"/>
      <c r="AY441" s="289"/>
    </row>
    <row r="442" spans="1:51" ht="13.5" customHeight="1">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c r="AA442" s="289"/>
      <c r="AB442" s="289"/>
      <c r="AC442" s="289"/>
      <c r="AD442" s="289"/>
      <c r="AE442" s="289"/>
      <c r="AF442" s="289"/>
      <c r="AG442" s="289"/>
      <c r="AH442" s="289"/>
      <c r="AI442" s="289"/>
      <c r="AJ442" s="289"/>
      <c r="AK442" s="289"/>
      <c r="AL442" s="289"/>
      <c r="AM442" s="289"/>
      <c r="AN442" s="289"/>
      <c r="AO442" s="289"/>
      <c r="AP442" s="289"/>
      <c r="AQ442" s="289"/>
      <c r="AR442" s="289"/>
      <c r="AS442" s="289"/>
      <c r="AT442" s="289"/>
      <c r="AU442" s="289"/>
      <c r="AV442" s="289"/>
      <c r="AW442" s="289"/>
      <c r="AX442" s="289"/>
      <c r="AY442" s="289"/>
    </row>
    <row r="443" spans="1:51" ht="13.5" customHeight="1">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c r="AA443" s="289"/>
      <c r="AB443" s="289"/>
      <c r="AC443" s="289"/>
      <c r="AD443" s="289"/>
      <c r="AE443" s="289"/>
      <c r="AF443" s="289"/>
      <c r="AG443" s="289"/>
      <c r="AH443" s="289"/>
      <c r="AI443" s="289"/>
      <c r="AJ443" s="289"/>
      <c r="AK443" s="289"/>
      <c r="AL443" s="289"/>
      <c r="AM443" s="289"/>
      <c r="AN443" s="289"/>
      <c r="AO443" s="289"/>
      <c r="AP443" s="289"/>
      <c r="AQ443" s="289"/>
      <c r="AR443" s="289"/>
      <c r="AS443" s="289"/>
      <c r="AT443" s="289"/>
      <c r="AU443" s="289"/>
      <c r="AV443" s="289"/>
      <c r="AW443" s="289"/>
      <c r="AX443" s="289"/>
      <c r="AY443" s="289"/>
    </row>
    <row r="444" spans="1:51" ht="13.5" customHeight="1">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c r="AA444" s="289"/>
      <c r="AB444" s="289"/>
      <c r="AC444" s="289"/>
      <c r="AD444" s="289"/>
      <c r="AE444" s="289"/>
      <c r="AF444" s="289"/>
      <c r="AG444" s="289"/>
      <c r="AH444" s="289"/>
      <c r="AI444" s="289"/>
      <c r="AJ444" s="289"/>
      <c r="AK444" s="289"/>
      <c r="AL444" s="289"/>
      <c r="AM444" s="289"/>
      <c r="AN444" s="289"/>
      <c r="AO444" s="289"/>
      <c r="AP444" s="289"/>
      <c r="AQ444" s="289"/>
      <c r="AR444" s="289"/>
      <c r="AS444" s="289"/>
      <c r="AT444" s="289"/>
      <c r="AU444" s="289"/>
      <c r="AV444" s="289"/>
      <c r="AW444" s="289"/>
      <c r="AX444" s="289"/>
      <c r="AY444" s="289"/>
    </row>
    <row r="445" spans="1:51" ht="13.5" customHeight="1">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c r="AA445" s="289"/>
      <c r="AB445" s="289"/>
      <c r="AC445" s="289"/>
      <c r="AD445" s="289"/>
      <c r="AE445" s="289"/>
      <c r="AF445" s="289"/>
      <c r="AG445" s="289"/>
      <c r="AH445" s="289"/>
      <c r="AI445" s="289"/>
      <c r="AJ445" s="289"/>
      <c r="AK445" s="289"/>
      <c r="AL445" s="289"/>
      <c r="AM445" s="289"/>
      <c r="AN445" s="289"/>
      <c r="AO445" s="289"/>
      <c r="AP445" s="289"/>
      <c r="AQ445" s="289"/>
      <c r="AR445" s="289"/>
      <c r="AS445" s="289"/>
      <c r="AT445" s="289"/>
      <c r="AU445" s="289"/>
      <c r="AV445" s="289"/>
      <c r="AW445" s="289"/>
      <c r="AX445" s="289"/>
      <c r="AY445" s="289"/>
    </row>
    <row r="446" spans="1:51" ht="13.5" customHeight="1">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c r="AA446" s="289"/>
      <c r="AB446" s="289"/>
      <c r="AC446" s="289"/>
      <c r="AD446" s="289"/>
      <c r="AE446" s="289"/>
      <c r="AF446" s="289"/>
      <c r="AG446" s="289"/>
      <c r="AH446" s="289"/>
      <c r="AI446" s="289"/>
      <c r="AJ446" s="289"/>
      <c r="AK446" s="289"/>
      <c r="AL446" s="289"/>
      <c r="AM446" s="289"/>
      <c r="AN446" s="289"/>
      <c r="AO446" s="289"/>
      <c r="AP446" s="289"/>
      <c r="AQ446" s="289"/>
      <c r="AR446" s="289"/>
      <c r="AS446" s="289"/>
      <c r="AT446" s="289"/>
      <c r="AU446" s="289"/>
      <c r="AV446" s="289"/>
      <c r="AW446" s="289"/>
      <c r="AX446" s="289"/>
      <c r="AY446" s="289"/>
    </row>
    <row r="447" spans="1:51" ht="13.5" customHeight="1">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c r="AA447" s="289"/>
      <c r="AB447" s="289"/>
      <c r="AC447" s="289"/>
      <c r="AD447" s="289"/>
      <c r="AE447" s="289"/>
      <c r="AF447" s="289"/>
      <c r="AG447" s="289"/>
      <c r="AH447" s="289"/>
      <c r="AI447" s="289"/>
      <c r="AJ447" s="289"/>
      <c r="AK447" s="289"/>
      <c r="AL447" s="289"/>
      <c r="AM447" s="289"/>
      <c r="AN447" s="289"/>
      <c r="AO447" s="289"/>
      <c r="AP447" s="289"/>
      <c r="AQ447" s="289"/>
      <c r="AR447" s="289"/>
      <c r="AS447" s="289"/>
      <c r="AT447" s="289"/>
      <c r="AU447" s="289"/>
      <c r="AV447" s="289"/>
      <c r="AW447" s="289"/>
      <c r="AX447" s="289"/>
      <c r="AY447" s="289"/>
    </row>
    <row r="448" spans="1:51" ht="13.5" customHeight="1">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c r="AA448" s="289"/>
      <c r="AB448" s="289"/>
      <c r="AC448" s="289"/>
      <c r="AD448" s="289"/>
      <c r="AE448" s="289"/>
      <c r="AF448" s="289"/>
      <c r="AG448" s="289"/>
      <c r="AH448" s="289"/>
      <c r="AI448" s="289"/>
      <c r="AJ448" s="289"/>
      <c r="AK448" s="289"/>
      <c r="AL448" s="289"/>
      <c r="AM448" s="289"/>
      <c r="AN448" s="289"/>
      <c r="AO448" s="289"/>
      <c r="AP448" s="289"/>
      <c r="AQ448" s="289"/>
      <c r="AR448" s="289"/>
      <c r="AS448" s="289"/>
      <c r="AT448" s="289"/>
      <c r="AU448" s="289"/>
      <c r="AV448" s="289"/>
      <c r="AW448" s="289"/>
      <c r="AX448" s="289"/>
      <c r="AY448" s="289"/>
    </row>
    <row r="449" spans="1:51" ht="13.5" customHeight="1">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c r="AA449" s="289"/>
      <c r="AB449" s="289"/>
      <c r="AC449" s="289"/>
      <c r="AD449" s="289"/>
      <c r="AE449" s="289"/>
      <c r="AF449" s="289"/>
      <c r="AG449" s="289"/>
      <c r="AH449" s="289"/>
      <c r="AI449" s="289"/>
      <c r="AJ449" s="289"/>
      <c r="AK449" s="289"/>
      <c r="AL449" s="289"/>
      <c r="AM449" s="289"/>
      <c r="AN449" s="289"/>
      <c r="AO449" s="289"/>
      <c r="AP449" s="289"/>
      <c r="AQ449" s="289"/>
      <c r="AR449" s="289"/>
      <c r="AS449" s="289"/>
      <c r="AT449" s="289"/>
      <c r="AU449" s="289"/>
      <c r="AV449" s="289"/>
      <c r="AW449" s="289"/>
      <c r="AX449" s="289"/>
      <c r="AY449" s="289"/>
    </row>
    <row r="450" spans="1:51" ht="13.5" customHeight="1">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c r="AA450" s="289"/>
      <c r="AB450" s="289"/>
      <c r="AC450" s="289"/>
      <c r="AD450" s="289"/>
      <c r="AE450" s="289"/>
      <c r="AF450" s="289"/>
      <c r="AG450" s="289"/>
      <c r="AH450" s="289"/>
      <c r="AI450" s="289"/>
      <c r="AJ450" s="289"/>
      <c r="AK450" s="289"/>
      <c r="AL450" s="289"/>
      <c r="AM450" s="289"/>
      <c r="AN450" s="289"/>
      <c r="AO450" s="289"/>
      <c r="AP450" s="289"/>
      <c r="AQ450" s="289"/>
      <c r="AR450" s="289"/>
      <c r="AS450" s="289"/>
      <c r="AT450" s="289"/>
      <c r="AU450" s="289"/>
      <c r="AV450" s="289"/>
      <c r="AW450" s="289"/>
      <c r="AX450" s="289"/>
      <c r="AY450" s="289"/>
    </row>
    <row r="451" spans="1:51" ht="13.5" customHeight="1">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c r="AA451" s="289"/>
      <c r="AB451" s="289"/>
      <c r="AC451" s="289"/>
      <c r="AD451" s="289"/>
      <c r="AE451" s="289"/>
      <c r="AF451" s="289"/>
      <c r="AG451" s="289"/>
      <c r="AH451" s="289"/>
      <c r="AI451" s="289"/>
      <c r="AJ451" s="289"/>
      <c r="AK451" s="289"/>
      <c r="AL451" s="289"/>
      <c r="AM451" s="289"/>
      <c r="AN451" s="289"/>
      <c r="AO451" s="289"/>
      <c r="AP451" s="289"/>
      <c r="AQ451" s="289"/>
      <c r="AR451" s="289"/>
      <c r="AS451" s="289"/>
      <c r="AT451" s="289"/>
      <c r="AU451" s="289"/>
      <c r="AV451" s="289"/>
      <c r="AW451" s="289"/>
      <c r="AX451" s="289"/>
      <c r="AY451" s="289"/>
    </row>
    <row r="452" spans="1:51" ht="13.5" customHeight="1">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c r="AA452" s="289"/>
      <c r="AB452" s="289"/>
      <c r="AC452" s="289"/>
      <c r="AD452" s="289"/>
      <c r="AE452" s="289"/>
      <c r="AF452" s="289"/>
      <c r="AG452" s="289"/>
      <c r="AH452" s="289"/>
      <c r="AI452" s="289"/>
      <c r="AJ452" s="289"/>
      <c r="AK452" s="289"/>
      <c r="AL452" s="289"/>
      <c r="AM452" s="289"/>
      <c r="AN452" s="289"/>
      <c r="AO452" s="289"/>
      <c r="AP452" s="289"/>
      <c r="AQ452" s="289"/>
      <c r="AR452" s="289"/>
      <c r="AS452" s="289"/>
      <c r="AT452" s="289"/>
      <c r="AU452" s="289"/>
      <c r="AV452" s="289"/>
      <c r="AW452" s="289"/>
      <c r="AX452" s="289"/>
      <c r="AY452" s="289"/>
    </row>
    <row r="453" spans="1:51" ht="13.5" customHeight="1">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c r="AA453" s="289"/>
      <c r="AB453" s="289"/>
      <c r="AC453" s="289"/>
      <c r="AD453" s="289"/>
      <c r="AE453" s="289"/>
      <c r="AF453" s="289"/>
      <c r="AG453" s="289"/>
      <c r="AH453" s="289"/>
      <c r="AI453" s="289"/>
      <c r="AJ453" s="289"/>
      <c r="AK453" s="289"/>
      <c r="AL453" s="289"/>
      <c r="AM453" s="289"/>
      <c r="AN453" s="289"/>
      <c r="AO453" s="289"/>
      <c r="AP453" s="289"/>
      <c r="AQ453" s="289"/>
      <c r="AR453" s="289"/>
      <c r="AS453" s="289"/>
      <c r="AT453" s="289"/>
      <c r="AU453" s="289"/>
      <c r="AV453" s="289"/>
      <c r="AW453" s="289"/>
      <c r="AX453" s="289"/>
      <c r="AY453" s="289"/>
    </row>
    <row r="454" spans="1:51" ht="13.5" customHeight="1">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c r="AA454" s="289"/>
      <c r="AB454" s="289"/>
      <c r="AC454" s="289"/>
      <c r="AD454" s="289"/>
      <c r="AE454" s="289"/>
      <c r="AF454" s="289"/>
      <c r="AG454" s="289"/>
      <c r="AH454" s="289"/>
      <c r="AI454" s="289"/>
      <c r="AJ454" s="289"/>
      <c r="AK454" s="289"/>
      <c r="AL454" s="289"/>
      <c r="AM454" s="289"/>
      <c r="AN454" s="289"/>
      <c r="AO454" s="289"/>
      <c r="AP454" s="289"/>
      <c r="AQ454" s="289"/>
      <c r="AR454" s="289"/>
      <c r="AS454" s="289"/>
      <c r="AT454" s="289"/>
      <c r="AU454" s="289"/>
      <c r="AV454" s="289"/>
      <c r="AW454" s="289"/>
      <c r="AX454" s="289"/>
      <c r="AY454" s="289"/>
    </row>
    <row r="455" spans="1:51" ht="13.5" customHeight="1">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c r="AA455" s="289"/>
      <c r="AB455" s="289"/>
      <c r="AC455" s="289"/>
      <c r="AD455" s="289"/>
      <c r="AE455" s="289"/>
      <c r="AF455" s="289"/>
      <c r="AG455" s="289"/>
      <c r="AH455" s="289"/>
      <c r="AI455" s="289"/>
      <c r="AJ455" s="289"/>
      <c r="AK455" s="289"/>
      <c r="AL455" s="289"/>
      <c r="AM455" s="289"/>
      <c r="AN455" s="289"/>
      <c r="AO455" s="289"/>
      <c r="AP455" s="289"/>
      <c r="AQ455" s="289"/>
      <c r="AR455" s="289"/>
      <c r="AS455" s="289"/>
      <c r="AT455" s="289"/>
      <c r="AU455" s="289"/>
      <c r="AV455" s="289"/>
      <c r="AW455" s="289"/>
      <c r="AX455" s="289"/>
      <c r="AY455" s="289"/>
    </row>
    <row r="456" spans="1:51" ht="13.5" customHeight="1">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c r="AA456" s="289"/>
      <c r="AB456" s="289"/>
      <c r="AC456" s="289"/>
      <c r="AD456" s="289"/>
      <c r="AE456" s="289"/>
      <c r="AF456" s="289"/>
      <c r="AG456" s="289"/>
      <c r="AH456" s="289"/>
      <c r="AI456" s="289"/>
      <c r="AJ456" s="289"/>
      <c r="AK456" s="289"/>
      <c r="AL456" s="289"/>
      <c r="AM456" s="289"/>
      <c r="AN456" s="289"/>
      <c r="AO456" s="289"/>
      <c r="AP456" s="289"/>
      <c r="AQ456" s="289"/>
      <c r="AR456" s="289"/>
      <c r="AS456" s="289"/>
      <c r="AT456" s="289"/>
      <c r="AU456" s="289"/>
      <c r="AV456" s="289"/>
      <c r="AW456" s="289"/>
      <c r="AX456" s="289"/>
      <c r="AY456" s="289"/>
    </row>
    <row r="457" spans="1:51" ht="13.5" customHeight="1">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c r="AA457" s="289"/>
      <c r="AB457" s="289"/>
      <c r="AC457" s="289"/>
      <c r="AD457" s="289"/>
      <c r="AE457" s="289"/>
      <c r="AF457" s="289"/>
      <c r="AG457" s="289"/>
      <c r="AH457" s="289"/>
      <c r="AI457" s="289"/>
      <c r="AJ457" s="289"/>
      <c r="AK457" s="289"/>
      <c r="AL457" s="289"/>
      <c r="AM457" s="289"/>
      <c r="AN457" s="289"/>
      <c r="AO457" s="289"/>
      <c r="AP457" s="289"/>
      <c r="AQ457" s="289"/>
      <c r="AR457" s="289"/>
      <c r="AS457" s="289"/>
      <c r="AT457" s="289"/>
      <c r="AU457" s="289"/>
      <c r="AV457" s="289"/>
      <c r="AW457" s="289"/>
      <c r="AX457" s="289"/>
      <c r="AY457" s="289"/>
    </row>
    <row r="458" spans="1:51" ht="13.5" customHeight="1">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c r="AA458" s="289"/>
      <c r="AB458" s="289"/>
      <c r="AC458" s="289"/>
      <c r="AD458" s="289"/>
      <c r="AE458" s="289"/>
      <c r="AF458" s="289"/>
      <c r="AG458" s="289"/>
      <c r="AH458" s="289"/>
      <c r="AI458" s="289"/>
      <c r="AJ458" s="289"/>
      <c r="AK458" s="289"/>
      <c r="AL458" s="289"/>
      <c r="AM458" s="289"/>
      <c r="AN458" s="289"/>
      <c r="AO458" s="289"/>
      <c r="AP458" s="289"/>
      <c r="AQ458" s="289"/>
      <c r="AR458" s="289"/>
      <c r="AS458" s="289"/>
      <c r="AT458" s="289"/>
      <c r="AU458" s="289"/>
      <c r="AV458" s="289"/>
      <c r="AW458" s="289"/>
      <c r="AX458" s="289"/>
      <c r="AY458" s="289"/>
    </row>
    <row r="459" spans="1:51" ht="13.5" customHeight="1">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c r="AA459" s="289"/>
      <c r="AB459" s="289"/>
      <c r="AC459" s="289"/>
      <c r="AD459" s="289"/>
      <c r="AE459" s="289"/>
      <c r="AF459" s="289"/>
      <c r="AG459" s="289"/>
      <c r="AH459" s="289"/>
      <c r="AI459" s="289"/>
      <c r="AJ459" s="289"/>
      <c r="AK459" s="289"/>
      <c r="AL459" s="289"/>
      <c r="AM459" s="289"/>
      <c r="AN459" s="289"/>
      <c r="AO459" s="289"/>
      <c r="AP459" s="289"/>
      <c r="AQ459" s="289"/>
      <c r="AR459" s="289"/>
      <c r="AS459" s="289"/>
      <c r="AT459" s="289"/>
      <c r="AU459" s="289"/>
      <c r="AV459" s="289"/>
      <c r="AW459" s="289"/>
      <c r="AX459" s="289"/>
      <c r="AY459" s="289"/>
    </row>
    <row r="460" spans="1:51" ht="13.5" customHeight="1">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c r="AA460" s="289"/>
      <c r="AB460" s="289"/>
      <c r="AC460" s="289"/>
      <c r="AD460" s="289"/>
      <c r="AE460" s="289"/>
      <c r="AF460" s="289"/>
      <c r="AG460" s="289"/>
      <c r="AH460" s="289"/>
      <c r="AI460" s="289"/>
      <c r="AJ460" s="289"/>
      <c r="AK460" s="289"/>
      <c r="AL460" s="289"/>
      <c r="AM460" s="289"/>
      <c r="AN460" s="289"/>
      <c r="AO460" s="289"/>
      <c r="AP460" s="289"/>
      <c r="AQ460" s="289"/>
      <c r="AR460" s="289"/>
      <c r="AS460" s="289"/>
      <c r="AT460" s="289"/>
      <c r="AU460" s="289"/>
      <c r="AV460" s="289"/>
      <c r="AW460" s="289"/>
      <c r="AX460" s="289"/>
      <c r="AY460" s="289"/>
    </row>
    <row r="461" spans="1:51" ht="13.5" customHeight="1">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c r="AA461" s="289"/>
      <c r="AB461" s="289"/>
      <c r="AC461" s="289"/>
      <c r="AD461" s="289"/>
      <c r="AE461" s="289"/>
      <c r="AF461" s="289"/>
      <c r="AG461" s="289"/>
      <c r="AH461" s="289"/>
      <c r="AI461" s="289"/>
      <c r="AJ461" s="289"/>
      <c r="AK461" s="289"/>
      <c r="AL461" s="289"/>
      <c r="AM461" s="289"/>
      <c r="AN461" s="289"/>
      <c r="AO461" s="289"/>
      <c r="AP461" s="289"/>
      <c r="AQ461" s="289"/>
      <c r="AR461" s="289"/>
      <c r="AS461" s="289"/>
      <c r="AT461" s="289"/>
      <c r="AU461" s="289"/>
      <c r="AV461" s="289"/>
      <c r="AW461" s="289"/>
      <c r="AX461" s="289"/>
      <c r="AY461" s="289"/>
    </row>
    <row r="462" spans="1:51" ht="13.5" customHeight="1">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c r="AA462" s="289"/>
      <c r="AB462" s="289"/>
      <c r="AC462" s="289"/>
      <c r="AD462" s="289"/>
      <c r="AE462" s="289"/>
      <c r="AF462" s="289"/>
      <c r="AG462" s="289"/>
      <c r="AH462" s="289"/>
      <c r="AI462" s="289"/>
      <c r="AJ462" s="289"/>
      <c r="AK462" s="289"/>
      <c r="AL462" s="289"/>
      <c r="AM462" s="289"/>
      <c r="AN462" s="289"/>
      <c r="AO462" s="289"/>
      <c r="AP462" s="289"/>
      <c r="AQ462" s="289"/>
      <c r="AR462" s="289"/>
      <c r="AS462" s="289"/>
      <c r="AT462" s="289"/>
      <c r="AU462" s="289"/>
      <c r="AV462" s="289"/>
      <c r="AW462" s="289"/>
      <c r="AX462" s="289"/>
      <c r="AY462" s="289"/>
    </row>
    <row r="463" spans="1:51" ht="13.5" customHeight="1">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c r="AA463" s="289"/>
      <c r="AB463" s="289"/>
      <c r="AC463" s="289"/>
      <c r="AD463" s="289"/>
      <c r="AE463" s="289"/>
      <c r="AF463" s="289"/>
      <c r="AG463" s="289"/>
      <c r="AH463" s="289"/>
      <c r="AI463" s="289"/>
      <c r="AJ463" s="289"/>
      <c r="AK463" s="289"/>
      <c r="AL463" s="289"/>
      <c r="AM463" s="289"/>
      <c r="AN463" s="289"/>
      <c r="AO463" s="289"/>
      <c r="AP463" s="289"/>
      <c r="AQ463" s="289"/>
      <c r="AR463" s="289"/>
      <c r="AS463" s="289"/>
      <c r="AT463" s="289"/>
      <c r="AU463" s="289"/>
      <c r="AV463" s="289"/>
      <c r="AW463" s="289"/>
      <c r="AX463" s="289"/>
      <c r="AY463" s="289"/>
    </row>
    <row r="464" spans="1:51" ht="13.5" customHeight="1">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c r="AA464" s="289"/>
      <c r="AB464" s="289"/>
      <c r="AC464" s="289"/>
      <c r="AD464" s="289"/>
      <c r="AE464" s="289"/>
      <c r="AF464" s="289"/>
      <c r="AG464" s="289"/>
      <c r="AH464" s="289"/>
      <c r="AI464" s="289"/>
      <c r="AJ464" s="289"/>
      <c r="AK464" s="289"/>
      <c r="AL464" s="289"/>
      <c r="AM464" s="289"/>
      <c r="AN464" s="289"/>
      <c r="AO464" s="289"/>
      <c r="AP464" s="289"/>
      <c r="AQ464" s="289"/>
      <c r="AR464" s="289"/>
      <c r="AS464" s="289"/>
      <c r="AT464" s="289"/>
      <c r="AU464" s="289"/>
      <c r="AV464" s="289"/>
      <c r="AW464" s="289"/>
      <c r="AX464" s="289"/>
      <c r="AY464" s="289"/>
    </row>
    <row r="465" spans="1:51" ht="13.5" customHeight="1">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c r="AA465" s="289"/>
      <c r="AB465" s="289"/>
      <c r="AC465" s="289"/>
      <c r="AD465" s="289"/>
      <c r="AE465" s="289"/>
      <c r="AF465" s="289"/>
      <c r="AG465" s="289"/>
      <c r="AH465" s="289"/>
      <c r="AI465" s="289"/>
      <c r="AJ465" s="289"/>
      <c r="AK465" s="289"/>
      <c r="AL465" s="289"/>
      <c r="AM465" s="289"/>
      <c r="AN465" s="289"/>
      <c r="AO465" s="289"/>
      <c r="AP465" s="289"/>
      <c r="AQ465" s="289"/>
      <c r="AR465" s="289"/>
      <c r="AS465" s="289"/>
      <c r="AT465" s="289"/>
      <c r="AU465" s="289"/>
      <c r="AV465" s="289"/>
      <c r="AW465" s="289"/>
      <c r="AX465" s="289"/>
      <c r="AY465" s="289"/>
    </row>
    <row r="466" spans="1:51" ht="13.5" customHeight="1">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c r="AA466" s="289"/>
      <c r="AB466" s="289"/>
      <c r="AC466" s="289"/>
      <c r="AD466" s="289"/>
      <c r="AE466" s="289"/>
      <c r="AF466" s="289"/>
      <c r="AG466" s="289"/>
      <c r="AH466" s="289"/>
      <c r="AI466" s="289"/>
      <c r="AJ466" s="289"/>
      <c r="AK466" s="289"/>
      <c r="AL466" s="289"/>
      <c r="AM466" s="289"/>
      <c r="AN466" s="289"/>
      <c r="AO466" s="289"/>
      <c r="AP466" s="289"/>
      <c r="AQ466" s="289"/>
      <c r="AR466" s="289"/>
      <c r="AS466" s="289"/>
      <c r="AT466" s="289"/>
      <c r="AU466" s="289"/>
      <c r="AV466" s="289"/>
      <c r="AW466" s="289"/>
      <c r="AX466" s="289"/>
      <c r="AY466" s="289"/>
    </row>
    <row r="467" spans="1:51" ht="13.5" customHeight="1">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c r="AA467" s="289"/>
      <c r="AB467" s="289"/>
      <c r="AC467" s="289"/>
      <c r="AD467" s="289"/>
      <c r="AE467" s="289"/>
      <c r="AF467" s="289"/>
      <c r="AG467" s="289"/>
      <c r="AH467" s="289"/>
      <c r="AI467" s="289"/>
      <c r="AJ467" s="289"/>
      <c r="AK467" s="289"/>
      <c r="AL467" s="289"/>
      <c r="AM467" s="289"/>
      <c r="AN467" s="289"/>
      <c r="AO467" s="289"/>
      <c r="AP467" s="289"/>
      <c r="AQ467" s="289"/>
      <c r="AR467" s="289"/>
      <c r="AS467" s="289"/>
      <c r="AT467" s="289"/>
      <c r="AU467" s="289"/>
      <c r="AV467" s="289"/>
      <c r="AW467" s="289"/>
      <c r="AX467" s="289"/>
      <c r="AY467" s="289"/>
    </row>
    <row r="468" spans="1:51" ht="13.5" customHeight="1">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c r="AA468" s="289"/>
      <c r="AB468" s="289"/>
      <c r="AC468" s="289"/>
      <c r="AD468" s="289"/>
      <c r="AE468" s="289"/>
      <c r="AF468" s="289"/>
      <c r="AG468" s="289"/>
      <c r="AH468" s="289"/>
      <c r="AI468" s="289"/>
      <c r="AJ468" s="289"/>
      <c r="AK468" s="289"/>
      <c r="AL468" s="289"/>
      <c r="AM468" s="289"/>
      <c r="AN468" s="289"/>
      <c r="AO468" s="289"/>
      <c r="AP468" s="289"/>
      <c r="AQ468" s="289"/>
      <c r="AR468" s="289"/>
      <c r="AS468" s="289"/>
      <c r="AT468" s="289"/>
      <c r="AU468" s="289"/>
      <c r="AV468" s="289"/>
      <c r="AW468" s="289"/>
      <c r="AX468" s="289"/>
      <c r="AY468" s="289"/>
    </row>
    <row r="469" spans="1:51" ht="13.5" customHeight="1">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c r="AA469" s="289"/>
      <c r="AB469" s="289"/>
      <c r="AC469" s="289"/>
      <c r="AD469" s="289"/>
      <c r="AE469" s="289"/>
      <c r="AF469" s="289"/>
      <c r="AG469" s="289"/>
      <c r="AH469" s="289"/>
      <c r="AI469" s="289"/>
      <c r="AJ469" s="289"/>
      <c r="AK469" s="289"/>
      <c r="AL469" s="289"/>
      <c r="AM469" s="289"/>
      <c r="AN469" s="289"/>
      <c r="AO469" s="289"/>
      <c r="AP469" s="289"/>
      <c r="AQ469" s="289"/>
      <c r="AR469" s="289"/>
      <c r="AS469" s="289"/>
      <c r="AT469" s="289"/>
      <c r="AU469" s="289"/>
      <c r="AV469" s="289"/>
      <c r="AW469" s="289"/>
      <c r="AX469" s="289"/>
      <c r="AY469" s="289"/>
    </row>
    <row r="470" spans="1:51" ht="13.5" customHeight="1">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c r="AA470" s="289"/>
      <c r="AB470" s="289"/>
      <c r="AC470" s="289"/>
      <c r="AD470" s="289"/>
      <c r="AE470" s="289"/>
      <c r="AF470" s="289"/>
      <c r="AG470" s="289"/>
      <c r="AH470" s="289"/>
      <c r="AI470" s="289"/>
      <c r="AJ470" s="289"/>
      <c r="AK470" s="289"/>
      <c r="AL470" s="289"/>
      <c r="AM470" s="289"/>
      <c r="AN470" s="289"/>
      <c r="AO470" s="289"/>
      <c r="AP470" s="289"/>
      <c r="AQ470" s="289"/>
      <c r="AR470" s="289"/>
      <c r="AS470" s="289"/>
      <c r="AT470" s="289"/>
      <c r="AU470" s="289"/>
      <c r="AV470" s="289"/>
      <c r="AW470" s="289"/>
      <c r="AX470" s="289"/>
      <c r="AY470" s="289"/>
    </row>
    <row r="471" spans="1:51" ht="13.5" customHeight="1">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c r="AA471" s="289"/>
      <c r="AB471" s="289"/>
      <c r="AC471" s="289"/>
      <c r="AD471" s="289"/>
      <c r="AE471" s="289"/>
      <c r="AF471" s="289"/>
      <c r="AG471" s="289"/>
      <c r="AH471" s="289"/>
      <c r="AI471" s="289"/>
      <c r="AJ471" s="289"/>
      <c r="AK471" s="289"/>
      <c r="AL471" s="289"/>
      <c r="AM471" s="289"/>
      <c r="AN471" s="289"/>
      <c r="AO471" s="289"/>
      <c r="AP471" s="289"/>
      <c r="AQ471" s="289"/>
      <c r="AR471" s="289"/>
      <c r="AS471" s="289"/>
      <c r="AT471" s="289"/>
      <c r="AU471" s="289"/>
      <c r="AV471" s="289"/>
      <c r="AW471" s="289"/>
      <c r="AX471" s="289"/>
      <c r="AY471" s="289"/>
    </row>
    <row r="472" spans="1:51" ht="13.5" customHeight="1">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c r="AA472" s="289"/>
      <c r="AB472" s="289"/>
      <c r="AC472" s="289"/>
      <c r="AD472" s="289"/>
      <c r="AE472" s="289"/>
      <c r="AF472" s="289"/>
      <c r="AG472" s="289"/>
      <c r="AH472" s="289"/>
      <c r="AI472" s="289"/>
      <c r="AJ472" s="289"/>
      <c r="AK472" s="289"/>
      <c r="AL472" s="289"/>
      <c r="AM472" s="289"/>
      <c r="AN472" s="289"/>
      <c r="AO472" s="289"/>
      <c r="AP472" s="289"/>
      <c r="AQ472" s="289"/>
      <c r="AR472" s="289"/>
      <c r="AS472" s="289"/>
      <c r="AT472" s="289"/>
      <c r="AU472" s="289"/>
      <c r="AV472" s="289"/>
      <c r="AW472" s="289"/>
      <c r="AX472" s="289"/>
      <c r="AY472" s="289"/>
    </row>
    <row r="473" spans="1:51" ht="13.5" customHeight="1">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c r="AA473" s="289"/>
      <c r="AB473" s="289"/>
      <c r="AC473" s="289"/>
      <c r="AD473" s="289"/>
      <c r="AE473" s="289"/>
      <c r="AF473" s="289"/>
      <c r="AG473" s="289"/>
      <c r="AH473" s="289"/>
      <c r="AI473" s="289"/>
      <c r="AJ473" s="289"/>
      <c r="AK473" s="289"/>
      <c r="AL473" s="289"/>
      <c r="AM473" s="289"/>
      <c r="AN473" s="289"/>
      <c r="AO473" s="289"/>
      <c r="AP473" s="289"/>
      <c r="AQ473" s="289"/>
      <c r="AR473" s="289"/>
      <c r="AS473" s="289"/>
      <c r="AT473" s="289"/>
      <c r="AU473" s="289"/>
      <c r="AV473" s="289"/>
      <c r="AW473" s="289"/>
      <c r="AX473" s="289"/>
      <c r="AY473" s="289"/>
    </row>
    <row r="474" spans="1:51" ht="13.5" customHeight="1">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c r="AA474" s="289"/>
      <c r="AB474" s="289"/>
      <c r="AC474" s="289"/>
      <c r="AD474" s="289"/>
      <c r="AE474" s="289"/>
      <c r="AF474" s="289"/>
      <c r="AG474" s="289"/>
      <c r="AH474" s="289"/>
      <c r="AI474" s="289"/>
      <c r="AJ474" s="289"/>
      <c r="AK474" s="289"/>
      <c r="AL474" s="289"/>
      <c r="AM474" s="289"/>
      <c r="AN474" s="289"/>
      <c r="AO474" s="289"/>
      <c r="AP474" s="289"/>
      <c r="AQ474" s="289"/>
      <c r="AR474" s="289"/>
      <c r="AS474" s="289"/>
      <c r="AT474" s="289"/>
      <c r="AU474" s="289"/>
      <c r="AV474" s="289"/>
      <c r="AW474" s="289"/>
      <c r="AX474" s="289"/>
      <c r="AY474" s="289"/>
    </row>
    <row r="475" spans="1:51" ht="13.5" customHeight="1">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c r="AA475" s="289"/>
      <c r="AB475" s="289"/>
      <c r="AC475" s="289"/>
      <c r="AD475" s="289"/>
      <c r="AE475" s="289"/>
      <c r="AF475" s="289"/>
      <c r="AG475" s="289"/>
      <c r="AH475" s="289"/>
      <c r="AI475" s="289"/>
      <c r="AJ475" s="289"/>
      <c r="AK475" s="289"/>
      <c r="AL475" s="289"/>
      <c r="AM475" s="289"/>
      <c r="AN475" s="289"/>
      <c r="AO475" s="289"/>
      <c r="AP475" s="289"/>
      <c r="AQ475" s="289"/>
      <c r="AR475" s="289"/>
      <c r="AS475" s="289"/>
      <c r="AT475" s="289"/>
      <c r="AU475" s="289"/>
      <c r="AV475" s="289"/>
      <c r="AW475" s="289"/>
      <c r="AX475" s="289"/>
      <c r="AY475" s="289"/>
    </row>
    <row r="476" spans="1:51" ht="13.5" customHeight="1">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c r="AB476" s="289"/>
      <c r="AC476" s="289"/>
      <c r="AD476" s="289"/>
      <c r="AE476" s="289"/>
      <c r="AF476" s="289"/>
      <c r="AG476" s="289"/>
      <c r="AH476" s="289"/>
      <c r="AI476" s="289"/>
      <c r="AJ476" s="289"/>
      <c r="AK476" s="289"/>
      <c r="AL476" s="289"/>
      <c r="AM476" s="289"/>
      <c r="AN476" s="289"/>
      <c r="AO476" s="289"/>
      <c r="AP476" s="289"/>
      <c r="AQ476" s="289"/>
      <c r="AR476" s="289"/>
      <c r="AS476" s="289"/>
      <c r="AT476" s="289"/>
      <c r="AU476" s="289"/>
      <c r="AV476" s="289"/>
      <c r="AW476" s="289"/>
      <c r="AX476" s="289"/>
      <c r="AY476" s="289"/>
    </row>
    <row r="477" spans="1:51" ht="13.5" customHeight="1">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c r="AA477" s="289"/>
      <c r="AB477" s="289"/>
      <c r="AC477" s="289"/>
      <c r="AD477" s="289"/>
      <c r="AE477" s="289"/>
      <c r="AF477" s="289"/>
      <c r="AG477" s="289"/>
      <c r="AH477" s="289"/>
      <c r="AI477" s="289"/>
      <c r="AJ477" s="289"/>
      <c r="AK477" s="289"/>
      <c r="AL477" s="289"/>
      <c r="AM477" s="289"/>
      <c r="AN477" s="289"/>
      <c r="AO477" s="289"/>
      <c r="AP477" s="289"/>
      <c r="AQ477" s="289"/>
      <c r="AR477" s="289"/>
      <c r="AS477" s="289"/>
      <c r="AT477" s="289"/>
      <c r="AU477" s="289"/>
      <c r="AV477" s="289"/>
      <c r="AW477" s="289"/>
      <c r="AX477" s="289"/>
      <c r="AY477" s="289"/>
    </row>
    <row r="478" spans="1:51" ht="13.5" customHeight="1">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c r="AA478" s="289"/>
      <c r="AB478" s="289"/>
      <c r="AC478" s="289"/>
      <c r="AD478" s="289"/>
      <c r="AE478" s="289"/>
      <c r="AF478" s="289"/>
      <c r="AG478" s="289"/>
      <c r="AH478" s="289"/>
      <c r="AI478" s="289"/>
      <c r="AJ478" s="289"/>
      <c r="AK478" s="289"/>
      <c r="AL478" s="289"/>
      <c r="AM478" s="289"/>
      <c r="AN478" s="289"/>
      <c r="AO478" s="289"/>
      <c r="AP478" s="289"/>
      <c r="AQ478" s="289"/>
      <c r="AR478" s="289"/>
      <c r="AS478" s="289"/>
      <c r="AT478" s="289"/>
      <c r="AU478" s="289"/>
      <c r="AV478" s="289"/>
      <c r="AW478" s="289"/>
      <c r="AX478" s="289"/>
      <c r="AY478" s="289"/>
    </row>
    <row r="479" spans="1:51" ht="13.5" customHeight="1">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c r="AA479" s="289"/>
      <c r="AB479" s="289"/>
      <c r="AC479" s="289"/>
      <c r="AD479" s="289"/>
      <c r="AE479" s="289"/>
      <c r="AF479" s="289"/>
      <c r="AG479" s="289"/>
      <c r="AH479" s="289"/>
      <c r="AI479" s="289"/>
      <c r="AJ479" s="289"/>
      <c r="AK479" s="289"/>
      <c r="AL479" s="289"/>
      <c r="AM479" s="289"/>
      <c r="AN479" s="289"/>
      <c r="AO479" s="289"/>
      <c r="AP479" s="289"/>
      <c r="AQ479" s="289"/>
      <c r="AR479" s="289"/>
      <c r="AS479" s="289"/>
      <c r="AT479" s="289"/>
      <c r="AU479" s="289"/>
      <c r="AV479" s="289"/>
      <c r="AW479" s="289"/>
      <c r="AX479" s="289"/>
      <c r="AY479" s="289"/>
    </row>
    <row r="480" spans="1:51" ht="13.5" customHeight="1">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c r="AA480" s="289"/>
      <c r="AB480" s="289"/>
      <c r="AC480" s="289"/>
      <c r="AD480" s="289"/>
      <c r="AE480" s="289"/>
      <c r="AF480" s="289"/>
      <c r="AG480" s="289"/>
      <c r="AH480" s="289"/>
      <c r="AI480" s="289"/>
      <c r="AJ480" s="289"/>
      <c r="AK480" s="289"/>
      <c r="AL480" s="289"/>
      <c r="AM480" s="289"/>
      <c r="AN480" s="289"/>
      <c r="AO480" s="289"/>
      <c r="AP480" s="289"/>
      <c r="AQ480" s="289"/>
      <c r="AR480" s="289"/>
      <c r="AS480" s="289"/>
      <c r="AT480" s="289"/>
      <c r="AU480" s="289"/>
      <c r="AV480" s="289"/>
      <c r="AW480" s="289"/>
      <c r="AX480" s="289"/>
      <c r="AY480" s="289"/>
    </row>
    <row r="481" spans="1:51" ht="13.5" customHeight="1">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c r="AA481" s="289"/>
      <c r="AB481" s="289"/>
      <c r="AC481" s="289"/>
      <c r="AD481" s="289"/>
      <c r="AE481" s="289"/>
      <c r="AF481" s="289"/>
      <c r="AG481" s="289"/>
      <c r="AH481" s="289"/>
      <c r="AI481" s="289"/>
      <c r="AJ481" s="289"/>
      <c r="AK481" s="289"/>
      <c r="AL481" s="289"/>
      <c r="AM481" s="289"/>
      <c r="AN481" s="289"/>
      <c r="AO481" s="289"/>
      <c r="AP481" s="289"/>
      <c r="AQ481" s="289"/>
      <c r="AR481" s="289"/>
      <c r="AS481" s="289"/>
      <c r="AT481" s="289"/>
      <c r="AU481" s="289"/>
      <c r="AV481" s="289"/>
      <c r="AW481" s="289"/>
      <c r="AX481" s="289"/>
      <c r="AY481" s="289"/>
    </row>
    <row r="482" spans="1:51" ht="13.5" customHeight="1">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c r="AA482" s="289"/>
      <c r="AB482" s="289"/>
      <c r="AC482" s="289"/>
      <c r="AD482" s="289"/>
      <c r="AE482" s="289"/>
      <c r="AF482" s="289"/>
      <c r="AG482" s="289"/>
      <c r="AH482" s="289"/>
      <c r="AI482" s="289"/>
      <c r="AJ482" s="289"/>
      <c r="AK482" s="289"/>
      <c r="AL482" s="289"/>
      <c r="AM482" s="289"/>
      <c r="AN482" s="289"/>
      <c r="AO482" s="289"/>
      <c r="AP482" s="289"/>
      <c r="AQ482" s="289"/>
      <c r="AR482" s="289"/>
      <c r="AS482" s="289"/>
      <c r="AT482" s="289"/>
      <c r="AU482" s="289"/>
      <c r="AV482" s="289"/>
      <c r="AW482" s="289"/>
      <c r="AX482" s="289"/>
      <c r="AY482" s="289"/>
    </row>
    <row r="483" spans="1:51" ht="13.5" customHeight="1">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c r="AA483" s="289"/>
      <c r="AB483" s="289"/>
      <c r="AC483" s="289"/>
      <c r="AD483" s="289"/>
      <c r="AE483" s="289"/>
      <c r="AF483" s="289"/>
      <c r="AG483" s="289"/>
      <c r="AH483" s="289"/>
      <c r="AI483" s="289"/>
      <c r="AJ483" s="289"/>
      <c r="AK483" s="289"/>
      <c r="AL483" s="289"/>
      <c r="AM483" s="289"/>
      <c r="AN483" s="289"/>
      <c r="AO483" s="289"/>
      <c r="AP483" s="289"/>
      <c r="AQ483" s="289"/>
      <c r="AR483" s="289"/>
      <c r="AS483" s="289"/>
      <c r="AT483" s="289"/>
      <c r="AU483" s="289"/>
      <c r="AV483" s="289"/>
      <c r="AW483" s="289"/>
      <c r="AX483" s="289"/>
      <c r="AY483" s="289"/>
    </row>
    <row r="484" spans="1:51" ht="13.5" customHeight="1">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c r="AA484" s="289"/>
      <c r="AB484" s="289"/>
      <c r="AC484" s="289"/>
      <c r="AD484" s="289"/>
      <c r="AE484" s="289"/>
      <c r="AF484" s="289"/>
      <c r="AG484" s="289"/>
      <c r="AH484" s="289"/>
      <c r="AI484" s="289"/>
      <c r="AJ484" s="289"/>
      <c r="AK484" s="289"/>
      <c r="AL484" s="289"/>
      <c r="AM484" s="289"/>
      <c r="AN484" s="289"/>
      <c r="AO484" s="289"/>
      <c r="AP484" s="289"/>
      <c r="AQ484" s="289"/>
      <c r="AR484" s="289"/>
      <c r="AS484" s="289"/>
      <c r="AT484" s="289"/>
      <c r="AU484" s="289"/>
      <c r="AV484" s="289"/>
      <c r="AW484" s="289"/>
      <c r="AX484" s="289"/>
      <c r="AY484" s="289"/>
    </row>
    <row r="485" spans="1:51" ht="13.5" customHeight="1">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c r="AA485" s="289"/>
      <c r="AB485" s="289"/>
      <c r="AC485" s="289"/>
      <c r="AD485" s="289"/>
      <c r="AE485" s="289"/>
      <c r="AF485" s="289"/>
      <c r="AG485" s="289"/>
      <c r="AH485" s="289"/>
      <c r="AI485" s="289"/>
      <c r="AJ485" s="289"/>
      <c r="AK485" s="289"/>
      <c r="AL485" s="289"/>
      <c r="AM485" s="289"/>
      <c r="AN485" s="289"/>
      <c r="AO485" s="289"/>
      <c r="AP485" s="289"/>
      <c r="AQ485" s="289"/>
      <c r="AR485" s="289"/>
      <c r="AS485" s="289"/>
      <c r="AT485" s="289"/>
      <c r="AU485" s="289"/>
      <c r="AV485" s="289"/>
      <c r="AW485" s="289"/>
      <c r="AX485" s="289"/>
      <c r="AY485" s="289"/>
    </row>
    <row r="486" spans="1:51" ht="13.5" customHeight="1">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c r="AA486" s="289"/>
      <c r="AB486" s="289"/>
      <c r="AC486" s="289"/>
      <c r="AD486" s="289"/>
      <c r="AE486" s="289"/>
      <c r="AF486" s="289"/>
      <c r="AG486" s="289"/>
      <c r="AH486" s="289"/>
      <c r="AI486" s="289"/>
      <c r="AJ486" s="289"/>
      <c r="AK486" s="289"/>
      <c r="AL486" s="289"/>
      <c r="AM486" s="289"/>
      <c r="AN486" s="289"/>
      <c r="AO486" s="289"/>
      <c r="AP486" s="289"/>
      <c r="AQ486" s="289"/>
      <c r="AR486" s="289"/>
      <c r="AS486" s="289"/>
      <c r="AT486" s="289"/>
      <c r="AU486" s="289"/>
      <c r="AV486" s="289"/>
      <c r="AW486" s="289"/>
      <c r="AX486" s="289"/>
      <c r="AY486" s="289"/>
    </row>
    <row r="487" spans="1:51" ht="13.5" customHeight="1">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c r="AA487" s="289"/>
      <c r="AB487" s="289"/>
      <c r="AC487" s="289"/>
      <c r="AD487" s="289"/>
      <c r="AE487" s="289"/>
      <c r="AF487" s="289"/>
      <c r="AG487" s="289"/>
      <c r="AH487" s="289"/>
      <c r="AI487" s="289"/>
      <c r="AJ487" s="289"/>
      <c r="AK487" s="289"/>
      <c r="AL487" s="289"/>
      <c r="AM487" s="289"/>
      <c r="AN487" s="289"/>
      <c r="AO487" s="289"/>
      <c r="AP487" s="289"/>
      <c r="AQ487" s="289"/>
      <c r="AR487" s="289"/>
      <c r="AS487" s="289"/>
      <c r="AT487" s="289"/>
      <c r="AU487" s="289"/>
      <c r="AV487" s="289"/>
      <c r="AW487" s="289"/>
      <c r="AX487" s="289"/>
      <c r="AY487" s="289"/>
    </row>
    <row r="488" spans="1:51" ht="13.5" customHeight="1">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c r="AA488" s="289"/>
      <c r="AB488" s="289"/>
      <c r="AC488" s="289"/>
      <c r="AD488" s="289"/>
      <c r="AE488" s="289"/>
      <c r="AF488" s="289"/>
      <c r="AG488" s="289"/>
      <c r="AH488" s="289"/>
      <c r="AI488" s="289"/>
      <c r="AJ488" s="289"/>
      <c r="AK488" s="289"/>
      <c r="AL488" s="289"/>
      <c r="AM488" s="289"/>
      <c r="AN488" s="289"/>
      <c r="AO488" s="289"/>
      <c r="AP488" s="289"/>
      <c r="AQ488" s="289"/>
      <c r="AR488" s="289"/>
      <c r="AS488" s="289"/>
      <c r="AT488" s="289"/>
      <c r="AU488" s="289"/>
      <c r="AV488" s="289"/>
      <c r="AW488" s="289"/>
      <c r="AX488" s="289"/>
      <c r="AY488" s="289"/>
    </row>
    <row r="489" spans="1:51" ht="13.5" customHeight="1">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c r="AA489" s="289"/>
      <c r="AB489" s="289"/>
      <c r="AC489" s="289"/>
      <c r="AD489" s="289"/>
      <c r="AE489" s="289"/>
      <c r="AF489" s="289"/>
      <c r="AG489" s="289"/>
      <c r="AH489" s="289"/>
      <c r="AI489" s="289"/>
      <c r="AJ489" s="289"/>
      <c r="AK489" s="289"/>
      <c r="AL489" s="289"/>
      <c r="AM489" s="289"/>
      <c r="AN489" s="289"/>
      <c r="AO489" s="289"/>
      <c r="AP489" s="289"/>
      <c r="AQ489" s="289"/>
      <c r="AR489" s="289"/>
      <c r="AS489" s="289"/>
      <c r="AT489" s="289"/>
      <c r="AU489" s="289"/>
      <c r="AV489" s="289"/>
      <c r="AW489" s="289"/>
      <c r="AX489" s="289"/>
      <c r="AY489" s="289"/>
    </row>
    <row r="490" spans="1:51" ht="13.5" customHeight="1">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c r="AA490" s="289"/>
      <c r="AB490" s="289"/>
      <c r="AC490" s="289"/>
      <c r="AD490" s="289"/>
      <c r="AE490" s="289"/>
      <c r="AF490" s="289"/>
      <c r="AG490" s="289"/>
      <c r="AH490" s="289"/>
      <c r="AI490" s="289"/>
      <c r="AJ490" s="289"/>
      <c r="AK490" s="289"/>
      <c r="AL490" s="289"/>
      <c r="AM490" s="289"/>
      <c r="AN490" s="289"/>
      <c r="AO490" s="289"/>
      <c r="AP490" s="289"/>
      <c r="AQ490" s="289"/>
      <c r="AR490" s="289"/>
      <c r="AS490" s="289"/>
      <c r="AT490" s="289"/>
      <c r="AU490" s="289"/>
      <c r="AV490" s="289"/>
      <c r="AW490" s="289"/>
      <c r="AX490" s="289"/>
      <c r="AY490" s="289"/>
    </row>
    <row r="491" spans="1:51" ht="13.5" customHeight="1">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c r="AA491" s="289"/>
      <c r="AB491" s="289"/>
      <c r="AC491" s="289"/>
      <c r="AD491" s="289"/>
      <c r="AE491" s="289"/>
      <c r="AF491" s="289"/>
      <c r="AG491" s="289"/>
      <c r="AH491" s="289"/>
      <c r="AI491" s="289"/>
      <c r="AJ491" s="289"/>
      <c r="AK491" s="289"/>
      <c r="AL491" s="289"/>
      <c r="AM491" s="289"/>
      <c r="AN491" s="289"/>
      <c r="AO491" s="289"/>
      <c r="AP491" s="289"/>
      <c r="AQ491" s="289"/>
      <c r="AR491" s="289"/>
      <c r="AS491" s="289"/>
      <c r="AT491" s="289"/>
      <c r="AU491" s="289"/>
      <c r="AV491" s="289"/>
      <c r="AW491" s="289"/>
      <c r="AX491" s="289"/>
      <c r="AY491" s="289"/>
    </row>
    <row r="492" spans="1:51" ht="13.5" customHeight="1">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c r="AA492" s="289"/>
      <c r="AB492" s="289"/>
      <c r="AC492" s="289"/>
      <c r="AD492" s="289"/>
      <c r="AE492" s="289"/>
      <c r="AF492" s="289"/>
      <c r="AG492" s="289"/>
      <c r="AH492" s="289"/>
      <c r="AI492" s="289"/>
      <c r="AJ492" s="289"/>
      <c r="AK492" s="289"/>
      <c r="AL492" s="289"/>
      <c r="AM492" s="289"/>
      <c r="AN492" s="289"/>
      <c r="AO492" s="289"/>
      <c r="AP492" s="289"/>
      <c r="AQ492" s="289"/>
      <c r="AR492" s="289"/>
      <c r="AS492" s="289"/>
      <c r="AT492" s="289"/>
      <c r="AU492" s="289"/>
      <c r="AV492" s="289"/>
      <c r="AW492" s="289"/>
      <c r="AX492" s="289"/>
      <c r="AY492" s="289"/>
    </row>
    <row r="493" spans="1:51" ht="13.5" customHeight="1">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c r="AA493" s="289"/>
      <c r="AB493" s="289"/>
      <c r="AC493" s="289"/>
      <c r="AD493" s="289"/>
      <c r="AE493" s="289"/>
      <c r="AF493" s="289"/>
      <c r="AG493" s="289"/>
      <c r="AH493" s="289"/>
      <c r="AI493" s="289"/>
      <c r="AJ493" s="289"/>
      <c r="AK493" s="289"/>
      <c r="AL493" s="289"/>
      <c r="AM493" s="289"/>
      <c r="AN493" s="289"/>
      <c r="AO493" s="289"/>
      <c r="AP493" s="289"/>
      <c r="AQ493" s="289"/>
      <c r="AR493" s="289"/>
      <c r="AS493" s="289"/>
      <c r="AT493" s="289"/>
      <c r="AU493" s="289"/>
      <c r="AV493" s="289"/>
      <c r="AW493" s="289"/>
      <c r="AX493" s="289"/>
      <c r="AY493" s="289"/>
    </row>
    <row r="494" spans="1:51" ht="13.5" customHeight="1">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c r="AA494" s="289"/>
      <c r="AB494" s="289"/>
      <c r="AC494" s="289"/>
      <c r="AD494" s="289"/>
      <c r="AE494" s="289"/>
      <c r="AF494" s="289"/>
      <c r="AG494" s="289"/>
      <c r="AH494" s="289"/>
      <c r="AI494" s="289"/>
      <c r="AJ494" s="289"/>
      <c r="AK494" s="289"/>
      <c r="AL494" s="289"/>
      <c r="AM494" s="289"/>
      <c r="AN494" s="289"/>
      <c r="AO494" s="289"/>
      <c r="AP494" s="289"/>
      <c r="AQ494" s="289"/>
      <c r="AR494" s="289"/>
      <c r="AS494" s="289"/>
      <c r="AT494" s="289"/>
      <c r="AU494" s="289"/>
      <c r="AV494" s="289"/>
      <c r="AW494" s="289"/>
      <c r="AX494" s="289"/>
      <c r="AY494" s="289"/>
    </row>
    <row r="495" spans="1:51" ht="13.5" customHeight="1">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c r="AA495" s="289"/>
      <c r="AB495" s="289"/>
      <c r="AC495" s="289"/>
      <c r="AD495" s="289"/>
      <c r="AE495" s="289"/>
      <c r="AF495" s="289"/>
      <c r="AG495" s="289"/>
      <c r="AH495" s="289"/>
      <c r="AI495" s="289"/>
      <c r="AJ495" s="289"/>
      <c r="AK495" s="289"/>
      <c r="AL495" s="289"/>
      <c r="AM495" s="289"/>
      <c r="AN495" s="289"/>
      <c r="AO495" s="289"/>
      <c r="AP495" s="289"/>
      <c r="AQ495" s="289"/>
      <c r="AR495" s="289"/>
      <c r="AS495" s="289"/>
      <c r="AT495" s="289"/>
      <c r="AU495" s="289"/>
      <c r="AV495" s="289"/>
      <c r="AW495" s="289"/>
      <c r="AX495" s="289"/>
      <c r="AY495" s="289"/>
    </row>
    <row r="496" spans="1:51" ht="13.5" customHeight="1">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c r="AA496" s="289"/>
      <c r="AB496" s="289"/>
      <c r="AC496" s="289"/>
      <c r="AD496" s="289"/>
      <c r="AE496" s="289"/>
      <c r="AF496" s="289"/>
      <c r="AG496" s="289"/>
      <c r="AH496" s="289"/>
      <c r="AI496" s="289"/>
      <c r="AJ496" s="289"/>
      <c r="AK496" s="289"/>
      <c r="AL496" s="289"/>
      <c r="AM496" s="289"/>
      <c r="AN496" s="289"/>
      <c r="AO496" s="289"/>
      <c r="AP496" s="289"/>
      <c r="AQ496" s="289"/>
      <c r="AR496" s="289"/>
      <c r="AS496" s="289"/>
      <c r="AT496" s="289"/>
      <c r="AU496" s="289"/>
      <c r="AV496" s="289"/>
      <c r="AW496" s="289"/>
      <c r="AX496" s="289"/>
      <c r="AY496" s="289"/>
    </row>
    <row r="497" spans="1:51" ht="13.5" customHeight="1">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c r="AA497" s="289"/>
      <c r="AB497" s="289"/>
      <c r="AC497" s="289"/>
      <c r="AD497" s="289"/>
      <c r="AE497" s="289"/>
      <c r="AF497" s="289"/>
      <c r="AG497" s="289"/>
      <c r="AH497" s="289"/>
      <c r="AI497" s="289"/>
      <c r="AJ497" s="289"/>
      <c r="AK497" s="289"/>
      <c r="AL497" s="289"/>
      <c r="AM497" s="289"/>
      <c r="AN497" s="289"/>
      <c r="AO497" s="289"/>
      <c r="AP497" s="289"/>
      <c r="AQ497" s="289"/>
      <c r="AR497" s="289"/>
      <c r="AS497" s="289"/>
      <c r="AT497" s="289"/>
      <c r="AU497" s="289"/>
      <c r="AV497" s="289"/>
      <c r="AW497" s="289"/>
      <c r="AX497" s="289"/>
      <c r="AY497" s="289"/>
    </row>
    <row r="498" spans="1:51" ht="13.5" customHeight="1">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c r="AA498" s="289"/>
      <c r="AB498" s="289"/>
      <c r="AC498" s="289"/>
      <c r="AD498" s="289"/>
      <c r="AE498" s="289"/>
      <c r="AF498" s="289"/>
      <c r="AG498" s="289"/>
      <c r="AH498" s="289"/>
      <c r="AI498" s="289"/>
      <c r="AJ498" s="289"/>
      <c r="AK498" s="289"/>
      <c r="AL498" s="289"/>
      <c r="AM498" s="289"/>
      <c r="AN498" s="289"/>
      <c r="AO498" s="289"/>
      <c r="AP498" s="289"/>
      <c r="AQ498" s="289"/>
      <c r="AR498" s="289"/>
      <c r="AS498" s="289"/>
      <c r="AT498" s="289"/>
      <c r="AU498" s="289"/>
      <c r="AV498" s="289"/>
      <c r="AW498" s="289"/>
      <c r="AX498" s="289"/>
      <c r="AY498" s="289"/>
    </row>
    <row r="499" spans="1:51" ht="13.5" customHeight="1">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c r="AA499" s="289"/>
      <c r="AB499" s="289"/>
      <c r="AC499" s="289"/>
      <c r="AD499" s="289"/>
      <c r="AE499" s="289"/>
      <c r="AF499" s="289"/>
      <c r="AG499" s="289"/>
      <c r="AH499" s="289"/>
      <c r="AI499" s="289"/>
      <c r="AJ499" s="289"/>
      <c r="AK499" s="289"/>
      <c r="AL499" s="289"/>
      <c r="AM499" s="289"/>
      <c r="AN499" s="289"/>
      <c r="AO499" s="289"/>
      <c r="AP499" s="289"/>
      <c r="AQ499" s="289"/>
      <c r="AR499" s="289"/>
      <c r="AS499" s="289"/>
      <c r="AT499" s="289"/>
      <c r="AU499" s="289"/>
      <c r="AV499" s="289"/>
      <c r="AW499" s="289"/>
      <c r="AX499" s="289"/>
      <c r="AY499" s="289"/>
    </row>
    <row r="500" spans="1:51" ht="13.5" customHeight="1">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c r="AA500" s="289"/>
      <c r="AB500" s="289"/>
      <c r="AC500" s="289"/>
      <c r="AD500" s="289"/>
      <c r="AE500" s="289"/>
      <c r="AF500" s="289"/>
      <c r="AG500" s="289"/>
      <c r="AH500" s="289"/>
      <c r="AI500" s="289"/>
      <c r="AJ500" s="289"/>
      <c r="AK500" s="289"/>
      <c r="AL500" s="289"/>
      <c r="AM500" s="289"/>
      <c r="AN500" s="289"/>
      <c r="AO500" s="289"/>
      <c r="AP500" s="289"/>
      <c r="AQ500" s="289"/>
      <c r="AR500" s="289"/>
      <c r="AS500" s="289"/>
      <c r="AT500" s="289"/>
      <c r="AU500" s="289"/>
      <c r="AV500" s="289"/>
      <c r="AW500" s="289"/>
      <c r="AX500" s="289"/>
      <c r="AY500" s="289"/>
    </row>
    <row r="501" spans="1:51" ht="13.5" customHeight="1">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c r="AA501" s="289"/>
      <c r="AB501" s="289"/>
      <c r="AC501" s="289"/>
      <c r="AD501" s="289"/>
      <c r="AE501" s="289"/>
      <c r="AF501" s="289"/>
      <c r="AG501" s="289"/>
      <c r="AH501" s="289"/>
      <c r="AI501" s="289"/>
      <c r="AJ501" s="289"/>
      <c r="AK501" s="289"/>
      <c r="AL501" s="289"/>
      <c r="AM501" s="289"/>
      <c r="AN501" s="289"/>
      <c r="AO501" s="289"/>
      <c r="AP501" s="289"/>
      <c r="AQ501" s="289"/>
      <c r="AR501" s="289"/>
      <c r="AS501" s="289"/>
      <c r="AT501" s="289"/>
      <c r="AU501" s="289"/>
      <c r="AV501" s="289"/>
      <c r="AW501" s="289"/>
      <c r="AX501" s="289"/>
      <c r="AY501" s="289"/>
    </row>
    <row r="502" spans="1:51" ht="13.5" customHeight="1">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c r="AA502" s="289"/>
      <c r="AB502" s="289"/>
      <c r="AC502" s="289"/>
      <c r="AD502" s="289"/>
      <c r="AE502" s="289"/>
      <c r="AF502" s="289"/>
      <c r="AG502" s="289"/>
      <c r="AH502" s="289"/>
      <c r="AI502" s="289"/>
      <c r="AJ502" s="289"/>
      <c r="AK502" s="289"/>
      <c r="AL502" s="289"/>
      <c r="AM502" s="289"/>
      <c r="AN502" s="289"/>
      <c r="AO502" s="289"/>
      <c r="AP502" s="289"/>
      <c r="AQ502" s="289"/>
      <c r="AR502" s="289"/>
      <c r="AS502" s="289"/>
      <c r="AT502" s="289"/>
      <c r="AU502" s="289"/>
      <c r="AV502" s="289"/>
      <c r="AW502" s="289"/>
      <c r="AX502" s="289"/>
      <c r="AY502" s="289"/>
    </row>
    <row r="503" spans="1:51" ht="13.5" customHeight="1">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c r="AA503" s="289"/>
      <c r="AB503" s="289"/>
      <c r="AC503" s="289"/>
      <c r="AD503" s="289"/>
      <c r="AE503" s="289"/>
      <c r="AF503" s="289"/>
      <c r="AG503" s="289"/>
      <c r="AH503" s="289"/>
      <c r="AI503" s="289"/>
      <c r="AJ503" s="289"/>
      <c r="AK503" s="289"/>
      <c r="AL503" s="289"/>
      <c r="AM503" s="289"/>
      <c r="AN503" s="289"/>
      <c r="AO503" s="289"/>
      <c r="AP503" s="289"/>
      <c r="AQ503" s="289"/>
      <c r="AR503" s="289"/>
      <c r="AS503" s="289"/>
      <c r="AT503" s="289"/>
      <c r="AU503" s="289"/>
      <c r="AV503" s="289"/>
      <c r="AW503" s="289"/>
      <c r="AX503" s="289"/>
      <c r="AY503" s="289"/>
    </row>
    <row r="504" spans="1:51" ht="13.5" customHeight="1">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c r="AA504" s="289"/>
      <c r="AB504" s="289"/>
      <c r="AC504" s="289"/>
      <c r="AD504" s="289"/>
      <c r="AE504" s="289"/>
      <c r="AF504" s="289"/>
      <c r="AG504" s="289"/>
      <c r="AH504" s="289"/>
      <c r="AI504" s="289"/>
      <c r="AJ504" s="289"/>
      <c r="AK504" s="289"/>
      <c r="AL504" s="289"/>
      <c r="AM504" s="289"/>
      <c r="AN504" s="289"/>
      <c r="AO504" s="289"/>
      <c r="AP504" s="289"/>
      <c r="AQ504" s="289"/>
      <c r="AR504" s="289"/>
      <c r="AS504" s="289"/>
      <c r="AT504" s="289"/>
      <c r="AU504" s="289"/>
      <c r="AV504" s="289"/>
      <c r="AW504" s="289"/>
      <c r="AX504" s="289"/>
      <c r="AY504" s="289"/>
    </row>
    <row r="505" spans="1:51" ht="13.5" customHeight="1">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c r="AA505" s="289"/>
      <c r="AB505" s="289"/>
      <c r="AC505" s="289"/>
      <c r="AD505" s="289"/>
      <c r="AE505" s="289"/>
      <c r="AF505" s="289"/>
      <c r="AG505" s="289"/>
      <c r="AH505" s="289"/>
      <c r="AI505" s="289"/>
      <c r="AJ505" s="289"/>
      <c r="AK505" s="289"/>
      <c r="AL505" s="289"/>
      <c r="AM505" s="289"/>
      <c r="AN505" s="289"/>
      <c r="AO505" s="289"/>
      <c r="AP505" s="289"/>
      <c r="AQ505" s="289"/>
      <c r="AR505" s="289"/>
      <c r="AS505" s="289"/>
      <c r="AT505" s="289"/>
      <c r="AU505" s="289"/>
      <c r="AV505" s="289"/>
      <c r="AW505" s="289"/>
      <c r="AX505" s="289"/>
      <c r="AY505" s="289"/>
    </row>
    <row r="506" spans="1:51" ht="13.5" customHeight="1">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c r="AA506" s="289"/>
      <c r="AB506" s="289"/>
      <c r="AC506" s="289"/>
      <c r="AD506" s="289"/>
      <c r="AE506" s="289"/>
      <c r="AF506" s="289"/>
      <c r="AG506" s="289"/>
      <c r="AH506" s="289"/>
      <c r="AI506" s="289"/>
      <c r="AJ506" s="289"/>
      <c r="AK506" s="289"/>
      <c r="AL506" s="289"/>
      <c r="AM506" s="289"/>
      <c r="AN506" s="289"/>
      <c r="AO506" s="289"/>
      <c r="AP506" s="289"/>
      <c r="AQ506" s="289"/>
      <c r="AR506" s="289"/>
      <c r="AS506" s="289"/>
      <c r="AT506" s="289"/>
      <c r="AU506" s="289"/>
      <c r="AV506" s="289"/>
      <c r="AW506" s="289"/>
      <c r="AX506" s="289"/>
      <c r="AY506" s="289"/>
    </row>
    <row r="507" spans="1:51" ht="13.5" customHeight="1">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c r="AA507" s="289"/>
      <c r="AB507" s="289"/>
      <c r="AC507" s="289"/>
      <c r="AD507" s="289"/>
      <c r="AE507" s="289"/>
      <c r="AF507" s="289"/>
      <c r="AG507" s="289"/>
      <c r="AH507" s="289"/>
      <c r="AI507" s="289"/>
      <c r="AJ507" s="289"/>
      <c r="AK507" s="289"/>
      <c r="AL507" s="289"/>
      <c r="AM507" s="289"/>
      <c r="AN507" s="289"/>
      <c r="AO507" s="289"/>
      <c r="AP507" s="289"/>
      <c r="AQ507" s="289"/>
      <c r="AR507" s="289"/>
      <c r="AS507" s="289"/>
      <c r="AT507" s="289"/>
      <c r="AU507" s="289"/>
      <c r="AV507" s="289"/>
      <c r="AW507" s="289"/>
      <c r="AX507" s="289"/>
      <c r="AY507" s="289"/>
    </row>
    <row r="508" spans="1:51" ht="13.5" customHeight="1">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c r="AA508" s="289"/>
      <c r="AB508" s="289"/>
      <c r="AC508" s="289"/>
      <c r="AD508" s="289"/>
      <c r="AE508" s="289"/>
      <c r="AF508" s="289"/>
      <c r="AG508" s="289"/>
      <c r="AH508" s="289"/>
      <c r="AI508" s="289"/>
      <c r="AJ508" s="289"/>
      <c r="AK508" s="289"/>
      <c r="AL508" s="289"/>
      <c r="AM508" s="289"/>
      <c r="AN508" s="289"/>
      <c r="AO508" s="289"/>
      <c r="AP508" s="289"/>
      <c r="AQ508" s="289"/>
      <c r="AR508" s="289"/>
      <c r="AS508" s="289"/>
      <c r="AT508" s="289"/>
      <c r="AU508" s="289"/>
      <c r="AV508" s="289"/>
      <c r="AW508" s="289"/>
      <c r="AX508" s="289"/>
      <c r="AY508" s="289"/>
    </row>
    <row r="509" spans="1:51" ht="13.5" customHeight="1">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c r="AA509" s="289"/>
      <c r="AB509" s="289"/>
      <c r="AC509" s="289"/>
      <c r="AD509" s="289"/>
      <c r="AE509" s="289"/>
      <c r="AF509" s="289"/>
      <c r="AG509" s="289"/>
      <c r="AH509" s="289"/>
      <c r="AI509" s="289"/>
      <c r="AJ509" s="289"/>
      <c r="AK509" s="289"/>
      <c r="AL509" s="289"/>
      <c r="AM509" s="289"/>
      <c r="AN509" s="289"/>
      <c r="AO509" s="289"/>
      <c r="AP509" s="289"/>
      <c r="AQ509" s="289"/>
      <c r="AR509" s="289"/>
      <c r="AS509" s="289"/>
      <c r="AT509" s="289"/>
      <c r="AU509" s="289"/>
      <c r="AV509" s="289"/>
      <c r="AW509" s="289"/>
      <c r="AX509" s="289"/>
      <c r="AY509" s="289"/>
    </row>
    <row r="510" spans="1:51" ht="13.5" customHeight="1">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c r="AA510" s="289"/>
      <c r="AB510" s="289"/>
      <c r="AC510" s="289"/>
      <c r="AD510" s="289"/>
      <c r="AE510" s="289"/>
      <c r="AF510" s="289"/>
      <c r="AG510" s="289"/>
      <c r="AH510" s="289"/>
      <c r="AI510" s="289"/>
      <c r="AJ510" s="289"/>
      <c r="AK510" s="289"/>
      <c r="AL510" s="289"/>
      <c r="AM510" s="289"/>
      <c r="AN510" s="289"/>
      <c r="AO510" s="289"/>
      <c r="AP510" s="289"/>
      <c r="AQ510" s="289"/>
      <c r="AR510" s="289"/>
      <c r="AS510" s="289"/>
      <c r="AT510" s="289"/>
      <c r="AU510" s="289"/>
      <c r="AV510" s="289"/>
      <c r="AW510" s="289"/>
      <c r="AX510" s="289"/>
      <c r="AY510" s="289"/>
    </row>
    <row r="511" spans="1:51" ht="13.5" customHeight="1">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c r="AA511" s="289"/>
      <c r="AB511" s="289"/>
      <c r="AC511" s="289"/>
      <c r="AD511" s="289"/>
      <c r="AE511" s="289"/>
      <c r="AF511" s="289"/>
      <c r="AG511" s="289"/>
      <c r="AH511" s="289"/>
      <c r="AI511" s="289"/>
      <c r="AJ511" s="289"/>
      <c r="AK511" s="289"/>
      <c r="AL511" s="289"/>
      <c r="AM511" s="289"/>
      <c r="AN511" s="289"/>
      <c r="AO511" s="289"/>
      <c r="AP511" s="289"/>
      <c r="AQ511" s="289"/>
      <c r="AR511" s="289"/>
      <c r="AS511" s="289"/>
      <c r="AT511" s="289"/>
      <c r="AU511" s="289"/>
      <c r="AV511" s="289"/>
      <c r="AW511" s="289"/>
      <c r="AX511" s="289"/>
      <c r="AY511" s="289"/>
    </row>
    <row r="512" spans="1:51" ht="13.5" customHeight="1">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c r="AA512" s="289"/>
      <c r="AB512" s="289"/>
      <c r="AC512" s="289"/>
      <c r="AD512" s="289"/>
      <c r="AE512" s="289"/>
      <c r="AF512" s="289"/>
      <c r="AG512" s="289"/>
      <c r="AH512" s="289"/>
      <c r="AI512" s="289"/>
      <c r="AJ512" s="289"/>
      <c r="AK512" s="289"/>
      <c r="AL512" s="289"/>
      <c r="AM512" s="289"/>
      <c r="AN512" s="289"/>
      <c r="AO512" s="289"/>
      <c r="AP512" s="289"/>
      <c r="AQ512" s="289"/>
      <c r="AR512" s="289"/>
      <c r="AS512" s="289"/>
      <c r="AT512" s="289"/>
      <c r="AU512" s="289"/>
      <c r="AV512" s="289"/>
      <c r="AW512" s="289"/>
      <c r="AX512" s="289"/>
      <c r="AY512" s="289"/>
    </row>
    <row r="513" spans="1:51" ht="13.5" customHeight="1">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c r="AA513" s="289"/>
      <c r="AB513" s="289"/>
      <c r="AC513" s="289"/>
      <c r="AD513" s="289"/>
      <c r="AE513" s="289"/>
      <c r="AF513" s="289"/>
      <c r="AG513" s="289"/>
      <c r="AH513" s="289"/>
      <c r="AI513" s="289"/>
      <c r="AJ513" s="289"/>
      <c r="AK513" s="289"/>
      <c r="AL513" s="289"/>
      <c r="AM513" s="289"/>
      <c r="AN513" s="289"/>
      <c r="AO513" s="289"/>
      <c r="AP513" s="289"/>
      <c r="AQ513" s="289"/>
      <c r="AR513" s="289"/>
      <c r="AS513" s="289"/>
      <c r="AT513" s="289"/>
      <c r="AU513" s="289"/>
      <c r="AV513" s="289"/>
      <c r="AW513" s="289"/>
      <c r="AX513" s="289"/>
      <c r="AY513" s="289"/>
    </row>
    <row r="514" spans="1:51" ht="13.5" customHeight="1">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c r="AA514" s="289"/>
      <c r="AB514" s="289"/>
      <c r="AC514" s="289"/>
      <c r="AD514" s="289"/>
      <c r="AE514" s="289"/>
      <c r="AF514" s="289"/>
      <c r="AG514" s="289"/>
      <c r="AH514" s="289"/>
      <c r="AI514" s="289"/>
      <c r="AJ514" s="289"/>
      <c r="AK514" s="289"/>
      <c r="AL514" s="289"/>
      <c r="AM514" s="289"/>
      <c r="AN514" s="289"/>
      <c r="AO514" s="289"/>
      <c r="AP514" s="289"/>
      <c r="AQ514" s="289"/>
      <c r="AR514" s="289"/>
      <c r="AS514" s="289"/>
      <c r="AT514" s="289"/>
      <c r="AU514" s="289"/>
      <c r="AV514" s="289"/>
      <c r="AW514" s="289"/>
      <c r="AX514" s="289"/>
      <c r="AY514" s="289"/>
    </row>
    <row r="515" spans="1:51" ht="13.5" customHeight="1">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c r="AA515" s="289"/>
      <c r="AB515" s="289"/>
      <c r="AC515" s="289"/>
      <c r="AD515" s="289"/>
      <c r="AE515" s="289"/>
      <c r="AF515" s="289"/>
      <c r="AG515" s="289"/>
      <c r="AH515" s="289"/>
      <c r="AI515" s="289"/>
      <c r="AJ515" s="289"/>
      <c r="AK515" s="289"/>
      <c r="AL515" s="289"/>
      <c r="AM515" s="289"/>
      <c r="AN515" s="289"/>
      <c r="AO515" s="289"/>
      <c r="AP515" s="289"/>
      <c r="AQ515" s="289"/>
      <c r="AR515" s="289"/>
      <c r="AS515" s="289"/>
      <c r="AT515" s="289"/>
      <c r="AU515" s="289"/>
      <c r="AV515" s="289"/>
      <c r="AW515" s="289"/>
      <c r="AX515" s="289"/>
      <c r="AY515" s="289"/>
    </row>
    <row r="516" spans="1:51" ht="13.5" customHeight="1">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c r="AA516" s="289"/>
      <c r="AB516" s="289"/>
      <c r="AC516" s="289"/>
      <c r="AD516" s="289"/>
      <c r="AE516" s="289"/>
      <c r="AF516" s="289"/>
      <c r="AG516" s="289"/>
      <c r="AH516" s="289"/>
      <c r="AI516" s="289"/>
      <c r="AJ516" s="289"/>
      <c r="AK516" s="289"/>
      <c r="AL516" s="289"/>
      <c r="AM516" s="289"/>
      <c r="AN516" s="289"/>
      <c r="AO516" s="289"/>
      <c r="AP516" s="289"/>
      <c r="AQ516" s="289"/>
      <c r="AR516" s="289"/>
      <c r="AS516" s="289"/>
      <c r="AT516" s="289"/>
      <c r="AU516" s="289"/>
      <c r="AV516" s="289"/>
      <c r="AW516" s="289"/>
      <c r="AX516" s="289"/>
      <c r="AY516" s="289"/>
    </row>
    <row r="517" spans="1:51" ht="13.5" customHeight="1">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c r="AA517" s="289"/>
      <c r="AB517" s="289"/>
      <c r="AC517" s="289"/>
      <c r="AD517" s="289"/>
      <c r="AE517" s="289"/>
      <c r="AF517" s="289"/>
      <c r="AG517" s="289"/>
      <c r="AH517" s="289"/>
      <c r="AI517" s="289"/>
      <c r="AJ517" s="289"/>
      <c r="AK517" s="289"/>
      <c r="AL517" s="289"/>
      <c r="AM517" s="289"/>
      <c r="AN517" s="289"/>
      <c r="AO517" s="289"/>
      <c r="AP517" s="289"/>
      <c r="AQ517" s="289"/>
      <c r="AR517" s="289"/>
      <c r="AS517" s="289"/>
      <c r="AT517" s="289"/>
      <c r="AU517" s="289"/>
      <c r="AV517" s="289"/>
      <c r="AW517" s="289"/>
      <c r="AX517" s="289"/>
      <c r="AY517" s="289"/>
    </row>
    <row r="518" spans="1:51" ht="13.5" customHeight="1">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c r="AA518" s="289"/>
      <c r="AB518" s="289"/>
      <c r="AC518" s="289"/>
      <c r="AD518" s="289"/>
      <c r="AE518" s="289"/>
      <c r="AF518" s="289"/>
      <c r="AG518" s="289"/>
      <c r="AH518" s="289"/>
      <c r="AI518" s="289"/>
      <c r="AJ518" s="289"/>
      <c r="AK518" s="289"/>
      <c r="AL518" s="289"/>
      <c r="AM518" s="289"/>
      <c r="AN518" s="289"/>
      <c r="AO518" s="289"/>
      <c r="AP518" s="289"/>
      <c r="AQ518" s="289"/>
      <c r="AR518" s="289"/>
      <c r="AS518" s="289"/>
      <c r="AT518" s="289"/>
      <c r="AU518" s="289"/>
      <c r="AV518" s="289"/>
      <c r="AW518" s="289"/>
      <c r="AX518" s="289"/>
      <c r="AY518" s="289"/>
    </row>
    <row r="519" spans="1:51" ht="13.5" customHeight="1">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c r="AA519" s="289"/>
      <c r="AB519" s="289"/>
      <c r="AC519" s="289"/>
      <c r="AD519" s="289"/>
      <c r="AE519" s="289"/>
      <c r="AF519" s="289"/>
      <c r="AG519" s="289"/>
      <c r="AH519" s="289"/>
      <c r="AI519" s="289"/>
      <c r="AJ519" s="289"/>
      <c r="AK519" s="289"/>
      <c r="AL519" s="289"/>
      <c r="AM519" s="289"/>
      <c r="AN519" s="289"/>
      <c r="AO519" s="289"/>
      <c r="AP519" s="289"/>
      <c r="AQ519" s="289"/>
      <c r="AR519" s="289"/>
      <c r="AS519" s="289"/>
      <c r="AT519" s="289"/>
      <c r="AU519" s="289"/>
      <c r="AV519" s="289"/>
      <c r="AW519" s="289"/>
      <c r="AX519" s="289"/>
      <c r="AY519" s="289"/>
    </row>
    <row r="520" spans="1:51" ht="13.5" customHeight="1">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c r="AA520" s="289"/>
      <c r="AB520" s="289"/>
      <c r="AC520" s="289"/>
      <c r="AD520" s="289"/>
      <c r="AE520" s="289"/>
      <c r="AF520" s="289"/>
      <c r="AG520" s="289"/>
      <c r="AH520" s="289"/>
      <c r="AI520" s="289"/>
      <c r="AJ520" s="289"/>
      <c r="AK520" s="289"/>
      <c r="AL520" s="289"/>
      <c r="AM520" s="289"/>
      <c r="AN520" s="289"/>
      <c r="AO520" s="289"/>
      <c r="AP520" s="289"/>
      <c r="AQ520" s="289"/>
      <c r="AR520" s="289"/>
      <c r="AS520" s="289"/>
      <c r="AT520" s="289"/>
      <c r="AU520" s="289"/>
      <c r="AV520" s="289"/>
      <c r="AW520" s="289"/>
      <c r="AX520" s="289"/>
      <c r="AY520" s="289"/>
    </row>
    <row r="521" spans="1:51" ht="13.5" customHeight="1">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c r="AA521" s="289"/>
      <c r="AB521" s="289"/>
      <c r="AC521" s="289"/>
      <c r="AD521" s="289"/>
      <c r="AE521" s="289"/>
      <c r="AF521" s="289"/>
      <c r="AG521" s="289"/>
      <c r="AH521" s="289"/>
      <c r="AI521" s="289"/>
      <c r="AJ521" s="289"/>
      <c r="AK521" s="289"/>
      <c r="AL521" s="289"/>
      <c r="AM521" s="289"/>
      <c r="AN521" s="289"/>
      <c r="AO521" s="289"/>
      <c r="AP521" s="289"/>
      <c r="AQ521" s="289"/>
      <c r="AR521" s="289"/>
      <c r="AS521" s="289"/>
      <c r="AT521" s="289"/>
      <c r="AU521" s="289"/>
      <c r="AV521" s="289"/>
      <c r="AW521" s="289"/>
      <c r="AX521" s="289"/>
      <c r="AY521" s="289"/>
    </row>
    <row r="522" spans="1:51" ht="13.5" customHeight="1">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c r="AA522" s="289"/>
      <c r="AB522" s="289"/>
      <c r="AC522" s="289"/>
      <c r="AD522" s="289"/>
      <c r="AE522" s="289"/>
      <c r="AF522" s="289"/>
      <c r="AG522" s="289"/>
      <c r="AH522" s="289"/>
      <c r="AI522" s="289"/>
      <c r="AJ522" s="289"/>
      <c r="AK522" s="289"/>
      <c r="AL522" s="289"/>
      <c r="AM522" s="289"/>
      <c r="AN522" s="289"/>
      <c r="AO522" s="289"/>
      <c r="AP522" s="289"/>
      <c r="AQ522" s="289"/>
      <c r="AR522" s="289"/>
      <c r="AS522" s="289"/>
      <c r="AT522" s="289"/>
      <c r="AU522" s="289"/>
      <c r="AV522" s="289"/>
      <c r="AW522" s="289"/>
      <c r="AX522" s="289"/>
      <c r="AY522" s="289"/>
    </row>
    <row r="523" spans="1:51" ht="13.5" customHeight="1">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c r="AA523" s="289"/>
      <c r="AB523" s="289"/>
      <c r="AC523" s="289"/>
      <c r="AD523" s="289"/>
      <c r="AE523" s="289"/>
      <c r="AF523" s="289"/>
      <c r="AG523" s="289"/>
      <c r="AH523" s="289"/>
      <c r="AI523" s="289"/>
      <c r="AJ523" s="289"/>
      <c r="AK523" s="289"/>
      <c r="AL523" s="289"/>
      <c r="AM523" s="289"/>
      <c r="AN523" s="289"/>
      <c r="AO523" s="289"/>
      <c r="AP523" s="289"/>
      <c r="AQ523" s="289"/>
      <c r="AR523" s="289"/>
      <c r="AS523" s="289"/>
      <c r="AT523" s="289"/>
      <c r="AU523" s="289"/>
      <c r="AV523" s="289"/>
      <c r="AW523" s="289"/>
      <c r="AX523" s="289"/>
      <c r="AY523" s="289"/>
    </row>
    <row r="524" spans="1:51" ht="13.5" customHeight="1">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c r="AA524" s="289"/>
      <c r="AB524" s="289"/>
      <c r="AC524" s="289"/>
      <c r="AD524" s="289"/>
      <c r="AE524" s="289"/>
      <c r="AF524" s="289"/>
      <c r="AG524" s="289"/>
      <c r="AH524" s="289"/>
      <c r="AI524" s="289"/>
      <c r="AJ524" s="289"/>
      <c r="AK524" s="289"/>
      <c r="AL524" s="289"/>
      <c r="AM524" s="289"/>
      <c r="AN524" s="289"/>
      <c r="AO524" s="289"/>
      <c r="AP524" s="289"/>
      <c r="AQ524" s="289"/>
      <c r="AR524" s="289"/>
      <c r="AS524" s="289"/>
      <c r="AT524" s="289"/>
      <c r="AU524" s="289"/>
      <c r="AV524" s="289"/>
      <c r="AW524" s="289"/>
      <c r="AX524" s="289"/>
      <c r="AY524" s="289"/>
    </row>
    <row r="525" spans="1:51" ht="13.5" customHeight="1">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c r="AA525" s="289"/>
      <c r="AB525" s="289"/>
      <c r="AC525" s="289"/>
      <c r="AD525" s="289"/>
      <c r="AE525" s="289"/>
      <c r="AF525" s="289"/>
      <c r="AG525" s="289"/>
      <c r="AH525" s="289"/>
      <c r="AI525" s="289"/>
      <c r="AJ525" s="289"/>
      <c r="AK525" s="289"/>
      <c r="AL525" s="289"/>
      <c r="AM525" s="289"/>
      <c r="AN525" s="289"/>
      <c r="AO525" s="289"/>
      <c r="AP525" s="289"/>
      <c r="AQ525" s="289"/>
      <c r="AR525" s="289"/>
      <c r="AS525" s="289"/>
      <c r="AT525" s="289"/>
      <c r="AU525" s="289"/>
      <c r="AV525" s="289"/>
      <c r="AW525" s="289"/>
      <c r="AX525" s="289"/>
      <c r="AY525" s="289"/>
    </row>
    <row r="526" spans="1:51" ht="13.5" customHeight="1">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c r="AA526" s="289"/>
      <c r="AB526" s="289"/>
      <c r="AC526" s="289"/>
      <c r="AD526" s="289"/>
      <c r="AE526" s="289"/>
      <c r="AF526" s="289"/>
      <c r="AG526" s="289"/>
      <c r="AH526" s="289"/>
      <c r="AI526" s="289"/>
      <c r="AJ526" s="289"/>
      <c r="AK526" s="289"/>
      <c r="AL526" s="289"/>
      <c r="AM526" s="289"/>
      <c r="AN526" s="289"/>
      <c r="AO526" s="289"/>
      <c r="AP526" s="289"/>
      <c r="AQ526" s="289"/>
      <c r="AR526" s="289"/>
      <c r="AS526" s="289"/>
      <c r="AT526" s="289"/>
      <c r="AU526" s="289"/>
      <c r="AV526" s="289"/>
      <c r="AW526" s="289"/>
      <c r="AX526" s="289"/>
      <c r="AY526" s="289"/>
    </row>
    <row r="527" spans="1:51" ht="13.5" customHeight="1">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c r="AA527" s="289"/>
      <c r="AB527" s="289"/>
      <c r="AC527" s="289"/>
      <c r="AD527" s="289"/>
      <c r="AE527" s="289"/>
      <c r="AF527" s="289"/>
      <c r="AG527" s="289"/>
      <c r="AH527" s="289"/>
      <c r="AI527" s="289"/>
      <c r="AJ527" s="289"/>
      <c r="AK527" s="289"/>
      <c r="AL527" s="289"/>
      <c r="AM527" s="289"/>
      <c r="AN527" s="289"/>
      <c r="AO527" s="289"/>
      <c r="AP527" s="289"/>
      <c r="AQ527" s="289"/>
      <c r="AR527" s="289"/>
      <c r="AS527" s="289"/>
      <c r="AT527" s="289"/>
      <c r="AU527" s="289"/>
      <c r="AV527" s="289"/>
      <c r="AW527" s="289"/>
      <c r="AX527" s="289"/>
      <c r="AY527" s="289"/>
    </row>
    <row r="528" spans="1:51" ht="13.5" customHeight="1">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c r="AA528" s="289"/>
      <c r="AB528" s="289"/>
      <c r="AC528" s="289"/>
      <c r="AD528" s="289"/>
      <c r="AE528" s="289"/>
      <c r="AF528" s="289"/>
      <c r="AG528" s="289"/>
      <c r="AH528" s="289"/>
      <c r="AI528" s="289"/>
      <c r="AJ528" s="289"/>
      <c r="AK528" s="289"/>
      <c r="AL528" s="289"/>
      <c r="AM528" s="289"/>
      <c r="AN528" s="289"/>
      <c r="AO528" s="289"/>
      <c r="AP528" s="289"/>
      <c r="AQ528" s="289"/>
      <c r="AR528" s="289"/>
      <c r="AS528" s="289"/>
      <c r="AT528" s="289"/>
      <c r="AU528" s="289"/>
      <c r="AV528" s="289"/>
      <c r="AW528" s="289"/>
      <c r="AX528" s="289"/>
      <c r="AY528" s="289"/>
    </row>
    <row r="529" spans="1:51" ht="13.5" customHeight="1">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c r="AA529" s="289"/>
      <c r="AB529" s="289"/>
      <c r="AC529" s="289"/>
      <c r="AD529" s="289"/>
      <c r="AE529" s="289"/>
      <c r="AF529" s="289"/>
      <c r="AG529" s="289"/>
      <c r="AH529" s="289"/>
      <c r="AI529" s="289"/>
      <c r="AJ529" s="289"/>
      <c r="AK529" s="289"/>
      <c r="AL529" s="289"/>
      <c r="AM529" s="289"/>
      <c r="AN529" s="289"/>
      <c r="AO529" s="289"/>
      <c r="AP529" s="289"/>
      <c r="AQ529" s="289"/>
      <c r="AR529" s="289"/>
      <c r="AS529" s="289"/>
      <c r="AT529" s="289"/>
      <c r="AU529" s="289"/>
      <c r="AV529" s="289"/>
      <c r="AW529" s="289"/>
      <c r="AX529" s="289"/>
      <c r="AY529" s="289"/>
    </row>
    <row r="530" spans="1:51" ht="13.5" customHeight="1">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c r="AA530" s="289"/>
      <c r="AB530" s="289"/>
      <c r="AC530" s="289"/>
      <c r="AD530" s="289"/>
      <c r="AE530" s="289"/>
      <c r="AF530" s="289"/>
      <c r="AG530" s="289"/>
      <c r="AH530" s="289"/>
      <c r="AI530" s="289"/>
      <c r="AJ530" s="289"/>
      <c r="AK530" s="289"/>
      <c r="AL530" s="289"/>
      <c r="AM530" s="289"/>
      <c r="AN530" s="289"/>
      <c r="AO530" s="289"/>
      <c r="AP530" s="289"/>
      <c r="AQ530" s="289"/>
      <c r="AR530" s="289"/>
      <c r="AS530" s="289"/>
      <c r="AT530" s="289"/>
      <c r="AU530" s="289"/>
      <c r="AV530" s="289"/>
      <c r="AW530" s="289"/>
      <c r="AX530" s="289"/>
      <c r="AY530" s="289"/>
    </row>
    <row r="531" spans="1:51" ht="13.5" customHeight="1">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c r="AA531" s="289"/>
      <c r="AB531" s="289"/>
      <c r="AC531" s="289"/>
      <c r="AD531" s="289"/>
      <c r="AE531" s="289"/>
      <c r="AF531" s="289"/>
      <c r="AG531" s="289"/>
      <c r="AH531" s="289"/>
      <c r="AI531" s="289"/>
      <c r="AJ531" s="289"/>
      <c r="AK531" s="289"/>
      <c r="AL531" s="289"/>
      <c r="AM531" s="289"/>
      <c r="AN531" s="289"/>
      <c r="AO531" s="289"/>
      <c r="AP531" s="289"/>
      <c r="AQ531" s="289"/>
      <c r="AR531" s="289"/>
      <c r="AS531" s="289"/>
      <c r="AT531" s="289"/>
      <c r="AU531" s="289"/>
      <c r="AV531" s="289"/>
      <c r="AW531" s="289"/>
      <c r="AX531" s="289"/>
      <c r="AY531" s="289"/>
    </row>
    <row r="532" spans="1:51" ht="13.5" customHeight="1">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c r="AA532" s="289"/>
      <c r="AB532" s="289"/>
      <c r="AC532" s="289"/>
      <c r="AD532" s="289"/>
      <c r="AE532" s="289"/>
      <c r="AF532" s="289"/>
      <c r="AG532" s="289"/>
      <c r="AH532" s="289"/>
      <c r="AI532" s="289"/>
      <c r="AJ532" s="289"/>
      <c r="AK532" s="289"/>
      <c r="AL532" s="289"/>
      <c r="AM532" s="289"/>
      <c r="AN532" s="289"/>
      <c r="AO532" s="289"/>
      <c r="AP532" s="289"/>
      <c r="AQ532" s="289"/>
      <c r="AR532" s="289"/>
      <c r="AS532" s="289"/>
      <c r="AT532" s="289"/>
      <c r="AU532" s="289"/>
      <c r="AV532" s="289"/>
      <c r="AW532" s="289"/>
      <c r="AX532" s="289"/>
      <c r="AY532" s="289"/>
    </row>
    <row r="533" spans="1:51" ht="13.5" customHeight="1">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c r="AA533" s="289"/>
      <c r="AB533" s="289"/>
      <c r="AC533" s="289"/>
      <c r="AD533" s="289"/>
      <c r="AE533" s="289"/>
      <c r="AF533" s="289"/>
      <c r="AG533" s="289"/>
      <c r="AH533" s="289"/>
      <c r="AI533" s="289"/>
      <c r="AJ533" s="289"/>
      <c r="AK533" s="289"/>
      <c r="AL533" s="289"/>
      <c r="AM533" s="289"/>
      <c r="AN533" s="289"/>
      <c r="AO533" s="289"/>
      <c r="AP533" s="289"/>
      <c r="AQ533" s="289"/>
      <c r="AR533" s="289"/>
      <c r="AS533" s="289"/>
      <c r="AT533" s="289"/>
      <c r="AU533" s="289"/>
      <c r="AV533" s="289"/>
      <c r="AW533" s="289"/>
      <c r="AX533" s="289"/>
      <c r="AY533" s="289"/>
    </row>
    <row r="534" spans="1:51" ht="13.5" customHeight="1">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c r="AA534" s="289"/>
      <c r="AB534" s="289"/>
      <c r="AC534" s="289"/>
      <c r="AD534" s="289"/>
      <c r="AE534" s="289"/>
      <c r="AF534" s="289"/>
      <c r="AG534" s="289"/>
      <c r="AH534" s="289"/>
      <c r="AI534" s="289"/>
      <c r="AJ534" s="289"/>
      <c r="AK534" s="289"/>
      <c r="AL534" s="289"/>
      <c r="AM534" s="289"/>
      <c r="AN534" s="289"/>
      <c r="AO534" s="289"/>
      <c r="AP534" s="289"/>
      <c r="AQ534" s="289"/>
      <c r="AR534" s="289"/>
      <c r="AS534" s="289"/>
      <c r="AT534" s="289"/>
      <c r="AU534" s="289"/>
      <c r="AV534" s="289"/>
      <c r="AW534" s="289"/>
      <c r="AX534" s="289"/>
      <c r="AY534" s="289"/>
    </row>
    <row r="535" spans="1:51" ht="13.5" customHeight="1">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c r="AA535" s="289"/>
      <c r="AB535" s="289"/>
      <c r="AC535" s="289"/>
      <c r="AD535" s="289"/>
      <c r="AE535" s="289"/>
      <c r="AF535" s="289"/>
      <c r="AG535" s="289"/>
      <c r="AH535" s="289"/>
      <c r="AI535" s="289"/>
      <c r="AJ535" s="289"/>
      <c r="AK535" s="289"/>
      <c r="AL535" s="289"/>
      <c r="AM535" s="289"/>
      <c r="AN535" s="289"/>
      <c r="AO535" s="289"/>
      <c r="AP535" s="289"/>
      <c r="AQ535" s="289"/>
      <c r="AR535" s="289"/>
      <c r="AS535" s="289"/>
      <c r="AT535" s="289"/>
      <c r="AU535" s="289"/>
      <c r="AV535" s="289"/>
      <c r="AW535" s="289"/>
      <c r="AX535" s="289"/>
      <c r="AY535" s="289"/>
    </row>
    <row r="536" spans="1:51" ht="13.5" customHeight="1">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c r="AA536" s="289"/>
      <c r="AB536" s="289"/>
      <c r="AC536" s="289"/>
      <c r="AD536" s="289"/>
      <c r="AE536" s="289"/>
      <c r="AF536" s="289"/>
      <c r="AG536" s="289"/>
      <c r="AH536" s="289"/>
      <c r="AI536" s="289"/>
      <c r="AJ536" s="289"/>
      <c r="AK536" s="289"/>
      <c r="AL536" s="289"/>
      <c r="AM536" s="289"/>
      <c r="AN536" s="289"/>
      <c r="AO536" s="289"/>
      <c r="AP536" s="289"/>
      <c r="AQ536" s="289"/>
      <c r="AR536" s="289"/>
      <c r="AS536" s="289"/>
      <c r="AT536" s="289"/>
      <c r="AU536" s="289"/>
      <c r="AV536" s="289"/>
      <c r="AW536" s="289"/>
      <c r="AX536" s="289"/>
      <c r="AY536" s="289"/>
    </row>
    <row r="537" spans="1:51" ht="13.5" customHeight="1">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c r="AA537" s="289"/>
      <c r="AB537" s="289"/>
      <c r="AC537" s="289"/>
      <c r="AD537" s="289"/>
      <c r="AE537" s="289"/>
      <c r="AF537" s="289"/>
      <c r="AG537" s="289"/>
      <c r="AH537" s="289"/>
      <c r="AI537" s="289"/>
      <c r="AJ537" s="289"/>
      <c r="AK537" s="289"/>
      <c r="AL537" s="289"/>
      <c r="AM537" s="289"/>
      <c r="AN537" s="289"/>
      <c r="AO537" s="289"/>
      <c r="AP537" s="289"/>
      <c r="AQ537" s="289"/>
      <c r="AR537" s="289"/>
      <c r="AS537" s="289"/>
      <c r="AT537" s="289"/>
      <c r="AU537" s="289"/>
      <c r="AV537" s="289"/>
      <c r="AW537" s="289"/>
      <c r="AX537" s="289"/>
      <c r="AY537" s="289"/>
    </row>
    <row r="538" spans="1:51" ht="13.5" customHeight="1">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c r="AA538" s="289"/>
      <c r="AB538" s="289"/>
      <c r="AC538" s="289"/>
      <c r="AD538" s="289"/>
      <c r="AE538" s="289"/>
      <c r="AF538" s="289"/>
      <c r="AG538" s="289"/>
      <c r="AH538" s="289"/>
      <c r="AI538" s="289"/>
      <c r="AJ538" s="289"/>
      <c r="AK538" s="289"/>
      <c r="AL538" s="289"/>
      <c r="AM538" s="289"/>
      <c r="AN538" s="289"/>
      <c r="AO538" s="289"/>
      <c r="AP538" s="289"/>
      <c r="AQ538" s="289"/>
      <c r="AR538" s="289"/>
      <c r="AS538" s="289"/>
      <c r="AT538" s="289"/>
      <c r="AU538" s="289"/>
      <c r="AV538" s="289"/>
      <c r="AW538" s="289"/>
      <c r="AX538" s="289"/>
      <c r="AY538" s="289"/>
    </row>
    <row r="539" spans="1:51" ht="13.5" customHeight="1">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c r="AA539" s="289"/>
      <c r="AB539" s="289"/>
      <c r="AC539" s="289"/>
      <c r="AD539" s="289"/>
      <c r="AE539" s="289"/>
      <c r="AF539" s="289"/>
      <c r="AG539" s="289"/>
      <c r="AH539" s="289"/>
      <c r="AI539" s="289"/>
      <c r="AJ539" s="289"/>
      <c r="AK539" s="289"/>
      <c r="AL539" s="289"/>
      <c r="AM539" s="289"/>
      <c r="AN539" s="289"/>
      <c r="AO539" s="289"/>
      <c r="AP539" s="289"/>
      <c r="AQ539" s="289"/>
      <c r="AR539" s="289"/>
      <c r="AS539" s="289"/>
      <c r="AT539" s="289"/>
      <c r="AU539" s="289"/>
      <c r="AV539" s="289"/>
      <c r="AW539" s="289"/>
      <c r="AX539" s="289"/>
      <c r="AY539" s="289"/>
    </row>
    <row r="540" spans="1:51" ht="13.5" customHeight="1">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c r="AA540" s="289"/>
      <c r="AB540" s="289"/>
      <c r="AC540" s="289"/>
      <c r="AD540" s="289"/>
      <c r="AE540" s="289"/>
      <c r="AF540" s="289"/>
      <c r="AG540" s="289"/>
      <c r="AH540" s="289"/>
      <c r="AI540" s="289"/>
      <c r="AJ540" s="289"/>
      <c r="AK540" s="289"/>
      <c r="AL540" s="289"/>
      <c r="AM540" s="289"/>
      <c r="AN540" s="289"/>
      <c r="AO540" s="289"/>
      <c r="AP540" s="289"/>
      <c r="AQ540" s="289"/>
      <c r="AR540" s="289"/>
      <c r="AS540" s="289"/>
      <c r="AT540" s="289"/>
      <c r="AU540" s="289"/>
      <c r="AV540" s="289"/>
      <c r="AW540" s="289"/>
      <c r="AX540" s="289"/>
      <c r="AY540" s="289"/>
    </row>
    <row r="541" spans="1:51" ht="13.5" customHeight="1">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c r="AA541" s="289"/>
      <c r="AB541" s="289"/>
      <c r="AC541" s="289"/>
      <c r="AD541" s="289"/>
      <c r="AE541" s="289"/>
      <c r="AF541" s="289"/>
      <c r="AG541" s="289"/>
      <c r="AH541" s="289"/>
      <c r="AI541" s="289"/>
      <c r="AJ541" s="289"/>
      <c r="AK541" s="289"/>
      <c r="AL541" s="289"/>
      <c r="AM541" s="289"/>
      <c r="AN541" s="289"/>
      <c r="AO541" s="289"/>
      <c r="AP541" s="289"/>
      <c r="AQ541" s="289"/>
      <c r="AR541" s="289"/>
      <c r="AS541" s="289"/>
      <c r="AT541" s="289"/>
      <c r="AU541" s="289"/>
      <c r="AV541" s="289"/>
      <c r="AW541" s="289"/>
      <c r="AX541" s="289"/>
      <c r="AY541" s="289"/>
    </row>
    <row r="542" spans="1:51" ht="13.5" customHeight="1">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c r="AA542" s="289"/>
      <c r="AB542" s="289"/>
      <c r="AC542" s="289"/>
      <c r="AD542" s="289"/>
      <c r="AE542" s="289"/>
      <c r="AF542" s="289"/>
      <c r="AG542" s="289"/>
      <c r="AH542" s="289"/>
      <c r="AI542" s="289"/>
      <c r="AJ542" s="289"/>
      <c r="AK542" s="289"/>
      <c r="AL542" s="289"/>
      <c r="AM542" s="289"/>
      <c r="AN542" s="289"/>
      <c r="AO542" s="289"/>
      <c r="AP542" s="289"/>
      <c r="AQ542" s="289"/>
      <c r="AR542" s="289"/>
      <c r="AS542" s="289"/>
      <c r="AT542" s="289"/>
      <c r="AU542" s="289"/>
      <c r="AV542" s="289"/>
      <c r="AW542" s="289"/>
      <c r="AX542" s="289"/>
      <c r="AY542" s="289"/>
    </row>
    <row r="543" spans="1:51" ht="13.5" customHeight="1">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c r="AA543" s="289"/>
      <c r="AB543" s="289"/>
      <c r="AC543" s="289"/>
      <c r="AD543" s="289"/>
      <c r="AE543" s="289"/>
      <c r="AF543" s="289"/>
      <c r="AG543" s="289"/>
      <c r="AH543" s="289"/>
      <c r="AI543" s="289"/>
      <c r="AJ543" s="289"/>
      <c r="AK543" s="289"/>
      <c r="AL543" s="289"/>
      <c r="AM543" s="289"/>
      <c r="AN543" s="289"/>
      <c r="AO543" s="289"/>
      <c r="AP543" s="289"/>
      <c r="AQ543" s="289"/>
      <c r="AR543" s="289"/>
      <c r="AS543" s="289"/>
      <c r="AT543" s="289"/>
      <c r="AU543" s="289"/>
      <c r="AV543" s="289"/>
      <c r="AW543" s="289"/>
      <c r="AX543" s="289"/>
      <c r="AY543" s="289"/>
    </row>
    <row r="544" spans="1:51" ht="13.5" customHeight="1">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c r="AA544" s="289"/>
      <c r="AB544" s="289"/>
      <c r="AC544" s="289"/>
      <c r="AD544" s="289"/>
      <c r="AE544" s="289"/>
      <c r="AF544" s="289"/>
      <c r="AG544" s="289"/>
      <c r="AH544" s="289"/>
      <c r="AI544" s="289"/>
      <c r="AJ544" s="289"/>
      <c r="AK544" s="289"/>
      <c r="AL544" s="289"/>
      <c r="AM544" s="289"/>
      <c r="AN544" s="289"/>
      <c r="AO544" s="289"/>
      <c r="AP544" s="289"/>
      <c r="AQ544" s="289"/>
      <c r="AR544" s="289"/>
      <c r="AS544" s="289"/>
      <c r="AT544" s="289"/>
      <c r="AU544" s="289"/>
      <c r="AV544" s="289"/>
      <c r="AW544" s="289"/>
      <c r="AX544" s="289"/>
      <c r="AY544" s="289"/>
    </row>
    <row r="545" spans="1:51" ht="13.5" customHeight="1">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c r="AA545" s="289"/>
      <c r="AB545" s="289"/>
      <c r="AC545" s="289"/>
      <c r="AD545" s="289"/>
      <c r="AE545" s="289"/>
      <c r="AF545" s="289"/>
      <c r="AG545" s="289"/>
      <c r="AH545" s="289"/>
      <c r="AI545" s="289"/>
      <c r="AJ545" s="289"/>
      <c r="AK545" s="289"/>
      <c r="AL545" s="289"/>
      <c r="AM545" s="289"/>
      <c r="AN545" s="289"/>
      <c r="AO545" s="289"/>
      <c r="AP545" s="289"/>
      <c r="AQ545" s="289"/>
      <c r="AR545" s="289"/>
      <c r="AS545" s="289"/>
      <c r="AT545" s="289"/>
      <c r="AU545" s="289"/>
      <c r="AV545" s="289"/>
      <c r="AW545" s="289"/>
      <c r="AX545" s="289"/>
      <c r="AY545" s="289"/>
    </row>
    <row r="546" spans="1:51" ht="13.5" customHeight="1">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c r="AA546" s="289"/>
      <c r="AB546" s="289"/>
      <c r="AC546" s="289"/>
      <c r="AD546" s="289"/>
      <c r="AE546" s="289"/>
      <c r="AF546" s="289"/>
      <c r="AG546" s="289"/>
      <c r="AH546" s="289"/>
      <c r="AI546" s="289"/>
      <c r="AJ546" s="289"/>
      <c r="AK546" s="289"/>
      <c r="AL546" s="289"/>
      <c r="AM546" s="289"/>
      <c r="AN546" s="289"/>
      <c r="AO546" s="289"/>
      <c r="AP546" s="289"/>
      <c r="AQ546" s="289"/>
      <c r="AR546" s="289"/>
      <c r="AS546" s="289"/>
      <c r="AT546" s="289"/>
      <c r="AU546" s="289"/>
      <c r="AV546" s="289"/>
      <c r="AW546" s="289"/>
      <c r="AX546" s="289"/>
      <c r="AY546" s="289"/>
    </row>
    <row r="547" spans="1:51" ht="13.5" customHeight="1">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c r="AA547" s="289"/>
      <c r="AB547" s="289"/>
      <c r="AC547" s="289"/>
      <c r="AD547" s="289"/>
      <c r="AE547" s="289"/>
      <c r="AF547" s="289"/>
      <c r="AG547" s="289"/>
      <c r="AH547" s="289"/>
      <c r="AI547" s="289"/>
      <c r="AJ547" s="289"/>
      <c r="AK547" s="289"/>
      <c r="AL547" s="289"/>
      <c r="AM547" s="289"/>
      <c r="AN547" s="289"/>
      <c r="AO547" s="289"/>
      <c r="AP547" s="289"/>
      <c r="AQ547" s="289"/>
      <c r="AR547" s="289"/>
      <c r="AS547" s="289"/>
      <c r="AT547" s="289"/>
      <c r="AU547" s="289"/>
      <c r="AV547" s="289"/>
      <c r="AW547" s="289"/>
      <c r="AX547" s="289"/>
      <c r="AY547" s="289"/>
    </row>
    <row r="548" spans="1:51" ht="13.5" customHeight="1">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c r="AA548" s="289"/>
      <c r="AB548" s="289"/>
      <c r="AC548" s="289"/>
      <c r="AD548" s="289"/>
      <c r="AE548" s="289"/>
      <c r="AF548" s="289"/>
      <c r="AG548" s="289"/>
      <c r="AH548" s="289"/>
      <c r="AI548" s="289"/>
      <c r="AJ548" s="289"/>
      <c r="AK548" s="289"/>
      <c r="AL548" s="289"/>
      <c r="AM548" s="289"/>
      <c r="AN548" s="289"/>
      <c r="AO548" s="289"/>
      <c r="AP548" s="289"/>
      <c r="AQ548" s="289"/>
      <c r="AR548" s="289"/>
      <c r="AS548" s="289"/>
      <c r="AT548" s="289"/>
      <c r="AU548" s="289"/>
      <c r="AV548" s="289"/>
      <c r="AW548" s="289"/>
      <c r="AX548" s="289"/>
      <c r="AY548" s="289"/>
    </row>
    <row r="549" spans="1:51" ht="13.5" customHeight="1">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c r="AA549" s="289"/>
      <c r="AB549" s="289"/>
      <c r="AC549" s="289"/>
      <c r="AD549" s="289"/>
      <c r="AE549" s="289"/>
      <c r="AF549" s="289"/>
      <c r="AG549" s="289"/>
      <c r="AH549" s="289"/>
      <c r="AI549" s="289"/>
      <c r="AJ549" s="289"/>
      <c r="AK549" s="289"/>
      <c r="AL549" s="289"/>
      <c r="AM549" s="289"/>
      <c r="AN549" s="289"/>
      <c r="AO549" s="289"/>
      <c r="AP549" s="289"/>
      <c r="AQ549" s="289"/>
      <c r="AR549" s="289"/>
      <c r="AS549" s="289"/>
      <c r="AT549" s="289"/>
      <c r="AU549" s="289"/>
      <c r="AV549" s="289"/>
      <c r="AW549" s="289"/>
      <c r="AX549" s="289"/>
      <c r="AY549" s="289"/>
    </row>
    <row r="550" spans="1:51" ht="13.5" customHeight="1">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c r="AA550" s="289"/>
      <c r="AB550" s="289"/>
      <c r="AC550" s="289"/>
      <c r="AD550" s="289"/>
      <c r="AE550" s="289"/>
      <c r="AF550" s="289"/>
      <c r="AG550" s="289"/>
      <c r="AH550" s="289"/>
      <c r="AI550" s="289"/>
      <c r="AJ550" s="289"/>
      <c r="AK550" s="289"/>
      <c r="AL550" s="289"/>
      <c r="AM550" s="289"/>
      <c r="AN550" s="289"/>
      <c r="AO550" s="289"/>
      <c r="AP550" s="289"/>
      <c r="AQ550" s="289"/>
      <c r="AR550" s="289"/>
      <c r="AS550" s="289"/>
      <c r="AT550" s="289"/>
      <c r="AU550" s="289"/>
      <c r="AV550" s="289"/>
      <c r="AW550" s="289"/>
      <c r="AX550" s="289"/>
      <c r="AY550" s="289"/>
    </row>
    <row r="551" spans="1:51" ht="13.5" customHeight="1">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c r="AA551" s="289"/>
      <c r="AB551" s="289"/>
      <c r="AC551" s="289"/>
      <c r="AD551" s="289"/>
      <c r="AE551" s="289"/>
      <c r="AF551" s="289"/>
      <c r="AG551" s="289"/>
      <c r="AH551" s="289"/>
      <c r="AI551" s="289"/>
      <c r="AJ551" s="289"/>
      <c r="AK551" s="289"/>
      <c r="AL551" s="289"/>
      <c r="AM551" s="289"/>
      <c r="AN551" s="289"/>
      <c r="AO551" s="289"/>
      <c r="AP551" s="289"/>
      <c r="AQ551" s="289"/>
      <c r="AR551" s="289"/>
      <c r="AS551" s="289"/>
      <c r="AT551" s="289"/>
      <c r="AU551" s="289"/>
      <c r="AV551" s="289"/>
      <c r="AW551" s="289"/>
      <c r="AX551" s="289"/>
      <c r="AY551" s="289"/>
    </row>
    <row r="552" spans="1:51" ht="13.5" customHeight="1">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c r="AA552" s="289"/>
      <c r="AB552" s="289"/>
      <c r="AC552" s="289"/>
      <c r="AD552" s="289"/>
      <c r="AE552" s="289"/>
      <c r="AF552" s="289"/>
      <c r="AG552" s="289"/>
      <c r="AH552" s="289"/>
      <c r="AI552" s="289"/>
      <c r="AJ552" s="289"/>
      <c r="AK552" s="289"/>
      <c r="AL552" s="289"/>
      <c r="AM552" s="289"/>
      <c r="AN552" s="289"/>
      <c r="AO552" s="289"/>
      <c r="AP552" s="289"/>
      <c r="AQ552" s="289"/>
      <c r="AR552" s="289"/>
      <c r="AS552" s="289"/>
      <c r="AT552" s="289"/>
      <c r="AU552" s="289"/>
      <c r="AV552" s="289"/>
      <c r="AW552" s="289"/>
      <c r="AX552" s="289"/>
      <c r="AY552" s="289"/>
    </row>
    <row r="553" spans="1:51" ht="13.5" customHeight="1">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c r="AA553" s="289"/>
      <c r="AB553" s="289"/>
      <c r="AC553" s="289"/>
      <c r="AD553" s="289"/>
      <c r="AE553" s="289"/>
      <c r="AF553" s="289"/>
      <c r="AG553" s="289"/>
      <c r="AH553" s="289"/>
      <c r="AI553" s="289"/>
      <c r="AJ553" s="289"/>
      <c r="AK553" s="289"/>
      <c r="AL553" s="289"/>
      <c r="AM553" s="289"/>
      <c r="AN553" s="289"/>
      <c r="AO553" s="289"/>
      <c r="AP553" s="289"/>
      <c r="AQ553" s="289"/>
      <c r="AR553" s="289"/>
      <c r="AS553" s="289"/>
      <c r="AT553" s="289"/>
      <c r="AU553" s="289"/>
      <c r="AV553" s="289"/>
      <c r="AW553" s="289"/>
      <c r="AX553" s="289"/>
      <c r="AY553" s="289"/>
    </row>
    <row r="554" spans="1:51" ht="13.5" customHeight="1">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c r="AA554" s="289"/>
      <c r="AB554" s="289"/>
      <c r="AC554" s="289"/>
      <c r="AD554" s="289"/>
      <c r="AE554" s="289"/>
      <c r="AF554" s="289"/>
      <c r="AG554" s="289"/>
      <c r="AH554" s="289"/>
      <c r="AI554" s="289"/>
      <c r="AJ554" s="289"/>
      <c r="AK554" s="289"/>
      <c r="AL554" s="289"/>
      <c r="AM554" s="289"/>
      <c r="AN554" s="289"/>
      <c r="AO554" s="289"/>
      <c r="AP554" s="289"/>
      <c r="AQ554" s="289"/>
      <c r="AR554" s="289"/>
      <c r="AS554" s="289"/>
      <c r="AT554" s="289"/>
      <c r="AU554" s="289"/>
      <c r="AV554" s="289"/>
      <c r="AW554" s="289"/>
      <c r="AX554" s="289"/>
      <c r="AY554" s="289"/>
    </row>
    <row r="555" spans="1:51" ht="13.5" customHeight="1">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c r="AA555" s="289"/>
      <c r="AB555" s="289"/>
      <c r="AC555" s="289"/>
      <c r="AD555" s="289"/>
      <c r="AE555" s="289"/>
      <c r="AF555" s="289"/>
      <c r="AG555" s="289"/>
      <c r="AH555" s="289"/>
      <c r="AI555" s="289"/>
      <c r="AJ555" s="289"/>
      <c r="AK555" s="289"/>
      <c r="AL555" s="289"/>
      <c r="AM555" s="289"/>
      <c r="AN555" s="289"/>
      <c r="AO555" s="289"/>
      <c r="AP555" s="289"/>
      <c r="AQ555" s="289"/>
      <c r="AR555" s="289"/>
      <c r="AS555" s="289"/>
      <c r="AT555" s="289"/>
      <c r="AU555" s="289"/>
      <c r="AV555" s="289"/>
      <c r="AW555" s="289"/>
      <c r="AX555" s="289"/>
      <c r="AY555" s="289"/>
    </row>
    <row r="556" spans="1:51" ht="13.5" customHeight="1">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c r="AA556" s="289"/>
      <c r="AB556" s="289"/>
      <c r="AC556" s="289"/>
      <c r="AD556" s="289"/>
      <c r="AE556" s="289"/>
      <c r="AF556" s="289"/>
      <c r="AG556" s="289"/>
      <c r="AH556" s="289"/>
      <c r="AI556" s="289"/>
      <c r="AJ556" s="289"/>
      <c r="AK556" s="289"/>
      <c r="AL556" s="289"/>
      <c r="AM556" s="289"/>
      <c r="AN556" s="289"/>
      <c r="AO556" s="289"/>
      <c r="AP556" s="289"/>
      <c r="AQ556" s="289"/>
      <c r="AR556" s="289"/>
      <c r="AS556" s="289"/>
      <c r="AT556" s="289"/>
      <c r="AU556" s="289"/>
      <c r="AV556" s="289"/>
      <c r="AW556" s="289"/>
      <c r="AX556" s="289"/>
      <c r="AY556" s="289"/>
    </row>
    <row r="557" spans="1:51" ht="13.5" customHeight="1">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c r="AA557" s="289"/>
      <c r="AB557" s="289"/>
      <c r="AC557" s="289"/>
      <c r="AD557" s="289"/>
      <c r="AE557" s="289"/>
      <c r="AF557" s="289"/>
      <c r="AG557" s="289"/>
      <c r="AH557" s="289"/>
      <c r="AI557" s="289"/>
      <c r="AJ557" s="289"/>
      <c r="AK557" s="289"/>
      <c r="AL557" s="289"/>
      <c r="AM557" s="289"/>
      <c r="AN557" s="289"/>
      <c r="AO557" s="289"/>
      <c r="AP557" s="289"/>
      <c r="AQ557" s="289"/>
      <c r="AR557" s="289"/>
      <c r="AS557" s="289"/>
      <c r="AT557" s="289"/>
      <c r="AU557" s="289"/>
      <c r="AV557" s="289"/>
      <c r="AW557" s="289"/>
      <c r="AX557" s="289"/>
      <c r="AY557" s="289"/>
    </row>
    <row r="558" spans="1:51" ht="13.5" customHeight="1">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c r="AA558" s="289"/>
      <c r="AB558" s="289"/>
      <c r="AC558" s="289"/>
      <c r="AD558" s="289"/>
      <c r="AE558" s="289"/>
      <c r="AF558" s="289"/>
      <c r="AG558" s="289"/>
      <c r="AH558" s="289"/>
      <c r="AI558" s="289"/>
      <c r="AJ558" s="289"/>
      <c r="AK558" s="289"/>
      <c r="AL558" s="289"/>
      <c r="AM558" s="289"/>
      <c r="AN558" s="289"/>
      <c r="AO558" s="289"/>
      <c r="AP558" s="289"/>
      <c r="AQ558" s="289"/>
      <c r="AR558" s="289"/>
      <c r="AS558" s="289"/>
      <c r="AT558" s="289"/>
      <c r="AU558" s="289"/>
      <c r="AV558" s="289"/>
      <c r="AW558" s="289"/>
      <c r="AX558" s="289"/>
      <c r="AY558" s="289"/>
    </row>
    <row r="559" spans="1:51" ht="13.5" customHeight="1">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c r="AA559" s="289"/>
      <c r="AB559" s="289"/>
      <c r="AC559" s="289"/>
      <c r="AD559" s="289"/>
      <c r="AE559" s="289"/>
      <c r="AF559" s="289"/>
      <c r="AG559" s="289"/>
      <c r="AH559" s="289"/>
      <c r="AI559" s="289"/>
      <c r="AJ559" s="289"/>
      <c r="AK559" s="289"/>
      <c r="AL559" s="289"/>
      <c r="AM559" s="289"/>
      <c r="AN559" s="289"/>
      <c r="AO559" s="289"/>
      <c r="AP559" s="289"/>
      <c r="AQ559" s="289"/>
      <c r="AR559" s="289"/>
      <c r="AS559" s="289"/>
      <c r="AT559" s="289"/>
      <c r="AU559" s="289"/>
      <c r="AV559" s="289"/>
      <c r="AW559" s="289"/>
      <c r="AX559" s="289"/>
      <c r="AY559" s="289"/>
    </row>
    <row r="560" spans="1:51" ht="13.5" customHeight="1">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c r="AA560" s="289"/>
      <c r="AB560" s="289"/>
      <c r="AC560" s="289"/>
      <c r="AD560" s="289"/>
      <c r="AE560" s="289"/>
      <c r="AF560" s="289"/>
      <c r="AG560" s="289"/>
      <c r="AH560" s="289"/>
      <c r="AI560" s="289"/>
      <c r="AJ560" s="289"/>
      <c r="AK560" s="289"/>
      <c r="AL560" s="289"/>
      <c r="AM560" s="289"/>
      <c r="AN560" s="289"/>
      <c r="AO560" s="289"/>
      <c r="AP560" s="289"/>
      <c r="AQ560" s="289"/>
      <c r="AR560" s="289"/>
      <c r="AS560" s="289"/>
      <c r="AT560" s="289"/>
      <c r="AU560" s="289"/>
      <c r="AV560" s="289"/>
      <c r="AW560" s="289"/>
      <c r="AX560" s="289"/>
      <c r="AY560" s="289"/>
    </row>
    <row r="561" spans="1:51" ht="13.5" customHeight="1">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c r="AA561" s="289"/>
      <c r="AB561" s="289"/>
      <c r="AC561" s="289"/>
      <c r="AD561" s="289"/>
      <c r="AE561" s="289"/>
      <c r="AF561" s="289"/>
      <c r="AG561" s="289"/>
      <c r="AH561" s="289"/>
      <c r="AI561" s="289"/>
      <c r="AJ561" s="289"/>
      <c r="AK561" s="289"/>
      <c r="AL561" s="289"/>
      <c r="AM561" s="289"/>
      <c r="AN561" s="289"/>
      <c r="AO561" s="289"/>
      <c r="AP561" s="289"/>
      <c r="AQ561" s="289"/>
      <c r="AR561" s="289"/>
      <c r="AS561" s="289"/>
      <c r="AT561" s="289"/>
      <c r="AU561" s="289"/>
      <c r="AV561" s="289"/>
      <c r="AW561" s="289"/>
      <c r="AX561" s="289"/>
      <c r="AY561" s="289"/>
    </row>
    <row r="562" spans="1:51" ht="13.5" customHeight="1">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c r="AA562" s="289"/>
      <c r="AB562" s="289"/>
      <c r="AC562" s="289"/>
      <c r="AD562" s="289"/>
      <c r="AE562" s="289"/>
      <c r="AF562" s="289"/>
      <c r="AG562" s="289"/>
      <c r="AH562" s="289"/>
      <c r="AI562" s="289"/>
      <c r="AJ562" s="289"/>
      <c r="AK562" s="289"/>
      <c r="AL562" s="289"/>
      <c r="AM562" s="289"/>
      <c r="AN562" s="289"/>
      <c r="AO562" s="289"/>
      <c r="AP562" s="289"/>
      <c r="AQ562" s="289"/>
      <c r="AR562" s="289"/>
      <c r="AS562" s="289"/>
      <c r="AT562" s="289"/>
      <c r="AU562" s="289"/>
      <c r="AV562" s="289"/>
      <c r="AW562" s="289"/>
      <c r="AX562" s="289"/>
      <c r="AY562" s="289"/>
    </row>
    <row r="563" spans="1:51" ht="13.5" customHeight="1">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c r="AA563" s="289"/>
      <c r="AB563" s="289"/>
      <c r="AC563" s="289"/>
      <c r="AD563" s="289"/>
      <c r="AE563" s="289"/>
      <c r="AF563" s="289"/>
      <c r="AG563" s="289"/>
      <c r="AH563" s="289"/>
      <c r="AI563" s="289"/>
      <c r="AJ563" s="289"/>
      <c r="AK563" s="289"/>
      <c r="AL563" s="289"/>
      <c r="AM563" s="289"/>
      <c r="AN563" s="289"/>
      <c r="AO563" s="289"/>
      <c r="AP563" s="289"/>
      <c r="AQ563" s="289"/>
      <c r="AR563" s="289"/>
      <c r="AS563" s="289"/>
      <c r="AT563" s="289"/>
      <c r="AU563" s="289"/>
      <c r="AV563" s="289"/>
      <c r="AW563" s="289"/>
      <c r="AX563" s="289"/>
      <c r="AY563" s="289"/>
    </row>
    <row r="564" spans="1:51" ht="13.5" customHeight="1">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c r="AA564" s="289"/>
      <c r="AB564" s="289"/>
      <c r="AC564" s="289"/>
      <c r="AD564" s="289"/>
      <c r="AE564" s="289"/>
      <c r="AF564" s="289"/>
      <c r="AG564" s="289"/>
      <c r="AH564" s="289"/>
      <c r="AI564" s="289"/>
      <c r="AJ564" s="289"/>
      <c r="AK564" s="289"/>
      <c r="AL564" s="289"/>
      <c r="AM564" s="289"/>
      <c r="AN564" s="289"/>
      <c r="AO564" s="289"/>
      <c r="AP564" s="289"/>
      <c r="AQ564" s="289"/>
      <c r="AR564" s="289"/>
      <c r="AS564" s="289"/>
      <c r="AT564" s="289"/>
      <c r="AU564" s="289"/>
      <c r="AV564" s="289"/>
      <c r="AW564" s="289"/>
      <c r="AX564" s="289"/>
      <c r="AY564" s="289"/>
    </row>
    <row r="565" spans="1:51" ht="13.5" customHeight="1">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c r="AA565" s="289"/>
      <c r="AB565" s="289"/>
      <c r="AC565" s="289"/>
      <c r="AD565" s="289"/>
      <c r="AE565" s="289"/>
      <c r="AF565" s="289"/>
      <c r="AG565" s="289"/>
      <c r="AH565" s="289"/>
      <c r="AI565" s="289"/>
      <c r="AJ565" s="289"/>
      <c r="AK565" s="289"/>
      <c r="AL565" s="289"/>
      <c r="AM565" s="289"/>
      <c r="AN565" s="289"/>
      <c r="AO565" s="289"/>
      <c r="AP565" s="289"/>
      <c r="AQ565" s="289"/>
      <c r="AR565" s="289"/>
      <c r="AS565" s="289"/>
      <c r="AT565" s="289"/>
      <c r="AU565" s="289"/>
      <c r="AV565" s="289"/>
      <c r="AW565" s="289"/>
      <c r="AX565" s="289"/>
      <c r="AY565" s="289"/>
    </row>
    <row r="566" spans="1:51" ht="13.5" customHeight="1">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c r="AA566" s="289"/>
      <c r="AB566" s="289"/>
      <c r="AC566" s="289"/>
      <c r="AD566" s="289"/>
      <c r="AE566" s="289"/>
      <c r="AF566" s="289"/>
      <c r="AG566" s="289"/>
      <c r="AH566" s="289"/>
      <c r="AI566" s="289"/>
      <c r="AJ566" s="289"/>
      <c r="AK566" s="289"/>
      <c r="AL566" s="289"/>
      <c r="AM566" s="289"/>
      <c r="AN566" s="289"/>
      <c r="AO566" s="289"/>
      <c r="AP566" s="289"/>
      <c r="AQ566" s="289"/>
      <c r="AR566" s="289"/>
      <c r="AS566" s="289"/>
      <c r="AT566" s="289"/>
      <c r="AU566" s="289"/>
      <c r="AV566" s="289"/>
      <c r="AW566" s="289"/>
      <c r="AX566" s="289"/>
      <c r="AY566" s="289"/>
    </row>
    <row r="567" spans="1:51" ht="13.5" customHeight="1">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c r="AA567" s="289"/>
      <c r="AB567" s="289"/>
      <c r="AC567" s="289"/>
      <c r="AD567" s="289"/>
      <c r="AE567" s="289"/>
      <c r="AF567" s="289"/>
      <c r="AG567" s="289"/>
      <c r="AH567" s="289"/>
      <c r="AI567" s="289"/>
      <c r="AJ567" s="289"/>
      <c r="AK567" s="289"/>
      <c r="AL567" s="289"/>
      <c r="AM567" s="289"/>
      <c r="AN567" s="289"/>
      <c r="AO567" s="289"/>
      <c r="AP567" s="289"/>
      <c r="AQ567" s="289"/>
      <c r="AR567" s="289"/>
      <c r="AS567" s="289"/>
      <c r="AT567" s="289"/>
      <c r="AU567" s="289"/>
      <c r="AV567" s="289"/>
      <c r="AW567" s="289"/>
      <c r="AX567" s="289"/>
      <c r="AY567" s="289"/>
    </row>
    <row r="568" spans="1:51" ht="13.5" customHeight="1">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c r="AA568" s="289"/>
      <c r="AB568" s="289"/>
      <c r="AC568" s="289"/>
      <c r="AD568" s="289"/>
      <c r="AE568" s="289"/>
      <c r="AF568" s="289"/>
      <c r="AG568" s="289"/>
      <c r="AH568" s="289"/>
      <c r="AI568" s="289"/>
      <c r="AJ568" s="289"/>
      <c r="AK568" s="289"/>
      <c r="AL568" s="289"/>
      <c r="AM568" s="289"/>
      <c r="AN568" s="289"/>
      <c r="AO568" s="289"/>
      <c r="AP568" s="289"/>
      <c r="AQ568" s="289"/>
      <c r="AR568" s="289"/>
      <c r="AS568" s="289"/>
      <c r="AT568" s="289"/>
      <c r="AU568" s="289"/>
      <c r="AV568" s="289"/>
      <c r="AW568" s="289"/>
      <c r="AX568" s="289"/>
      <c r="AY568" s="289"/>
    </row>
    <row r="569" spans="1:51" ht="13.5" customHeight="1">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c r="AA569" s="289"/>
      <c r="AB569" s="289"/>
      <c r="AC569" s="289"/>
      <c r="AD569" s="289"/>
      <c r="AE569" s="289"/>
      <c r="AF569" s="289"/>
      <c r="AG569" s="289"/>
      <c r="AH569" s="289"/>
      <c r="AI569" s="289"/>
      <c r="AJ569" s="289"/>
      <c r="AK569" s="289"/>
      <c r="AL569" s="289"/>
      <c r="AM569" s="289"/>
      <c r="AN569" s="289"/>
      <c r="AO569" s="289"/>
      <c r="AP569" s="289"/>
      <c r="AQ569" s="289"/>
      <c r="AR569" s="289"/>
      <c r="AS569" s="289"/>
      <c r="AT569" s="289"/>
      <c r="AU569" s="289"/>
      <c r="AV569" s="289"/>
      <c r="AW569" s="289"/>
      <c r="AX569" s="289"/>
      <c r="AY569" s="289"/>
    </row>
    <row r="570" spans="1:51" ht="13.5" customHeight="1">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c r="AA570" s="289"/>
      <c r="AB570" s="289"/>
      <c r="AC570" s="289"/>
      <c r="AD570" s="289"/>
      <c r="AE570" s="289"/>
      <c r="AF570" s="289"/>
      <c r="AG570" s="289"/>
      <c r="AH570" s="289"/>
      <c r="AI570" s="289"/>
      <c r="AJ570" s="289"/>
      <c r="AK570" s="289"/>
      <c r="AL570" s="289"/>
      <c r="AM570" s="289"/>
      <c r="AN570" s="289"/>
      <c r="AO570" s="289"/>
      <c r="AP570" s="289"/>
      <c r="AQ570" s="289"/>
      <c r="AR570" s="289"/>
      <c r="AS570" s="289"/>
      <c r="AT570" s="289"/>
      <c r="AU570" s="289"/>
      <c r="AV570" s="289"/>
      <c r="AW570" s="289"/>
      <c r="AX570" s="289"/>
      <c r="AY570" s="289"/>
    </row>
    <row r="571" spans="1:51" ht="13.5" customHeight="1">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c r="AA571" s="289"/>
      <c r="AB571" s="289"/>
      <c r="AC571" s="289"/>
      <c r="AD571" s="289"/>
      <c r="AE571" s="289"/>
      <c r="AF571" s="289"/>
      <c r="AG571" s="289"/>
      <c r="AH571" s="289"/>
      <c r="AI571" s="289"/>
      <c r="AJ571" s="289"/>
      <c r="AK571" s="289"/>
      <c r="AL571" s="289"/>
      <c r="AM571" s="289"/>
      <c r="AN571" s="289"/>
      <c r="AO571" s="289"/>
      <c r="AP571" s="289"/>
      <c r="AQ571" s="289"/>
      <c r="AR571" s="289"/>
      <c r="AS571" s="289"/>
      <c r="AT571" s="289"/>
      <c r="AU571" s="289"/>
      <c r="AV571" s="289"/>
      <c r="AW571" s="289"/>
      <c r="AX571" s="289"/>
      <c r="AY571" s="289"/>
    </row>
    <row r="572" spans="1:51" ht="13.5" customHeight="1">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c r="AA572" s="289"/>
      <c r="AB572" s="289"/>
      <c r="AC572" s="289"/>
      <c r="AD572" s="289"/>
      <c r="AE572" s="289"/>
      <c r="AF572" s="289"/>
      <c r="AG572" s="289"/>
      <c r="AH572" s="289"/>
      <c r="AI572" s="289"/>
      <c r="AJ572" s="289"/>
      <c r="AK572" s="289"/>
      <c r="AL572" s="289"/>
      <c r="AM572" s="289"/>
      <c r="AN572" s="289"/>
      <c r="AO572" s="289"/>
      <c r="AP572" s="289"/>
      <c r="AQ572" s="289"/>
      <c r="AR572" s="289"/>
      <c r="AS572" s="289"/>
      <c r="AT572" s="289"/>
      <c r="AU572" s="289"/>
      <c r="AV572" s="289"/>
      <c r="AW572" s="289"/>
      <c r="AX572" s="289"/>
      <c r="AY572" s="289"/>
    </row>
    <row r="573" spans="1:51" ht="13.5" customHeight="1">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c r="AA573" s="289"/>
      <c r="AB573" s="289"/>
      <c r="AC573" s="289"/>
      <c r="AD573" s="289"/>
      <c r="AE573" s="289"/>
      <c r="AF573" s="289"/>
      <c r="AG573" s="289"/>
      <c r="AH573" s="289"/>
      <c r="AI573" s="289"/>
      <c r="AJ573" s="289"/>
      <c r="AK573" s="289"/>
      <c r="AL573" s="289"/>
      <c r="AM573" s="289"/>
      <c r="AN573" s="289"/>
      <c r="AO573" s="289"/>
      <c r="AP573" s="289"/>
      <c r="AQ573" s="289"/>
      <c r="AR573" s="289"/>
      <c r="AS573" s="289"/>
      <c r="AT573" s="289"/>
      <c r="AU573" s="289"/>
      <c r="AV573" s="289"/>
      <c r="AW573" s="289"/>
      <c r="AX573" s="289"/>
      <c r="AY573" s="289"/>
    </row>
    <row r="574" spans="1:51" ht="13.5" customHeight="1">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c r="AA574" s="289"/>
      <c r="AB574" s="289"/>
      <c r="AC574" s="289"/>
      <c r="AD574" s="289"/>
      <c r="AE574" s="289"/>
      <c r="AF574" s="289"/>
      <c r="AG574" s="289"/>
      <c r="AH574" s="289"/>
      <c r="AI574" s="289"/>
      <c r="AJ574" s="289"/>
      <c r="AK574" s="289"/>
      <c r="AL574" s="289"/>
      <c r="AM574" s="289"/>
      <c r="AN574" s="289"/>
      <c r="AO574" s="289"/>
      <c r="AP574" s="289"/>
      <c r="AQ574" s="289"/>
      <c r="AR574" s="289"/>
      <c r="AS574" s="289"/>
      <c r="AT574" s="289"/>
      <c r="AU574" s="289"/>
      <c r="AV574" s="289"/>
      <c r="AW574" s="289"/>
      <c r="AX574" s="289"/>
      <c r="AY574" s="289"/>
    </row>
    <row r="575" spans="1:51" ht="13.5" customHeight="1">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c r="AA575" s="289"/>
      <c r="AB575" s="289"/>
      <c r="AC575" s="289"/>
      <c r="AD575" s="289"/>
      <c r="AE575" s="289"/>
      <c r="AF575" s="289"/>
      <c r="AG575" s="289"/>
      <c r="AH575" s="289"/>
      <c r="AI575" s="289"/>
      <c r="AJ575" s="289"/>
      <c r="AK575" s="289"/>
      <c r="AL575" s="289"/>
      <c r="AM575" s="289"/>
      <c r="AN575" s="289"/>
      <c r="AO575" s="289"/>
      <c r="AP575" s="289"/>
      <c r="AQ575" s="289"/>
      <c r="AR575" s="289"/>
      <c r="AS575" s="289"/>
      <c r="AT575" s="289"/>
      <c r="AU575" s="289"/>
      <c r="AV575" s="289"/>
      <c r="AW575" s="289"/>
      <c r="AX575" s="289"/>
      <c r="AY575" s="289"/>
    </row>
    <row r="576" spans="1:51" ht="13.5" customHeight="1">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c r="AA576" s="289"/>
      <c r="AB576" s="289"/>
      <c r="AC576" s="289"/>
      <c r="AD576" s="289"/>
      <c r="AE576" s="289"/>
      <c r="AF576" s="289"/>
      <c r="AG576" s="289"/>
      <c r="AH576" s="289"/>
      <c r="AI576" s="289"/>
      <c r="AJ576" s="289"/>
      <c r="AK576" s="289"/>
      <c r="AL576" s="289"/>
      <c r="AM576" s="289"/>
      <c r="AN576" s="289"/>
      <c r="AO576" s="289"/>
      <c r="AP576" s="289"/>
      <c r="AQ576" s="289"/>
      <c r="AR576" s="289"/>
      <c r="AS576" s="289"/>
      <c r="AT576" s="289"/>
      <c r="AU576" s="289"/>
      <c r="AV576" s="289"/>
      <c r="AW576" s="289"/>
      <c r="AX576" s="289"/>
      <c r="AY576" s="289"/>
    </row>
    <row r="577" spans="1:51" ht="13.5" customHeight="1">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c r="AA577" s="289"/>
      <c r="AB577" s="289"/>
      <c r="AC577" s="289"/>
      <c r="AD577" s="289"/>
      <c r="AE577" s="289"/>
      <c r="AF577" s="289"/>
      <c r="AG577" s="289"/>
      <c r="AH577" s="289"/>
      <c r="AI577" s="289"/>
      <c r="AJ577" s="289"/>
      <c r="AK577" s="289"/>
      <c r="AL577" s="289"/>
      <c r="AM577" s="289"/>
      <c r="AN577" s="289"/>
      <c r="AO577" s="289"/>
      <c r="AP577" s="289"/>
      <c r="AQ577" s="289"/>
      <c r="AR577" s="289"/>
      <c r="AS577" s="289"/>
      <c r="AT577" s="289"/>
      <c r="AU577" s="289"/>
      <c r="AV577" s="289"/>
      <c r="AW577" s="289"/>
      <c r="AX577" s="289"/>
      <c r="AY577" s="289"/>
    </row>
    <row r="578" spans="1:51" ht="13.5" customHeight="1">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c r="AA578" s="289"/>
      <c r="AB578" s="289"/>
      <c r="AC578" s="289"/>
      <c r="AD578" s="289"/>
      <c r="AE578" s="289"/>
      <c r="AF578" s="289"/>
      <c r="AG578" s="289"/>
      <c r="AH578" s="289"/>
      <c r="AI578" s="289"/>
      <c r="AJ578" s="289"/>
      <c r="AK578" s="289"/>
      <c r="AL578" s="289"/>
      <c r="AM578" s="289"/>
      <c r="AN578" s="289"/>
      <c r="AO578" s="289"/>
      <c r="AP578" s="289"/>
      <c r="AQ578" s="289"/>
      <c r="AR578" s="289"/>
      <c r="AS578" s="289"/>
      <c r="AT578" s="289"/>
      <c r="AU578" s="289"/>
      <c r="AV578" s="289"/>
      <c r="AW578" s="289"/>
      <c r="AX578" s="289"/>
      <c r="AY578" s="289"/>
    </row>
    <row r="579" spans="1:51" ht="13.5" customHeight="1">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c r="AA579" s="289"/>
      <c r="AB579" s="289"/>
      <c r="AC579" s="289"/>
      <c r="AD579" s="289"/>
      <c r="AE579" s="289"/>
      <c r="AF579" s="289"/>
      <c r="AG579" s="289"/>
      <c r="AH579" s="289"/>
      <c r="AI579" s="289"/>
      <c r="AJ579" s="289"/>
      <c r="AK579" s="289"/>
      <c r="AL579" s="289"/>
      <c r="AM579" s="289"/>
      <c r="AN579" s="289"/>
      <c r="AO579" s="289"/>
      <c r="AP579" s="289"/>
      <c r="AQ579" s="289"/>
      <c r="AR579" s="289"/>
      <c r="AS579" s="289"/>
      <c r="AT579" s="289"/>
      <c r="AU579" s="289"/>
      <c r="AV579" s="289"/>
      <c r="AW579" s="289"/>
      <c r="AX579" s="289"/>
      <c r="AY579" s="289"/>
    </row>
    <row r="580" spans="1:51" ht="13.5" customHeight="1">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c r="AA580" s="289"/>
      <c r="AB580" s="289"/>
      <c r="AC580" s="289"/>
      <c r="AD580" s="289"/>
      <c r="AE580" s="289"/>
      <c r="AF580" s="289"/>
      <c r="AG580" s="289"/>
      <c r="AH580" s="289"/>
      <c r="AI580" s="289"/>
      <c r="AJ580" s="289"/>
      <c r="AK580" s="289"/>
      <c r="AL580" s="289"/>
      <c r="AM580" s="289"/>
      <c r="AN580" s="289"/>
      <c r="AO580" s="289"/>
      <c r="AP580" s="289"/>
      <c r="AQ580" s="289"/>
      <c r="AR580" s="289"/>
      <c r="AS580" s="289"/>
      <c r="AT580" s="289"/>
      <c r="AU580" s="289"/>
      <c r="AV580" s="289"/>
      <c r="AW580" s="289"/>
      <c r="AX580" s="289"/>
      <c r="AY580" s="289"/>
    </row>
    <row r="581" spans="1:51" ht="13.5" customHeight="1">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c r="AA581" s="289"/>
      <c r="AB581" s="289"/>
      <c r="AC581" s="289"/>
      <c r="AD581" s="289"/>
      <c r="AE581" s="289"/>
      <c r="AF581" s="289"/>
      <c r="AG581" s="289"/>
      <c r="AH581" s="289"/>
      <c r="AI581" s="289"/>
      <c r="AJ581" s="289"/>
      <c r="AK581" s="289"/>
      <c r="AL581" s="289"/>
      <c r="AM581" s="289"/>
      <c r="AN581" s="289"/>
      <c r="AO581" s="289"/>
      <c r="AP581" s="289"/>
      <c r="AQ581" s="289"/>
      <c r="AR581" s="289"/>
      <c r="AS581" s="289"/>
      <c r="AT581" s="289"/>
      <c r="AU581" s="289"/>
      <c r="AV581" s="289"/>
      <c r="AW581" s="289"/>
      <c r="AX581" s="289"/>
      <c r="AY581" s="289"/>
    </row>
    <row r="582" spans="1:51" ht="13.5" customHeight="1">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c r="AA582" s="289"/>
      <c r="AB582" s="289"/>
      <c r="AC582" s="289"/>
      <c r="AD582" s="289"/>
      <c r="AE582" s="289"/>
      <c r="AF582" s="289"/>
      <c r="AG582" s="289"/>
      <c r="AH582" s="289"/>
      <c r="AI582" s="289"/>
      <c r="AJ582" s="289"/>
      <c r="AK582" s="289"/>
      <c r="AL582" s="289"/>
      <c r="AM582" s="289"/>
      <c r="AN582" s="289"/>
      <c r="AO582" s="289"/>
      <c r="AP582" s="289"/>
      <c r="AQ582" s="289"/>
      <c r="AR582" s="289"/>
      <c r="AS582" s="289"/>
      <c r="AT582" s="289"/>
      <c r="AU582" s="289"/>
      <c r="AV582" s="289"/>
      <c r="AW582" s="289"/>
      <c r="AX582" s="289"/>
      <c r="AY582" s="289"/>
    </row>
    <row r="583" spans="1:51" ht="13.5" customHeight="1">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c r="AA583" s="289"/>
      <c r="AB583" s="289"/>
      <c r="AC583" s="289"/>
      <c r="AD583" s="289"/>
      <c r="AE583" s="289"/>
      <c r="AF583" s="289"/>
      <c r="AG583" s="289"/>
      <c r="AH583" s="289"/>
      <c r="AI583" s="289"/>
      <c r="AJ583" s="289"/>
      <c r="AK583" s="289"/>
      <c r="AL583" s="289"/>
      <c r="AM583" s="289"/>
      <c r="AN583" s="289"/>
      <c r="AO583" s="289"/>
      <c r="AP583" s="289"/>
      <c r="AQ583" s="289"/>
      <c r="AR583" s="289"/>
      <c r="AS583" s="289"/>
      <c r="AT583" s="289"/>
      <c r="AU583" s="289"/>
      <c r="AV583" s="289"/>
      <c r="AW583" s="289"/>
      <c r="AX583" s="289"/>
      <c r="AY583" s="289"/>
    </row>
    <row r="584" spans="1:51" ht="13.5" customHeight="1">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c r="AA584" s="289"/>
      <c r="AB584" s="289"/>
      <c r="AC584" s="289"/>
      <c r="AD584" s="289"/>
      <c r="AE584" s="289"/>
      <c r="AF584" s="289"/>
      <c r="AG584" s="289"/>
      <c r="AH584" s="289"/>
      <c r="AI584" s="289"/>
      <c r="AJ584" s="289"/>
      <c r="AK584" s="289"/>
      <c r="AL584" s="289"/>
      <c r="AM584" s="289"/>
      <c r="AN584" s="289"/>
      <c r="AO584" s="289"/>
      <c r="AP584" s="289"/>
      <c r="AQ584" s="289"/>
      <c r="AR584" s="289"/>
      <c r="AS584" s="289"/>
      <c r="AT584" s="289"/>
      <c r="AU584" s="289"/>
      <c r="AV584" s="289"/>
      <c r="AW584" s="289"/>
      <c r="AX584" s="289"/>
      <c r="AY584" s="289"/>
    </row>
    <row r="585" spans="1:51" ht="13.5" customHeight="1">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c r="AA585" s="289"/>
      <c r="AB585" s="289"/>
      <c r="AC585" s="289"/>
      <c r="AD585" s="289"/>
      <c r="AE585" s="289"/>
      <c r="AF585" s="289"/>
      <c r="AG585" s="289"/>
      <c r="AH585" s="289"/>
      <c r="AI585" s="289"/>
      <c r="AJ585" s="289"/>
      <c r="AK585" s="289"/>
      <c r="AL585" s="289"/>
      <c r="AM585" s="289"/>
      <c r="AN585" s="289"/>
      <c r="AO585" s="289"/>
      <c r="AP585" s="289"/>
      <c r="AQ585" s="289"/>
      <c r="AR585" s="289"/>
      <c r="AS585" s="289"/>
      <c r="AT585" s="289"/>
      <c r="AU585" s="289"/>
      <c r="AV585" s="289"/>
      <c r="AW585" s="289"/>
      <c r="AX585" s="289"/>
      <c r="AY585" s="289"/>
    </row>
    <row r="586" spans="1:51" ht="13.5" customHeight="1">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c r="AA586" s="289"/>
      <c r="AB586" s="289"/>
      <c r="AC586" s="289"/>
      <c r="AD586" s="289"/>
      <c r="AE586" s="289"/>
      <c r="AF586" s="289"/>
      <c r="AG586" s="289"/>
      <c r="AH586" s="289"/>
      <c r="AI586" s="289"/>
      <c r="AJ586" s="289"/>
      <c r="AK586" s="289"/>
      <c r="AL586" s="289"/>
      <c r="AM586" s="289"/>
      <c r="AN586" s="289"/>
      <c r="AO586" s="289"/>
      <c r="AP586" s="289"/>
      <c r="AQ586" s="289"/>
      <c r="AR586" s="289"/>
      <c r="AS586" s="289"/>
      <c r="AT586" s="289"/>
      <c r="AU586" s="289"/>
      <c r="AV586" s="289"/>
      <c r="AW586" s="289"/>
      <c r="AX586" s="289"/>
      <c r="AY586" s="289"/>
    </row>
    <row r="587" spans="1:51" ht="13.5" customHeight="1">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c r="AA587" s="289"/>
      <c r="AB587" s="289"/>
      <c r="AC587" s="289"/>
      <c r="AD587" s="289"/>
      <c r="AE587" s="289"/>
      <c r="AF587" s="289"/>
      <c r="AG587" s="289"/>
      <c r="AH587" s="289"/>
      <c r="AI587" s="289"/>
      <c r="AJ587" s="289"/>
      <c r="AK587" s="289"/>
      <c r="AL587" s="289"/>
      <c r="AM587" s="289"/>
      <c r="AN587" s="289"/>
      <c r="AO587" s="289"/>
      <c r="AP587" s="289"/>
      <c r="AQ587" s="289"/>
      <c r="AR587" s="289"/>
      <c r="AS587" s="289"/>
      <c r="AT587" s="289"/>
      <c r="AU587" s="289"/>
      <c r="AV587" s="289"/>
      <c r="AW587" s="289"/>
      <c r="AX587" s="289"/>
      <c r="AY587" s="289"/>
    </row>
    <row r="588" spans="1:51" ht="13.5" customHeight="1">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c r="AA588" s="289"/>
      <c r="AB588" s="289"/>
      <c r="AC588" s="289"/>
      <c r="AD588" s="289"/>
      <c r="AE588" s="289"/>
      <c r="AF588" s="289"/>
      <c r="AG588" s="289"/>
      <c r="AH588" s="289"/>
      <c r="AI588" s="289"/>
      <c r="AJ588" s="289"/>
      <c r="AK588" s="289"/>
      <c r="AL588" s="289"/>
      <c r="AM588" s="289"/>
      <c r="AN588" s="289"/>
      <c r="AO588" s="289"/>
      <c r="AP588" s="289"/>
      <c r="AQ588" s="289"/>
      <c r="AR588" s="289"/>
      <c r="AS588" s="289"/>
      <c r="AT588" s="289"/>
      <c r="AU588" s="289"/>
      <c r="AV588" s="289"/>
      <c r="AW588" s="289"/>
      <c r="AX588" s="289"/>
      <c r="AY588" s="289"/>
    </row>
    <row r="589" spans="1:51" ht="13.5" customHeight="1">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c r="AA589" s="289"/>
      <c r="AB589" s="289"/>
      <c r="AC589" s="289"/>
      <c r="AD589" s="289"/>
      <c r="AE589" s="289"/>
      <c r="AF589" s="289"/>
      <c r="AG589" s="289"/>
      <c r="AH589" s="289"/>
      <c r="AI589" s="289"/>
      <c r="AJ589" s="289"/>
      <c r="AK589" s="289"/>
      <c r="AL589" s="289"/>
      <c r="AM589" s="289"/>
      <c r="AN589" s="289"/>
      <c r="AO589" s="289"/>
      <c r="AP589" s="289"/>
      <c r="AQ589" s="289"/>
      <c r="AR589" s="289"/>
      <c r="AS589" s="289"/>
      <c r="AT589" s="289"/>
      <c r="AU589" s="289"/>
      <c r="AV589" s="289"/>
      <c r="AW589" s="289"/>
      <c r="AX589" s="289"/>
      <c r="AY589" s="289"/>
    </row>
    <row r="590" spans="1:51" ht="13.5" customHeight="1">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c r="AA590" s="289"/>
      <c r="AB590" s="289"/>
      <c r="AC590" s="289"/>
      <c r="AD590" s="289"/>
      <c r="AE590" s="289"/>
      <c r="AF590" s="289"/>
      <c r="AG590" s="289"/>
      <c r="AH590" s="289"/>
      <c r="AI590" s="289"/>
      <c r="AJ590" s="289"/>
      <c r="AK590" s="289"/>
      <c r="AL590" s="289"/>
      <c r="AM590" s="289"/>
      <c r="AN590" s="289"/>
      <c r="AO590" s="289"/>
      <c r="AP590" s="289"/>
      <c r="AQ590" s="289"/>
      <c r="AR590" s="289"/>
      <c r="AS590" s="289"/>
      <c r="AT590" s="289"/>
      <c r="AU590" s="289"/>
      <c r="AV590" s="289"/>
      <c r="AW590" s="289"/>
      <c r="AX590" s="289"/>
      <c r="AY590" s="289"/>
    </row>
    <row r="591" spans="1:51" ht="13.5" customHeight="1">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c r="AA591" s="289"/>
      <c r="AB591" s="289"/>
      <c r="AC591" s="289"/>
      <c r="AD591" s="289"/>
      <c r="AE591" s="289"/>
      <c r="AF591" s="289"/>
      <c r="AG591" s="289"/>
      <c r="AH591" s="289"/>
      <c r="AI591" s="289"/>
      <c r="AJ591" s="289"/>
      <c r="AK591" s="289"/>
      <c r="AL591" s="289"/>
      <c r="AM591" s="289"/>
      <c r="AN591" s="289"/>
      <c r="AO591" s="289"/>
      <c r="AP591" s="289"/>
      <c r="AQ591" s="289"/>
      <c r="AR591" s="289"/>
      <c r="AS591" s="289"/>
      <c r="AT591" s="289"/>
      <c r="AU591" s="289"/>
      <c r="AV591" s="289"/>
      <c r="AW591" s="289"/>
      <c r="AX591" s="289"/>
      <c r="AY591" s="289"/>
    </row>
    <row r="592" spans="1:51" ht="13.5" customHeight="1">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c r="AA592" s="289"/>
      <c r="AB592" s="289"/>
      <c r="AC592" s="289"/>
      <c r="AD592" s="289"/>
      <c r="AE592" s="289"/>
      <c r="AF592" s="289"/>
      <c r="AG592" s="289"/>
      <c r="AH592" s="289"/>
      <c r="AI592" s="289"/>
      <c r="AJ592" s="289"/>
      <c r="AK592" s="289"/>
      <c r="AL592" s="289"/>
      <c r="AM592" s="289"/>
      <c r="AN592" s="289"/>
      <c r="AO592" s="289"/>
      <c r="AP592" s="289"/>
      <c r="AQ592" s="289"/>
      <c r="AR592" s="289"/>
      <c r="AS592" s="289"/>
      <c r="AT592" s="289"/>
      <c r="AU592" s="289"/>
      <c r="AV592" s="289"/>
      <c r="AW592" s="289"/>
      <c r="AX592" s="289"/>
      <c r="AY592" s="289"/>
    </row>
    <row r="593" spans="1:51" ht="13.5" customHeight="1">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c r="AA593" s="289"/>
      <c r="AB593" s="289"/>
      <c r="AC593" s="289"/>
      <c r="AD593" s="289"/>
      <c r="AE593" s="289"/>
      <c r="AF593" s="289"/>
      <c r="AG593" s="289"/>
      <c r="AH593" s="289"/>
      <c r="AI593" s="289"/>
      <c r="AJ593" s="289"/>
      <c r="AK593" s="289"/>
      <c r="AL593" s="289"/>
      <c r="AM593" s="289"/>
      <c r="AN593" s="289"/>
      <c r="AO593" s="289"/>
      <c r="AP593" s="289"/>
      <c r="AQ593" s="289"/>
      <c r="AR593" s="289"/>
      <c r="AS593" s="289"/>
      <c r="AT593" s="289"/>
      <c r="AU593" s="289"/>
      <c r="AV593" s="289"/>
      <c r="AW593" s="289"/>
      <c r="AX593" s="289"/>
      <c r="AY593" s="289"/>
    </row>
    <row r="594" spans="1:51" ht="13.5" customHeight="1">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c r="AA594" s="289"/>
      <c r="AB594" s="289"/>
      <c r="AC594" s="289"/>
      <c r="AD594" s="289"/>
      <c r="AE594" s="289"/>
      <c r="AF594" s="289"/>
      <c r="AG594" s="289"/>
      <c r="AH594" s="289"/>
      <c r="AI594" s="289"/>
      <c r="AJ594" s="289"/>
      <c r="AK594" s="289"/>
      <c r="AL594" s="289"/>
      <c r="AM594" s="289"/>
      <c r="AN594" s="289"/>
      <c r="AO594" s="289"/>
      <c r="AP594" s="289"/>
      <c r="AQ594" s="289"/>
      <c r="AR594" s="289"/>
      <c r="AS594" s="289"/>
      <c r="AT594" s="289"/>
      <c r="AU594" s="289"/>
      <c r="AV594" s="289"/>
      <c r="AW594" s="289"/>
      <c r="AX594" s="289"/>
      <c r="AY594" s="289"/>
    </row>
    <row r="595" spans="1:51" ht="13.5" customHeight="1">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c r="AA595" s="289"/>
      <c r="AB595" s="289"/>
      <c r="AC595" s="289"/>
      <c r="AD595" s="289"/>
      <c r="AE595" s="289"/>
      <c r="AF595" s="289"/>
      <c r="AG595" s="289"/>
      <c r="AH595" s="289"/>
      <c r="AI595" s="289"/>
      <c r="AJ595" s="289"/>
      <c r="AK595" s="289"/>
      <c r="AL595" s="289"/>
      <c r="AM595" s="289"/>
      <c r="AN595" s="289"/>
      <c r="AO595" s="289"/>
      <c r="AP595" s="289"/>
      <c r="AQ595" s="289"/>
      <c r="AR595" s="289"/>
      <c r="AS595" s="289"/>
      <c r="AT595" s="289"/>
      <c r="AU595" s="289"/>
      <c r="AV595" s="289"/>
      <c r="AW595" s="289"/>
      <c r="AX595" s="289"/>
      <c r="AY595" s="289"/>
    </row>
    <row r="596" spans="1:51" ht="13.5" customHeight="1">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c r="AA596" s="289"/>
      <c r="AB596" s="289"/>
      <c r="AC596" s="289"/>
      <c r="AD596" s="289"/>
      <c r="AE596" s="289"/>
      <c r="AF596" s="289"/>
      <c r="AG596" s="289"/>
      <c r="AH596" s="289"/>
      <c r="AI596" s="289"/>
      <c r="AJ596" s="289"/>
      <c r="AK596" s="289"/>
      <c r="AL596" s="289"/>
      <c r="AM596" s="289"/>
      <c r="AN596" s="289"/>
      <c r="AO596" s="289"/>
      <c r="AP596" s="289"/>
      <c r="AQ596" s="289"/>
      <c r="AR596" s="289"/>
      <c r="AS596" s="289"/>
      <c r="AT596" s="289"/>
      <c r="AU596" s="289"/>
      <c r="AV596" s="289"/>
      <c r="AW596" s="289"/>
      <c r="AX596" s="289"/>
      <c r="AY596" s="289"/>
    </row>
    <row r="597" spans="1:51" ht="13.5" customHeight="1">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c r="AA597" s="289"/>
      <c r="AB597" s="289"/>
      <c r="AC597" s="289"/>
      <c r="AD597" s="289"/>
      <c r="AE597" s="289"/>
      <c r="AF597" s="289"/>
      <c r="AG597" s="289"/>
      <c r="AH597" s="289"/>
      <c r="AI597" s="289"/>
      <c r="AJ597" s="289"/>
      <c r="AK597" s="289"/>
      <c r="AL597" s="289"/>
      <c r="AM597" s="289"/>
      <c r="AN597" s="289"/>
      <c r="AO597" s="289"/>
      <c r="AP597" s="289"/>
      <c r="AQ597" s="289"/>
      <c r="AR597" s="289"/>
      <c r="AS597" s="289"/>
      <c r="AT597" s="289"/>
      <c r="AU597" s="289"/>
      <c r="AV597" s="289"/>
      <c r="AW597" s="289"/>
      <c r="AX597" s="289"/>
      <c r="AY597" s="289"/>
    </row>
    <row r="598" spans="1:51" ht="13.5" customHeight="1">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c r="AA598" s="289"/>
      <c r="AB598" s="289"/>
      <c r="AC598" s="289"/>
      <c r="AD598" s="289"/>
      <c r="AE598" s="289"/>
      <c r="AF598" s="289"/>
      <c r="AG598" s="289"/>
      <c r="AH598" s="289"/>
      <c r="AI598" s="289"/>
      <c r="AJ598" s="289"/>
      <c r="AK598" s="289"/>
      <c r="AL598" s="289"/>
      <c r="AM598" s="289"/>
      <c r="AN598" s="289"/>
      <c r="AO598" s="289"/>
      <c r="AP598" s="289"/>
      <c r="AQ598" s="289"/>
      <c r="AR598" s="289"/>
      <c r="AS598" s="289"/>
      <c r="AT598" s="289"/>
      <c r="AU598" s="289"/>
      <c r="AV598" s="289"/>
      <c r="AW598" s="289"/>
      <c r="AX598" s="289"/>
      <c r="AY598" s="289"/>
    </row>
    <row r="599" spans="1:51" ht="13.5" customHeight="1">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c r="AA599" s="289"/>
      <c r="AB599" s="289"/>
      <c r="AC599" s="289"/>
      <c r="AD599" s="289"/>
      <c r="AE599" s="289"/>
      <c r="AF599" s="289"/>
      <c r="AG599" s="289"/>
      <c r="AH599" s="289"/>
      <c r="AI599" s="289"/>
      <c r="AJ599" s="289"/>
      <c r="AK599" s="289"/>
      <c r="AL599" s="289"/>
      <c r="AM599" s="289"/>
      <c r="AN599" s="289"/>
      <c r="AO599" s="289"/>
      <c r="AP599" s="289"/>
      <c r="AQ599" s="289"/>
      <c r="AR599" s="289"/>
      <c r="AS599" s="289"/>
      <c r="AT599" s="289"/>
      <c r="AU599" s="289"/>
      <c r="AV599" s="289"/>
      <c r="AW599" s="289"/>
      <c r="AX599" s="289"/>
      <c r="AY599" s="289"/>
    </row>
    <row r="600" spans="1:51" ht="13.5" customHeight="1">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c r="AA600" s="289"/>
      <c r="AB600" s="289"/>
      <c r="AC600" s="289"/>
      <c r="AD600" s="289"/>
      <c r="AE600" s="289"/>
      <c r="AF600" s="289"/>
      <c r="AG600" s="289"/>
      <c r="AH600" s="289"/>
      <c r="AI600" s="289"/>
      <c r="AJ600" s="289"/>
      <c r="AK600" s="289"/>
      <c r="AL600" s="289"/>
      <c r="AM600" s="289"/>
      <c r="AN600" s="289"/>
      <c r="AO600" s="289"/>
      <c r="AP600" s="289"/>
      <c r="AQ600" s="289"/>
      <c r="AR600" s="289"/>
      <c r="AS600" s="289"/>
      <c r="AT600" s="289"/>
      <c r="AU600" s="289"/>
      <c r="AV600" s="289"/>
      <c r="AW600" s="289"/>
      <c r="AX600" s="289"/>
      <c r="AY600" s="289"/>
    </row>
    <row r="601" spans="1:51" ht="13.5" customHeight="1">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c r="AA601" s="289"/>
      <c r="AB601" s="289"/>
      <c r="AC601" s="289"/>
      <c r="AD601" s="289"/>
      <c r="AE601" s="289"/>
      <c r="AF601" s="289"/>
      <c r="AG601" s="289"/>
      <c r="AH601" s="289"/>
      <c r="AI601" s="289"/>
      <c r="AJ601" s="289"/>
      <c r="AK601" s="289"/>
      <c r="AL601" s="289"/>
      <c r="AM601" s="289"/>
      <c r="AN601" s="289"/>
      <c r="AO601" s="289"/>
      <c r="AP601" s="289"/>
      <c r="AQ601" s="289"/>
      <c r="AR601" s="289"/>
      <c r="AS601" s="289"/>
      <c r="AT601" s="289"/>
      <c r="AU601" s="289"/>
      <c r="AV601" s="289"/>
      <c r="AW601" s="289"/>
      <c r="AX601" s="289"/>
      <c r="AY601" s="289"/>
    </row>
    <row r="602" spans="1:51" ht="13.5" customHeight="1">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c r="AA602" s="289"/>
      <c r="AB602" s="289"/>
      <c r="AC602" s="289"/>
      <c r="AD602" s="289"/>
      <c r="AE602" s="289"/>
      <c r="AF602" s="289"/>
      <c r="AG602" s="289"/>
      <c r="AH602" s="289"/>
      <c r="AI602" s="289"/>
      <c r="AJ602" s="289"/>
      <c r="AK602" s="289"/>
      <c r="AL602" s="289"/>
      <c r="AM602" s="289"/>
      <c r="AN602" s="289"/>
      <c r="AO602" s="289"/>
      <c r="AP602" s="289"/>
      <c r="AQ602" s="289"/>
      <c r="AR602" s="289"/>
      <c r="AS602" s="289"/>
      <c r="AT602" s="289"/>
      <c r="AU602" s="289"/>
      <c r="AV602" s="289"/>
      <c r="AW602" s="289"/>
      <c r="AX602" s="289"/>
      <c r="AY602" s="289"/>
    </row>
    <row r="603" spans="1:51" ht="13.5" customHeight="1">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c r="AA603" s="289"/>
      <c r="AB603" s="289"/>
      <c r="AC603" s="289"/>
      <c r="AD603" s="289"/>
      <c r="AE603" s="289"/>
      <c r="AF603" s="289"/>
      <c r="AG603" s="289"/>
      <c r="AH603" s="289"/>
      <c r="AI603" s="289"/>
      <c r="AJ603" s="289"/>
      <c r="AK603" s="289"/>
      <c r="AL603" s="289"/>
      <c r="AM603" s="289"/>
      <c r="AN603" s="289"/>
      <c r="AO603" s="289"/>
      <c r="AP603" s="289"/>
      <c r="AQ603" s="289"/>
      <c r="AR603" s="289"/>
      <c r="AS603" s="289"/>
      <c r="AT603" s="289"/>
      <c r="AU603" s="289"/>
      <c r="AV603" s="289"/>
      <c r="AW603" s="289"/>
      <c r="AX603" s="289"/>
      <c r="AY603" s="289"/>
    </row>
    <row r="604" spans="1:51" ht="13.5" customHeight="1">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c r="AA604" s="289"/>
      <c r="AB604" s="289"/>
      <c r="AC604" s="289"/>
      <c r="AD604" s="289"/>
      <c r="AE604" s="289"/>
      <c r="AF604" s="289"/>
      <c r="AG604" s="289"/>
      <c r="AH604" s="289"/>
      <c r="AI604" s="289"/>
      <c r="AJ604" s="289"/>
      <c r="AK604" s="289"/>
      <c r="AL604" s="289"/>
      <c r="AM604" s="289"/>
      <c r="AN604" s="289"/>
      <c r="AO604" s="289"/>
      <c r="AP604" s="289"/>
      <c r="AQ604" s="289"/>
      <c r="AR604" s="289"/>
      <c r="AS604" s="289"/>
      <c r="AT604" s="289"/>
      <c r="AU604" s="289"/>
      <c r="AV604" s="289"/>
      <c r="AW604" s="289"/>
      <c r="AX604" s="289"/>
      <c r="AY604" s="289"/>
    </row>
    <row r="605" spans="1:51" ht="13.5" customHeight="1">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c r="AA605" s="289"/>
      <c r="AB605" s="289"/>
      <c r="AC605" s="289"/>
      <c r="AD605" s="289"/>
      <c r="AE605" s="289"/>
      <c r="AF605" s="289"/>
      <c r="AG605" s="289"/>
      <c r="AH605" s="289"/>
      <c r="AI605" s="289"/>
      <c r="AJ605" s="289"/>
      <c r="AK605" s="289"/>
      <c r="AL605" s="289"/>
      <c r="AM605" s="289"/>
      <c r="AN605" s="289"/>
      <c r="AO605" s="289"/>
      <c r="AP605" s="289"/>
      <c r="AQ605" s="289"/>
      <c r="AR605" s="289"/>
      <c r="AS605" s="289"/>
      <c r="AT605" s="289"/>
      <c r="AU605" s="289"/>
      <c r="AV605" s="289"/>
      <c r="AW605" s="289"/>
      <c r="AX605" s="289"/>
      <c r="AY605" s="289"/>
    </row>
    <row r="606" spans="1:51" ht="13.5" customHeight="1">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c r="AA606" s="289"/>
      <c r="AB606" s="289"/>
      <c r="AC606" s="289"/>
      <c r="AD606" s="289"/>
      <c r="AE606" s="289"/>
      <c r="AF606" s="289"/>
      <c r="AG606" s="289"/>
      <c r="AH606" s="289"/>
      <c r="AI606" s="289"/>
      <c r="AJ606" s="289"/>
      <c r="AK606" s="289"/>
      <c r="AL606" s="289"/>
      <c r="AM606" s="289"/>
      <c r="AN606" s="289"/>
      <c r="AO606" s="289"/>
      <c r="AP606" s="289"/>
      <c r="AQ606" s="289"/>
      <c r="AR606" s="289"/>
      <c r="AS606" s="289"/>
      <c r="AT606" s="289"/>
      <c r="AU606" s="289"/>
      <c r="AV606" s="289"/>
      <c r="AW606" s="289"/>
      <c r="AX606" s="289"/>
      <c r="AY606" s="289"/>
    </row>
    <row r="607" spans="1:51" ht="13.5" customHeight="1">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c r="AA607" s="289"/>
      <c r="AB607" s="289"/>
      <c r="AC607" s="289"/>
      <c r="AD607" s="289"/>
      <c r="AE607" s="289"/>
      <c r="AF607" s="289"/>
      <c r="AG607" s="289"/>
      <c r="AH607" s="289"/>
      <c r="AI607" s="289"/>
      <c r="AJ607" s="289"/>
      <c r="AK607" s="289"/>
      <c r="AL607" s="289"/>
      <c r="AM607" s="289"/>
      <c r="AN607" s="289"/>
      <c r="AO607" s="289"/>
      <c r="AP607" s="289"/>
      <c r="AQ607" s="289"/>
      <c r="AR607" s="289"/>
      <c r="AS607" s="289"/>
      <c r="AT607" s="289"/>
      <c r="AU607" s="289"/>
      <c r="AV607" s="289"/>
      <c r="AW607" s="289"/>
      <c r="AX607" s="289"/>
      <c r="AY607" s="289"/>
    </row>
    <row r="608" spans="1:51" ht="13.5" customHeight="1">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c r="AA608" s="289"/>
      <c r="AB608" s="289"/>
      <c r="AC608" s="289"/>
      <c r="AD608" s="289"/>
      <c r="AE608" s="289"/>
      <c r="AF608" s="289"/>
      <c r="AG608" s="289"/>
      <c r="AH608" s="289"/>
      <c r="AI608" s="289"/>
      <c r="AJ608" s="289"/>
      <c r="AK608" s="289"/>
      <c r="AL608" s="289"/>
      <c r="AM608" s="289"/>
      <c r="AN608" s="289"/>
      <c r="AO608" s="289"/>
      <c r="AP608" s="289"/>
      <c r="AQ608" s="289"/>
      <c r="AR608" s="289"/>
      <c r="AS608" s="289"/>
      <c r="AT608" s="289"/>
      <c r="AU608" s="289"/>
      <c r="AV608" s="289"/>
      <c r="AW608" s="289"/>
      <c r="AX608" s="289"/>
      <c r="AY608" s="289"/>
    </row>
    <row r="609" spans="1:51" ht="13.5" customHeight="1">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c r="AA609" s="289"/>
      <c r="AB609" s="289"/>
      <c r="AC609" s="289"/>
      <c r="AD609" s="289"/>
      <c r="AE609" s="289"/>
      <c r="AF609" s="289"/>
      <c r="AG609" s="289"/>
      <c r="AH609" s="289"/>
      <c r="AI609" s="289"/>
      <c r="AJ609" s="289"/>
      <c r="AK609" s="289"/>
      <c r="AL609" s="289"/>
      <c r="AM609" s="289"/>
      <c r="AN609" s="289"/>
      <c r="AO609" s="289"/>
      <c r="AP609" s="289"/>
      <c r="AQ609" s="289"/>
      <c r="AR609" s="289"/>
      <c r="AS609" s="289"/>
      <c r="AT609" s="289"/>
      <c r="AU609" s="289"/>
      <c r="AV609" s="289"/>
      <c r="AW609" s="289"/>
      <c r="AX609" s="289"/>
      <c r="AY609" s="289"/>
    </row>
    <row r="610" spans="1:51" ht="13.5" customHeight="1">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c r="AA610" s="289"/>
      <c r="AB610" s="289"/>
      <c r="AC610" s="289"/>
      <c r="AD610" s="289"/>
      <c r="AE610" s="289"/>
      <c r="AF610" s="289"/>
      <c r="AG610" s="289"/>
      <c r="AH610" s="289"/>
      <c r="AI610" s="289"/>
      <c r="AJ610" s="289"/>
      <c r="AK610" s="289"/>
      <c r="AL610" s="289"/>
      <c r="AM610" s="289"/>
      <c r="AN610" s="289"/>
      <c r="AO610" s="289"/>
      <c r="AP610" s="289"/>
      <c r="AQ610" s="289"/>
      <c r="AR610" s="289"/>
      <c r="AS610" s="289"/>
      <c r="AT610" s="289"/>
      <c r="AU610" s="289"/>
      <c r="AV610" s="289"/>
      <c r="AW610" s="289"/>
      <c r="AX610" s="289"/>
      <c r="AY610" s="289"/>
    </row>
    <row r="611" spans="1:51" ht="13.5" customHeight="1">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c r="AA611" s="289"/>
      <c r="AB611" s="289"/>
      <c r="AC611" s="289"/>
      <c r="AD611" s="289"/>
      <c r="AE611" s="289"/>
      <c r="AF611" s="289"/>
      <c r="AG611" s="289"/>
      <c r="AH611" s="289"/>
      <c r="AI611" s="289"/>
      <c r="AJ611" s="289"/>
      <c r="AK611" s="289"/>
      <c r="AL611" s="289"/>
      <c r="AM611" s="289"/>
      <c r="AN611" s="289"/>
      <c r="AO611" s="289"/>
      <c r="AP611" s="289"/>
      <c r="AQ611" s="289"/>
      <c r="AR611" s="289"/>
      <c r="AS611" s="289"/>
      <c r="AT611" s="289"/>
      <c r="AU611" s="289"/>
      <c r="AV611" s="289"/>
      <c r="AW611" s="289"/>
      <c r="AX611" s="289"/>
      <c r="AY611" s="289"/>
    </row>
    <row r="612" spans="1:51" ht="13.5" customHeight="1">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c r="AA612" s="289"/>
      <c r="AB612" s="289"/>
      <c r="AC612" s="289"/>
      <c r="AD612" s="289"/>
      <c r="AE612" s="289"/>
      <c r="AF612" s="289"/>
      <c r="AG612" s="289"/>
      <c r="AH612" s="289"/>
      <c r="AI612" s="289"/>
      <c r="AJ612" s="289"/>
      <c r="AK612" s="289"/>
      <c r="AL612" s="289"/>
      <c r="AM612" s="289"/>
      <c r="AN612" s="289"/>
      <c r="AO612" s="289"/>
      <c r="AP612" s="289"/>
      <c r="AQ612" s="289"/>
      <c r="AR612" s="289"/>
      <c r="AS612" s="289"/>
      <c r="AT612" s="289"/>
      <c r="AU612" s="289"/>
      <c r="AV612" s="289"/>
      <c r="AW612" s="289"/>
      <c r="AX612" s="289"/>
      <c r="AY612" s="289"/>
    </row>
    <row r="613" spans="1:51" ht="13.5" customHeight="1">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c r="AA613" s="289"/>
      <c r="AB613" s="289"/>
      <c r="AC613" s="289"/>
      <c r="AD613" s="289"/>
      <c r="AE613" s="289"/>
      <c r="AF613" s="289"/>
      <c r="AG613" s="289"/>
      <c r="AH613" s="289"/>
      <c r="AI613" s="289"/>
      <c r="AJ613" s="289"/>
      <c r="AK613" s="289"/>
      <c r="AL613" s="289"/>
      <c r="AM613" s="289"/>
      <c r="AN613" s="289"/>
      <c r="AO613" s="289"/>
      <c r="AP613" s="289"/>
      <c r="AQ613" s="289"/>
      <c r="AR613" s="289"/>
      <c r="AS613" s="289"/>
      <c r="AT613" s="289"/>
      <c r="AU613" s="289"/>
      <c r="AV613" s="289"/>
      <c r="AW613" s="289"/>
      <c r="AX613" s="289"/>
      <c r="AY613" s="289"/>
    </row>
    <row r="614" spans="1:51" ht="13.5" customHeight="1">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c r="AA614" s="289"/>
      <c r="AB614" s="289"/>
      <c r="AC614" s="289"/>
      <c r="AD614" s="289"/>
      <c r="AE614" s="289"/>
      <c r="AF614" s="289"/>
      <c r="AG614" s="289"/>
      <c r="AH614" s="289"/>
      <c r="AI614" s="289"/>
      <c r="AJ614" s="289"/>
      <c r="AK614" s="289"/>
      <c r="AL614" s="289"/>
      <c r="AM614" s="289"/>
      <c r="AN614" s="289"/>
      <c r="AO614" s="289"/>
      <c r="AP614" s="289"/>
      <c r="AQ614" s="289"/>
      <c r="AR614" s="289"/>
      <c r="AS614" s="289"/>
      <c r="AT614" s="289"/>
      <c r="AU614" s="289"/>
      <c r="AV614" s="289"/>
      <c r="AW614" s="289"/>
      <c r="AX614" s="289"/>
      <c r="AY614" s="289"/>
    </row>
    <row r="615" spans="1:51" ht="13.5" customHeight="1">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c r="AA615" s="289"/>
      <c r="AB615" s="289"/>
      <c r="AC615" s="289"/>
      <c r="AD615" s="289"/>
      <c r="AE615" s="289"/>
      <c r="AF615" s="289"/>
      <c r="AG615" s="289"/>
      <c r="AH615" s="289"/>
      <c r="AI615" s="289"/>
      <c r="AJ615" s="289"/>
      <c r="AK615" s="289"/>
      <c r="AL615" s="289"/>
      <c r="AM615" s="289"/>
      <c r="AN615" s="289"/>
      <c r="AO615" s="289"/>
      <c r="AP615" s="289"/>
      <c r="AQ615" s="289"/>
      <c r="AR615" s="289"/>
      <c r="AS615" s="289"/>
      <c r="AT615" s="289"/>
      <c r="AU615" s="289"/>
      <c r="AV615" s="289"/>
      <c r="AW615" s="289"/>
      <c r="AX615" s="289"/>
      <c r="AY615" s="289"/>
    </row>
    <row r="616" spans="1:51" ht="13.5" customHeight="1">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c r="AA616" s="289"/>
      <c r="AB616" s="289"/>
      <c r="AC616" s="289"/>
      <c r="AD616" s="289"/>
      <c r="AE616" s="289"/>
      <c r="AF616" s="289"/>
      <c r="AG616" s="289"/>
      <c r="AH616" s="289"/>
      <c r="AI616" s="289"/>
      <c r="AJ616" s="289"/>
      <c r="AK616" s="289"/>
      <c r="AL616" s="289"/>
      <c r="AM616" s="289"/>
      <c r="AN616" s="289"/>
      <c r="AO616" s="289"/>
      <c r="AP616" s="289"/>
      <c r="AQ616" s="289"/>
      <c r="AR616" s="289"/>
      <c r="AS616" s="289"/>
      <c r="AT616" s="289"/>
      <c r="AU616" s="289"/>
      <c r="AV616" s="289"/>
      <c r="AW616" s="289"/>
      <c r="AX616" s="289"/>
      <c r="AY616" s="289"/>
    </row>
    <row r="617" spans="1:51" ht="13.5" customHeight="1">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c r="AA617" s="289"/>
      <c r="AB617" s="289"/>
      <c r="AC617" s="289"/>
      <c r="AD617" s="289"/>
      <c r="AE617" s="289"/>
      <c r="AF617" s="289"/>
      <c r="AG617" s="289"/>
      <c r="AH617" s="289"/>
      <c r="AI617" s="289"/>
      <c r="AJ617" s="289"/>
      <c r="AK617" s="289"/>
      <c r="AL617" s="289"/>
      <c r="AM617" s="289"/>
      <c r="AN617" s="289"/>
      <c r="AO617" s="289"/>
      <c r="AP617" s="289"/>
      <c r="AQ617" s="289"/>
      <c r="AR617" s="289"/>
      <c r="AS617" s="289"/>
      <c r="AT617" s="289"/>
      <c r="AU617" s="289"/>
      <c r="AV617" s="289"/>
      <c r="AW617" s="289"/>
      <c r="AX617" s="289"/>
      <c r="AY617" s="289"/>
    </row>
    <row r="618" spans="1:51" ht="13.5" customHeight="1">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c r="AA618" s="289"/>
      <c r="AB618" s="289"/>
      <c r="AC618" s="289"/>
      <c r="AD618" s="289"/>
      <c r="AE618" s="289"/>
      <c r="AF618" s="289"/>
      <c r="AG618" s="289"/>
      <c r="AH618" s="289"/>
      <c r="AI618" s="289"/>
      <c r="AJ618" s="289"/>
      <c r="AK618" s="289"/>
      <c r="AL618" s="289"/>
      <c r="AM618" s="289"/>
      <c r="AN618" s="289"/>
      <c r="AO618" s="289"/>
      <c r="AP618" s="289"/>
      <c r="AQ618" s="289"/>
      <c r="AR618" s="289"/>
      <c r="AS618" s="289"/>
      <c r="AT618" s="289"/>
      <c r="AU618" s="289"/>
      <c r="AV618" s="289"/>
      <c r="AW618" s="289"/>
      <c r="AX618" s="289"/>
      <c r="AY618" s="289"/>
    </row>
    <row r="619" spans="1:51" ht="13.5" customHeight="1">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c r="AA619" s="289"/>
      <c r="AB619" s="289"/>
      <c r="AC619" s="289"/>
      <c r="AD619" s="289"/>
      <c r="AE619" s="289"/>
      <c r="AF619" s="289"/>
      <c r="AG619" s="289"/>
      <c r="AH619" s="289"/>
      <c r="AI619" s="289"/>
      <c r="AJ619" s="289"/>
      <c r="AK619" s="289"/>
      <c r="AL619" s="289"/>
      <c r="AM619" s="289"/>
      <c r="AN619" s="289"/>
      <c r="AO619" s="289"/>
      <c r="AP619" s="289"/>
      <c r="AQ619" s="289"/>
      <c r="AR619" s="289"/>
      <c r="AS619" s="289"/>
      <c r="AT619" s="289"/>
      <c r="AU619" s="289"/>
      <c r="AV619" s="289"/>
      <c r="AW619" s="289"/>
      <c r="AX619" s="289"/>
      <c r="AY619" s="289"/>
    </row>
    <row r="620" spans="1:51" ht="13.5" customHeight="1">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c r="AA620" s="289"/>
      <c r="AB620" s="289"/>
      <c r="AC620" s="289"/>
      <c r="AD620" s="289"/>
      <c r="AE620" s="289"/>
      <c r="AF620" s="289"/>
      <c r="AG620" s="289"/>
      <c r="AH620" s="289"/>
      <c r="AI620" s="289"/>
      <c r="AJ620" s="289"/>
      <c r="AK620" s="289"/>
      <c r="AL620" s="289"/>
      <c r="AM620" s="289"/>
      <c r="AN620" s="289"/>
      <c r="AO620" s="289"/>
      <c r="AP620" s="289"/>
      <c r="AQ620" s="289"/>
      <c r="AR620" s="289"/>
      <c r="AS620" s="289"/>
      <c r="AT620" s="289"/>
      <c r="AU620" s="289"/>
      <c r="AV620" s="289"/>
      <c r="AW620" s="289"/>
      <c r="AX620" s="289"/>
      <c r="AY620" s="289"/>
    </row>
    <row r="621" spans="1:51" ht="13.5" customHeight="1">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c r="AA621" s="289"/>
      <c r="AB621" s="289"/>
      <c r="AC621" s="289"/>
      <c r="AD621" s="289"/>
      <c r="AE621" s="289"/>
      <c r="AF621" s="289"/>
      <c r="AG621" s="289"/>
      <c r="AH621" s="289"/>
      <c r="AI621" s="289"/>
      <c r="AJ621" s="289"/>
      <c r="AK621" s="289"/>
      <c r="AL621" s="289"/>
      <c r="AM621" s="289"/>
      <c r="AN621" s="289"/>
      <c r="AO621" s="289"/>
      <c r="AP621" s="289"/>
      <c r="AQ621" s="289"/>
      <c r="AR621" s="289"/>
      <c r="AS621" s="289"/>
      <c r="AT621" s="289"/>
      <c r="AU621" s="289"/>
      <c r="AV621" s="289"/>
      <c r="AW621" s="289"/>
      <c r="AX621" s="289"/>
      <c r="AY621" s="289"/>
    </row>
    <row r="622" spans="1:51" ht="13.5" customHeight="1">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c r="AA622" s="289"/>
      <c r="AB622" s="289"/>
      <c r="AC622" s="289"/>
      <c r="AD622" s="289"/>
      <c r="AE622" s="289"/>
      <c r="AF622" s="289"/>
      <c r="AG622" s="289"/>
      <c r="AH622" s="289"/>
      <c r="AI622" s="289"/>
      <c r="AJ622" s="289"/>
      <c r="AK622" s="289"/>
      <c r="AL622" s="289"/>
      <c r="AM622" s="289"/>
      <c r="AN622" s="289"/>
      <c r="AO622" s="289"/>
      <c r="AP622" s="289"/>
      <c r="AQ622" s="289"/>
      <c r="AR622" s="289"/>
      <c r="AS622" s="289"/>
      <c r="AT622" s="289"/>
      <c r="AU622" s="289"/>
      <c r="AV622" s="289"/>
      <c r="AW622" s="289"/>
      <c r="AX622" s="289"/>
      <c r="AY622" s="289"/>
    </row>
    <row r="623" spans="1:51" ht="13.5" customHeight="1">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c r="AA623" s="289"/>
      <c r="AB623" s="289"/>
      <c r="AC623" s="289"/>
      <c r="AD623" s="289"/>
      <c r="AE623" s="289"/>
      <c r="AF623" s="289"/>
      <c r="AG623" s="289"/>
      <c r="AH623" s="289"/>
      <c r="AI623" s="289"/>
      <c r="AJ623" s="289"/>
      <c r="AK623" s="289"/>
      <c r="AL623" s="289"/>
      <c r="AM623" s="289"/>
      <c r="AN623" s="289"/>
      <c r="AO623" s="289"/>
      <c r="AP623" s="289"/>
      <c r="AQ623" s="289"/>
      <c r="AR623" s="289"/>
      <c r="AS623" s="289"/>
      <c r="AT623" s="289"/>
      <c r="AU623" s="289"/>
      <c r="AV623" s="289"/>
      <c r="AW623" s="289"/>
      <c r="AX623" s="289"/>
      <c r="AY623" s="289"/>
    </row>
    <row r="624" spans="1:51" ht="13.5" customHeight="1">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c r="AA624" s="289"/>
      <c r="AB624" s="289"/>
      <c r="AC624" s="289"/>
      <c r="AD624" s="289"/>
      <c r="AE624" s="289"/>
      <c r="AF624" s="289"/>
      <c r="AG624" s="289"/>
      <c r="AH624" s="289"/>
      <c r="AI624" s="289"/>
      <c r="AJ624" s="289"/>
      <c r="AK624" s="289"/>
      <c r="AL624" s="289"/>
      <c r="AM624" s="289"/>
      <c r="AN624" s="289"/>
      <c r="AO624" s="289"/>
      <c r="AP624" s="289"/>
      <c r="AQ624" s="289"/>
      <c r="AR624" s="289"/>
      <c r="AS624" s="289"/>
      <c r="AT624" s="289"/>
      <c r="AU624" s="289"/>
      <c r="AV624" s="289"/>
      <c r="AW624" s="289"/>
      <c r="AX624" s="289"/>
      <c r="AY624" s="289"/>
    </row>
    <row r="625" spans="1:51" ht="13.5" customHeight="1">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c r="AK625" s="289"/>
      <c r="AL625" s="289"/>
      <c r="AM625" s="289"/>
      <c r="AN625" s="289"/>
      <c r="AO625" s="289"/>
      <c r="AP625" s="289"/>
      <c r="AQ625" s="289"/>
      <c r="AR625" s="289"/>
      <c r="AS625" s="289"/>
      <c r="AT625" s="289"/>
      <c r="AU625" s="289"/>
      <c r="AV625" s="289"/>
      <c r="AW625" s="289"/>
      <c r="AX625" s="289"/>
      <c r="AY625" s="289"/>
    </row>
    <row r="626" spans="1:51" ht="13.5" customHeight="1">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c r="AA626" s="289"/>
      <c r="AB626" s="289"/>
      <c r="AC626" s="289"/>
      <c r="AD626" s="289"/>
      <c r="AE626" s="289"/>
      <c r="AF626" s="289"/>
      <c r="AG626" s="289"/>
      <c r="AH626" s="289"/>
      <c r="AI626" s="289"/>
      <c r="AJ626" s="289"/>
      <c r="AK626" s="289"/>
      <c r="AL626" s="289"/>
      <c r="AM626" s="289"/>
      <c r="AN626" s="289"/>
      <c r="AO626" s="289"/>
      <c r="AP626" s="289"/>
      <c r="AQ626" s="289"/>
      <c r="AR626" s="289"/>
      <c r="AS626" s="289"/>
      <c r="AT626" s="289"/>
      <c r="AU626" s="289"/>
      <c r="AV626" s="289"/>
      <c r="AW626" s="289"/>
      <c r="AX626" s="289"/>
      <c r="AY626" s="289"/>
    </row>
    <row r="627" spans="1:51" ht="13.5" customHeight="1">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c r="AA627" s="289"/>
      <c r="AB627" s="289"/>
      <c r="AC627" s="289"/>
      <c r="AD627" s="289"/>
      <c r="AE627" s="289"/>
      <c r="AF627" s="289"/>
      <c r="AG627" s="289"/>
      <c r="AH627" s="289"/>
      <c r="AI627" s="289"/>
      <c r="AJ627" s="289"/>
      <c r="AK627" s="289"/>
      <c r="AL627" s="289"/>
      <c r="AM627" s="289"/>
      <c r="AN627" s="289"/>
      <c r="AO627" s="289"/>
      <c r="AP627" s="289"/>
      <c r="AQ627" s="289"/>
      <c r="AR627" s="289"/>
      <c r="AS627" s="289"/>
      <c r="AT627" s="289"/>
      <c r="AU627" s="289"/>
      <c r="AV627" s="289"/>
      <c r="AW627" s="289"/>
      <c r="AX627" s="289"/>
      <c r="AY627" s="289"/>
    </row>
    <row r="628" spans="1:51" ht="13.5" customHeight="1">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c r="AA628" s="289"/>
      <c r="AB628" s="289"/>
      <c r="AC628" s="289"/>
      <c r="AD628" s="289"/>
      <c r="AE628" s="289"/>
      <c r="AF628" s="289"/>
      <c r="AG628" s="289"/>
      <c r="AH628" s="289"/>
      <c r="AI628" s="289"/>
      <c r="AJ628" s="289"/>
      <c r="AK628" s="289"/>
      <c r="AL628" s="289"/>
      <c r="AM628" s="289"/>
      <c r="AN628" s="289"/>
      <c r="AO628" s="289"/>
      <c r="AP628" s="289"/>
      <c r="AQ628" s="289"/>
      <c r="AR628" s="289"/>
      <c r="AS628" s="289"/>
      <c r="AT628" s="289"/>
      <c r="AU628" s="289"/>
      <c r="AV628" s="289"/>
      <c r="AW628" s="289"/>
      <c r="AX628" s="289"/>
      <c r="AY628" s="289"/>
    </row>
    <row r="629" spans="1:51" ht="13.5" customHeight="1">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c r="AA629" s="289"/>
      <c r="AB629" s="289"/>
      <c r="AC629" s="289"/>
      <c r="AD629" s="289"/>
      <c r="AE629" s="289"/>
      <c r="AF629" s="289"/>
      <c r="AG629" s="289"/>
      <c r="AH629" s="289"/>
      <c r="AI629" s="289"/>
      <c r="AJ629" s="289"/>
      <c r="AK629" s="289"/>
      <c r="AL629" s="289"/>
      <c r="AM629" s="289"/>
      <c r="AN629" s="289"/>
      <c r="AO629" s="289"/>
      <c r="AP629" s="289"/>
      <c r="AQ629" s="289"/>
      <c r="AR629" s="289"/>
      <c r="AS629" s="289"/>
      <c r="AT629" s="289"/>
      <c r="AU629" s="289"/>
      <c r="AV629" s="289"/>
      <c r="AW629" s="289"/>
      <c r="AX629" s="289"/>
      <c r="AY629" s="289"/>
    </row>
    <row r="630" spans="1:51" ht="13.5" customHeight="1">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c r="AA630" s="289"/>
      <c r="AB630" s="289"/>
      <c r="AC630" s="289"/>
      <c r="AD630" s="289"/>
      <c r="AE630" s="289"/>
      <c r="AF630" s="289"/>
      <c r="AG630" s="289"/>
      <c r="AH630" s="289"/>
      <c r="AI630" s="289"/>
      <c r="AJ630" s="289"/>
      <c r="AK630" s="289"/>
      <c r="AL630" s="289"/>
      <c r="AM630" s="289"/>
      <c r="AN630" s="289"/>
      <c r="AO630" s="289"/>
      <c r="AP630" s="289"/>
      <c r="AQ630" s="289"/>
      <c r="AR630" s="289"/>
      <c r="AS630" s="289"/>
      <c r="AT630" s="289"/>
      <c r="AU630" s="289"/>
      <c r="AV630" s="289"/>
      <c r="AW630" s="289"/>
      <c r="AX630" s="289"/>
      <c r="AY630" s="289"/>
    </row>
    <row r="631" spans="1:51" ht="13.5" customHeight="1">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c r="AA631" s="289"/>
      <c r="AB631" s="289"/>
      <c r="AC631" s="289"/>
      <c r="AD631" s="289"/>
      <c r="AE631" s="289"/>
      <c r="AF631" s="289"/>
      <c r="AG631" s="289"/>
      <c r="AH631" s="289"/>
      <c r="AI631" s="289"/>
      <c r="AJ631" s="289"/>
      <c r="AK631" s="289"/>
      <c r="AL631" s="289"/>
      <c r="AM631" s="289"/>
      <c r="AN631" s="289"/>
      <c r="AO631" s="289"/>
      <c r="AP631" s="289"/>
      <c r="AQ631" s="289"/>
      <c r="AR631" s="289"/>
      <c r="AS631" s="289"/>
      <c r="AT631" s="289"/>
      <c r="AU631" s="289"/>
      <c r="AV631" s="289"/>
      <c r="AW631" s="289"/>
      <c r="AX631" s="289"/>
      <c r="AY631" s="289"/>
    </row>
    <row r="632" spans="1:51" ht="13.5" customHeight="1">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c r="AA632" s="289"/>
      <c r="AB632" s="289"/>
      <c r="AC632" s="289"/>
      <c r="AD632" s="289"/>
      <c r="AE632" s="289"/>
      <c r="AF632" s="289"/>
      <c r="AG632" s="289"/>
      <c r="AH632" s="289"/>
      <c r="AI632" s="289"/>
      <c r="AJ632" s="289"/>
      <c r="AK632" s="289"/>
      <c r="AL632" s="289"/>
      <c r="AM632" s="289"/>
      <c r="AN632" s="289"/>
      <c r="AO632" s="289"/>
      <c r="AP632" s="289"/>
      <c r="AQ632" s="289"/>
      <c r="AR632" s="289"/>
      <c r="AS632" s="289"/>
      <c r="AT632" s="289"/>
      <c r="AU632" s="289"/>
      <c r="AV632" s="289"/>
      <c r="AW632" s="289"/>
      <c r="AX632" s="289"/>
      <c r="AY632" s="289"/>
    </row>
    <row r="633" spans="1:51" ht="13.5" customHeight="1">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c r="AA633" s="289"/>
      <c r="AB633" s="289"/>
      <c r="AC633" s="289"/>
      <c r="AD633" s="289"/>
      <c r="AE633" s="289"/>
      <c r="AF633" s="289"/>
      <c r="AG633" s="289"/>
      <c r="AH633" s="289"/>
      <c r="AI633" s="289"/>
      <c r="AJ633" s="289"/>
      <c r="AK633" s="289"/>
      <c r="AL633" s="289"/>
      <c r="AM633" s="289"/>
      <c r="AN633" s="289"/>
      <c r="AO633" s="289"/>
      <c r="AP633" s="289"/>
      <c r="AQ633" s="289"/>
      <c r="AR633" s="289"/>
      <c r="AS633" s="289"/>
      <c r="AT633" s="289"/>
      <c r="AU633" s="289"/>
      <c r="AV633" s="289"/>
      <c r="AW633" s="289"/>
      <c r="AX633" s="289"/>
      <c r="AY633" s="289"/>
    </row>
    <row r="634" spans="1:51" ht="13.5" customHeight="1">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c r="AA634" s="289"/>
      <c r="AB634" s="289"/>
      <c r="AC634" s="289"/>
      <c r="AD634" s="289"/>
      <c r="AE634" s="289"/>
      <c r="AF634" s="289"/>
      <c r="AG634" s="289"/>
      <c r="AH634" s="289"/>
      <c r="AI634" s="289"/>
      <c r="AJ634" s="289"/>
      <c r="AK634" s="289"/>
      <c r="AL634" s="289"/>
      <c r="AM634" s="289"/>
      <c r="AN634" s="289"/>
      <c r="AO634" s="289"/>
      <c r="AP634" s="289"/>
      <c r="AQ634" s="289"/>
      <c r="AR634" s="289"/>
      <c r="AS634" s="289"/>
      <c r="AT634" s="289"/>
      <c r="AU634" s="289"/>
      <c r="AV634" s="289"/>
      <c r="AW634" s="289"/>
      <c r="AX634" s="289"/>
      <c r="AY634" s="289"/>
    </row>
    <row r="635" spans="1:51" ht="13.5" customHeight="1">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c r="AA635" s="289"/>
      <c r="AB635" s="289"/>
      <c r="AC635" s="289"/>
      <c r="AD635" s="289"/>
      <c r="AE635" s="289"/>
      <c r="AF635" s="289"/>
      <c r="AG635" s="289"/>
      <c r="AH635" s="289"/>
      <c r="AI635" s="289"/>
      <c r="AJ635" s="289"/>
      <c r="AK635" s="289"/>
      <c r="AL635" s="289"/>
      <c r="AM635" s="289"/>
      <c r="AN635" s="289"/>
      <c r="AO635" s="289"/>
      <c r="AP635" s="289"/>
      <c r="AQ635" s="289"/>
      <c r="AR635" s="289"/>
      <c r="AS635" s="289"/>
      <c r="AT635" s="289"/>
      <c r="AU635" s="289"/>
      <c r="AV635" s="289"/>
      <c r="AW635" s="289"/>
      <c r="AX635" s="289"/>
      <c r="AY635" s="289"/>
    </row>
    <row r="636" spans="1:51" ht="13.5" customHeight="1">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c r="AA636" s="289"/>
      <c r="AB636" s="289"/>
      <c r="AC636" s="289"/>
      <c r="AD636" s="289"/>
      <c r="AE636" s="289"/>
      <c r="AF636" s="289"/>
      <c r="AG636" s="289"/>
      <c r="AH636" s="289"/>
      <c r="AI636" s="289"/>
      <c r="AJ636" s="289"/>
      <c r="AK636" s="289"/>
      <c r="AL636" s="289"/>
      <c r="AM636" s="289"/>
      <c r="AN636" s="289"/>
      <c r="AO636" s="289"/>
      <c r="AP636" s="289"/>
      <c r="AQ636" s="289"/>
      <c r="AR636" s="289"/>
      <c r="AS636" s="289"/>
      <c r="AT636" s="289"/>
      <c r="AU636" s="289"/>
      <c r="AV636" s="289"/>
      <c r="AW636" s="289"/>
      <c r="AX636" s="289"/>
      <c r="AY636" s="289"/>
    </row>
    <row r="637" spans="1:51" ht="13.5" customHeight="1">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c r="AA637" s="289"/>
      <c r="AB637" s="289"/>
      <c r="AC637" s="289"/>
      <c r="AD637" s="289"/>
      <c r="AE637" s="289"/>
      <c r="AF637" s="289"/>
      <c r="AG637" s="289"/>
      <c r="AH637" s="289"/>
      <c r="AI637" s="289"/>
      <c r="AJ637" s="289"/>
      <c r="AK637" s="289"/>
      <c r="AL637" s="289"/>
      <c r="AM637" s="289"/>
      <c r="AN637" s="289"/>
      <c r="AO637" s="289"/>
      <c r="AP637" s="289"/>
      <c r="AQ637" s="289"/>
      <c r="AR637" s="289"/>
      <c r="AS637" s="289"/>
      <c r="AT637" s="289"/>
      <c r="AU637" s="289"/>
      <c r="AV637" s="289"/>
      <c r="AW637" s="289"/>
      <c r="AX637" s="289"/>
      <c r="AY637" s="289"/>
    </row>
    <row r="638" spans="1:51" ht="13.5" customHeight="1">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c r="AA638" s="289"/>
      <c r="AB638" s="289"/>
      <c r="AC638" s="289"/>
      <c r="AD638" s="289"/>
      <c r="AE638" s="289"/>
      <c r="AF638" s="289"/>
      <c r="AG638" s="289"/>
      <c r="AH638" s="289"/>
      <c r="AI638" s="289"/>
      <c r="AJ638" s="289"/>
      <c r="AK638" s="289"/>
      <c r="AL638" s="289"/>
      <c r="AM638" s="289"/>
      <c r="AN638" s="289"/>
      <c r="AO638" s="289"/>
      <c r="AP638" s="289"/>
      <c r="AQ638" s="289"/>
      <c r="AR638" s="289"/>
      <c r="AS638" s="289"/>
      <c r="AT638" s="289"/>
      <c r="AU638" s="289"/>
      <c r="AV638" s="289"/>
      <c r="AW638" s="289"/>
      <c r="AX638" s="289"/>
      <c r="AY638" s="289"/>
    </row>
    <row r="639" spans="1:51" ht="13.5" customHeight="1">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c r="AA639" s="289"/>
      <c r="AB639" s="289"/>
      <c r="AC639" s="289"/>
      <c r="AD639" s="289"/>
      <c r="AE639" s="289"/>
      <c r="AF639" s="289"/>
      <c r="AG639" s="289"/>
      <c r="AH639" s="289"/>
      <c r="AI639" s="289"/>
      <c r="AJ639" s="289"/>
      <c r="AK639" s="289"/>
      <c r="AL639" s="289"/>
      <c r="AM639" s="289"/>
      <c r="AN639" s="289"/>
      <c r="AO639" s="289"/>
      <c r="AP639" s="289"/>
      <c r="AQ639" s="289"/>
      <c r="AR639" s="289"/>
      <c r="AS639" s="289"/>
      <c r="AT639" s="289"/>
      <c r="AU639" s="289"/>
      <c r="AV639" s="289"/>
      <c r="AW639" s="289"/>
      <c r="AX639" s="289"/>
      <c r="AY639" s="289"/>
    </row>
    <row r="640" spans="1:51" ht="13.5" customHeight="1">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c r="AA640" s="289"/>
      <c r="AB640" s="289"/>
      <c r="AC640" s="289"/>
      <c r="AD640" s="289"/>
      <c r="AE640" s="289"/>
      <c r="AF640" s="289"/>
      <c r="AG640" s="289"/>
      <c r="AH640" s="289"/>
      <c r="AI640" s="289"/>
      <c r="AJ640" s="289"/>
      <c r="AK640" s="289"/>
      <c r="AL640" s="289"/>
      <c r="AM640" s="289"/>
      <c r="AN640" s="289"/>
      <c r="AO640" s="289"/>
      <c r="AP640" s="289"/>
      <c r="AQ640" s="289"/>
      <c r="AR640" s="289"/>
      <c r="AS640" s="289"/>
      <c r="AT640" s="289"/>
      <c r="AU640" s="289"/>
      <c r="AV640" s="289"/>
      <c r="AW640" s="289"/>
      <c r="AX640" s="289"/>
      <c r="AY640" s="289"/>
    </row>
    <row r="641" spans="1:51" ht="13.5" customHeight="1">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c r="AA641" s="289"/>
      <c r="AB641" s="289"/>
      <c r="AC641" s="289"/>
      <c r="AD641" s="289"/>
      <c r="AE641" s="289"/>
      <c r="AF641" s="289"/>
      <c r="AG641" s="289"/>
      <c r="AH641" s="289"/>
      <c r="AI641" s="289"/>
      <c r="AJ641" s="289"/>
      <c r="AK641" s="289"/>
      <c r="AL641" s="289"/>
      <c r="AM641" s="289"/>
      <c r="AN641" s="289"/>
      <c r="AO641" s="289"/>
      <c r="AP641" s="289"/>
      <c r="AQ641" s="289"/>
      <c r="AR641" s="289"/>
      <c r="AS641" s="289"/>
      <c r="AT641" s="289"/>
      <c r="AU641" s="289"/>
      <c r="AV641" s="289"/>
      <c r="AW641" s="289"/>
      <c r="AX641" s="289"/>
      <c r="AY641" s="289"/>
    </row>
    <row r="642" spans="1:51" ht="13.5" customHeight="1">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c r="AA642" s="289"/>
      <c r="AB642" s="289"/>
      <c r="AC642" s="289"/>
      <c r="AD642" s="289"/>
      <c r="AE642" s="289"/>
      <c r="AF642" s="289"/>
      <c r="AG642" s="289"/>
      <c r="AH642" s="289"/>
      <c r="AI642" s="289"/>
      <c r="AJ642" s="289"/>
      <c r="AK642" s="289"/>
      <c r="AL642" s="289"/>
      <c r="AM642" s="289"/>
      <c r="AN642" s="289"/>
      <c r="AO642" s="289"/>
      <c r="AP642" s="289"/>
      <c r="AQ642" s="289"/>
      <c r="AR642" s="289"/>
      <c r="AS642" s="289"/>
      <c r="AT642" s="289"/>
      <c r="AU642" s="289"/>
      <c r="AV642" s="289"/>
      <c r="AW642" s="289"/>
      <c r="AX642" s="289"/>
      <c r="AY642" s="289"/>
    </row>
    <row r="643" spans="1:51" ht="13.5" customHeight="1">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c r="AA643" s="289"/>
      <c r="AB643" s="289"/>
      <c r="AC643" s="289"/>
      <c r="AD643" s="289"/>
      <c r="AE643" s="289"/>
      <c r="AF643" s="289"/>
      <c r="AG643" s="289"/>
      <c r="AH643" s="289"/>
      <c r="AI643" s="289"/>
      <c r="AJ643" s="289"/>
      <c r="AK643" s="289"/>
      <c r="AL643" s="289"/>
      <c r="AM643" s="289"/>
      <c r="AN643" s="289"/>
      <c r="AO643" s="289"/>
      <c r="AP643" s="289"/>
      <c r="AQ643" s="289"/>
      <c r="AR643" s="289"/>
      <c r="AS643" s="289"/>
      <c r="AT643" s="289"/>
      <c r="AU643" s="289"/>
      <c r="AV643" s="289"/>
      <c r="AW643" s="289"/>
      <c r="AX643" s="289"/>
      <c r="AY643" s="289"/>
    </row>
    <row r="644" spans="1:51" ht="13.5" customHeight="1">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c r="AA644" s="289"/>
      <c r="AB644" s="289"/>
      <c r="AC644" s="289"/>
      <c r="AD644" s="289"/>
      <c r="AE644" s="289"/>
      <c r="AF644" s="289"/>
      <c r="AG644" s="289"/>
      <c r="AH644" s="289"/>
      <c r="AI644" s="289"/>
      <c r="AJ644" s="289"/>
      <c r="AK644" s="289"/>
      <c r="AL644" s="289"/>
      <c r="AM644" s="289"/>
      <c r="AN644" s="289"/>
      <c r="AO644" s="289"/>
      <c r="AP644" s="289"/>
      <c r="AQ644" s="289"/>
      <c r="AR644" s="289"/>
      <c r="AS644" s="289"/>
      <c r="AT644" s="289"/>
      <c r="AU644" s="289"/>
      <c r="AV644" s="289"/>
      <c r="AW644" s="289"/>
      <c r="AX644" s="289"/>
      <c r="AY644" s="289"/>
    </row>
    <row r="645" spans="1:51" ht="13.5" customHeight="1">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c r="AA645" s="289"/>
      <c r="AB645" s="289"/>
      <c r="AC645" s="289"/>
      <c r="AD645" s="289"/>
      <c r="AE645" s="289"/>
      <c r="AF645" s="289"/>
      <c r="AG645" s="289"/>
      <c r="AH645" s="289"/>
      <c r="AI645" s="289"/>
      <c r="AJ645" s="289"/>
      <c r="AK645" s="289"/>
      <c r="AL645" s="289"/>
      <c r="AM645" s="289"/>
      <c r="AN645" s="289"/>
      <c r="AO645" s="289"/>
      <c r="AP645" s="289"/>
      <c r="AQ645" s="289"/>
      <c r="AR645" s="289"/>
      <c r="AS645" s="289"/>
      <c r="AT645" s="289"/>
      <c r="AU645" s="289"/>
      <c r="AV645" s="289"/>
      <c r="AW645" s="289"/>
      <c r="AX645" s="289"/>
      <c r="AY645" s="289"/>
    </row>
    <row r="646" spans="1:51" ht="13.5" customHeight="1">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c r="AA646" s="289"/>
      <c r="AB646" s="289"/>
      <c r="AC646" s="289"/>
      <c r="AD646" s="289"/>
      <c r="AE646" s="289"/>
      <c r="AF646" s="289"/>
      <c r="AG646" s="289"/>
      <c r="AH646" s="289"/>
      <c r="AI646" s="289"/>
      <c r="AJ646" s="289"/>
      <c r="AK646" s="289"/>
      <c r="AL646" s="289"/>
      <c r="AM646" s="289"/>
      <c r="AN646" s="289"/>
      <c r="AO646" s="289"/>
      <c r="AP646" s="289"/>
      <c r="AQ646" s="289"/>
      <c r="AR646" s="289"/>
      <c r="AS646" s="289"/>
      <c r="AT646" s="289"/>
      <c r="AU646" s="289"/>
      <c r="AV646" s="289"/>
      <c r="AW646" s="289"/>
      <c r="AX646" s="289"/>
      <c r="AY646" s="289"/>
    </row>
    <row r="647" spans="1:51" ht="13.5" customHeight="1">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c r="AA647" s="289"/>
      <c r="AB647" s="289"/>
      <c r="AC647" s="289"/>
      <c r="AD647" s="289"/>
      <c r="AE647" s="289"/>
      <c r="AF647" s="289"/>
      <c r="AG647" s="289"/>
      <c r="AH647" s="289"/>
      <c r="AI647" s="289"/>
      <c r="AJ647" s="289"/>
      <c r="AK647" s="289"/>
      <c r="AL647" s="289"/>
      <c r="AM647" s="289"/>
      <c r="AN647" s="289"/>
      <c r="AO647" s="289"/>
      <c r="AP647" s="289"/>
      <c r="AQ647" s="289"/>
      <c r="AR647" s="289"/>
      <c r="AS647" s="289"/>
      <c r="AT647" s="289"/>
      <c r="AU647" s="289"/>
      <c r="AV647" s="289"/>
      <c r="AW647" s="289"/>
      <c r="AX647" s="289"/>
      <c r="AY647" s="289"/>
    </row>
    <row r="648" spans="1:51" ht="13.5" customHeight="1">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c r="AA648" s="289"/>
      <c r="AB648" s="289"/>
      <c r="AC648" s="289"/>
      <c r="AD648" s="289"/>
      <c r="AE648" s="289"/>
      <c r="AF648" s="289"/>
      <c r="AG648" s="289"/>
      <c r="AH648" s="289"/>
      <c r="AI648" s="289"/>
      <c r="AJ648" s="289"/>
      <c r="AK648" s="289"/>
      <c r="AL648" s="289"/>
      <c r="AM648" s="289"/>
      <c r="AN648" s="289"/>
      <c r="AO648" s="289"/>
      <c r="AP648" s="289"/>
      <c r="AQ648" s="289"/>
      <c r="AR648" s="289"/>
      <c r="AS648" s="289"/>
      <c r="AT648" s="289"/>
      <c r="AU648" s="289"/>
      <c r="AV648" s="289"/>
      <c r="AW648" s="289"/>
      <c r="AX648" s="289"/>
      <c r="AY648" s="289"/>
    </row>
    <row r="649" spans="1:51" ht="13.5" customHeight="1">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c r="AA649" s="289"/>
      <c r="AB649" s="289"/>
      <c r="AC649" s="289"/>
      <c r="AD649" s="289"/>
      <c r="AE649" s="289"/>
      <c r="AF649" s="289"/>
      <c r="AG649" s="289"/>
      <c r="AH649" s="289"/>
      <c r="AI649" s="289"/>
      <c r="AJ649" s="289"/>
      <c r="AK649" s="289"/>
      <c r="AL649" s="289"/>
      <c r="AM649" s="289"/>
      <c r="AN649" s="289"/>
      <c r="AO649" s="289"/>
      <c r="AP649" s="289"/>
      <c r="AQ649" s="289"/>
      <c r="AR649" s="289"/>
      <c r="AS649" s="289"/>
      <c r="AT649" s="289"/>
      <c r="AU649" s="289"/>
      <c r="AV649" s="289"/>
      <c r="AW649" s="289"/>
      <c r="AX649" s="289"/>
      <c r="AY649" s="289"/>
    </row>
    <row r="650" spans="1:51" ht="13.5" customHeight="1">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c r="AA650" s="289"/>
      <c r="AB650" s="289"/>
      <c r="AC650" s="289"/>
      <c r="AD650" s="289"/>
      <c r="AE650" s="289"/>
      <c r="AF650" s="289"/>
      <c r="AG650" s="289"/>
      <c r="AH650" s="289"/>
      <c r="AI650" s="289"/>
      <c r="AJ650" s="289"/>
      <c r="AK650" s="289"/>
      <c r="AL650" s="289"/>
      <c r="AM650" s="289"/>
      <c r="AN650" s="289"/>
      <c r="AO650" s="289"/>
      <c r="AP650" s="289"/>
      <c r="AQ650" s="289"/>
      <c r="AR650" s="289"/>
      <c r="AS650" s="289"/>
      <c r="AT650" s="289"/>
      <c r="AU650" s="289"/>
      <c r="AV650" s="289"/>
      <c r="AW650" s="289"/>
      <c r="AX650" s="289"/>
      <c r="AY650" s="289"/>
    </row>
    <row r="651" spans="1:51" ht="13.5" customHeight="1">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c r="AA651" s="289"/>
      <c r="AB651" s="289"/>
      <c r="AC651" s="289"/>
      <c r="AD651" s="289"/>
      <c r="AE651" s="289"/>
      <c r="AF651" s="289"/>
      <c r="AG651" s="289"/>
      <c r="AH651" s="289"/>
      <c r="AI651" s="289"/>
      <c r="AJ651" s="289"/>
      <c r="AK651" s="289"/>
      <c r="AL651" s="289"/>
      <c r="AM651" s="289"/>
      <c r="AN651" s="289"/>
      <c r="AO651" s="289"/>
      <c r="AP651" s="289"/>
      <c r="AQ651" s="289"/>
      <c r="AR651" s="289"/>
      <c r="AS651" s="289"/>
      <c r="AT651" s="289"/>
      <c r="AU651" s="289"/>
      <c r="AV651" s="289"/>
      <c r="AW651" s="289"/>
      <c r="AX651" s="289"/>
      <c r="AY651" s="289"/>
    </row>
    <row r="652" spans="1:51" ht="13.5" customHeight="1">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c r="AA652" s="289"/>
      <c r="AB652" s="289"/>
      <c r="AC652" s="289"/>
      <c r="AD652" s="289"/>
      <c r="AE652" s="289"/>
      <c r="AF652" s="289"/>
      <c r="AG652" s="289"/>
      <c r="AH652" s="289"/>
      <c r="AI652" s="289"/>
      <c r="AJ652" s="289"/>
      <c r="AK652" s="289"/>
      <c r="AL652" s="289"/>
      <c r="AM652" s="289"/>
      <c r="AN652" s="289"/>
      <c r="AO652" s="289"/>
      <c r="AP652" s="289"/>
      <c r="AQ652" s="289"/>
      <c r="AR652" s="289"/>
      <c r="AS652" s="289"/>
      <c r="AT652" s="289"/>
      <c r="AU652" s="289"/>
      <c r="AV652" s="289"/>
      <c r="AW652" s="289"/>
      <c r="AX652" s="289"/>
      <c r="AY652" s="289"/>
    </row>
    <row r="653" spans="1:51" ht="13.5" customHeight="1">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c r="AA653" s="289"/>
      <c r="AB653" s="289"/>
      <c r="AC653" s="289"/>
      <c r="AD653" s="289"/>
      <c r="AE653" s="289"/>
      <c r="AF653" s="289"/>
      <c r="AG653" s="289"/>
      <c r="AH653" s="289"/>
      <c r="AI653" s="289"/>
      <c r="AJ653" s="289"/>
      <c r="AK653" s="289"/>
      <c r="AL653" s="289"/>
      <c r="AM653" s="289"/>
      <c r="AN653" s="289"/>
      <c r="AO653" s="289"/>
      <c r="AP653" s="289"/>
      <c r="AQ653" s="289"/>
      <c r="AR653" s="289"/>
      <c r="AS653" s="289"/>
      <c r="AT653" s="289"/>
      <c r="AU653" s="289"/>
      <c r="AV653" s="289"/>
      <c r="AW653" s="289"/>
      <c r="AX653" s="289"/>
      <c r="AY653" s="289"/>
    </row>
    <row r="654" spans="1:51" ht="13.5" customHeight="1">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c r="AA654" s="289"/>
      <c r="AB654" s="289"/>
      <c r="AC654" s="289"/>
      <c r="AD654" s="289"/>
      <c r="AE654" s="289"/>
      <c r="AF654" s="289"/>
      <c r="AG654" s="289"/>
      <c r="AH654" s="289"/>
      <c r="AI654" s="289"/>
      <c r="AJ654" s="289"/>
      <c r="AK654" s="289"/>
      <c r="AL654" s="289"/>
      <c r="AM654" s="289"/>
      <c r="AN654" s="289"/>
      <c r="AO654" s="289"/>
      <c r="AP654" s="289"/>
      <c r="AQ654" s="289"/>
      <c r="AR654" s="289"/>
      <c r="AS654" s="289"/>
      <c r="AT654" s="289"/>
      <c r="AU654" s="289"/>
      <c r="AV654" s="289"/>
      <c r="AW654" s="289"/>
      <c r="AX654" s="289"/>
      <c r="AY654" s="289"/>
    </row>
    <row r="655" spans="1:51" ht="13.5" customHeight="1">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c r="AA655" s="289"/>
      <c r="AB655" s="289"/>
      <c r="AC655" s="289"/>
      <c r="AD655" s="289"/>
      <c r="AE655" s="289"/>
      <c r="AF655" s="289"/>
      <c r="AG655" s="289"/>
      <c r="AH655" s="289"/>
      <c r="AI655" s="289"/>
      <c r="AJ655" s="289"/>
      <c r="AK655" s="289"/>
      <c r="AL655" s="289"/>
      <c r="AM655" s="289"/>
      <c r="AN655" s="289"/>
      <c r="AO655" s="289"/>
      <c r="AP655" s="289"/>
      <c r="AQ655" s="289"/>
      <c r="AR655" s="289"/>
      <c r="AS655" s="289"/>
      <c r="AT655" s="289"/>
      <c r="AU655" s="289"/>
      <c r="AV655" s="289"/>
      <c r="AW655" s="289"/>
      <c r="AX655" s="289"/>
      <c r="AY655" s="289"/>
    </row>
    <row r="656" spans="1:51" ht="13.5" customHeight="1">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c r="AA656" s="289"/>
      <c r="AB656" s="289"/>
      <c r="AC656" s="289"/>
      <c r="AD656" s="289"/>
      <c r="AE656" s="289"/>
      <c r="AF656" s="289"/>
      <c r="AG656" s="289"/>
      <c r="AH656" s="289"/>
      <c r="AI656" s="289"/>
      <c r="AJ656" s="289"/>
      <c r="AK656" s="289"/>
      <c r="AL656" s="289"/>
      <c r="AM656" s="289"/>
      <c r="AN656" s="289"/>
      <c r="AO656" s="289"/>
      <c r="AP656" s="289"/>
      <c r="AQ656" s="289"/>
      <c r="AR656" s="289"/>
      <c r="AS656" s="289"/>
      <c r="AT656" s="289"/>
      <c r="AU656" s="289"/>
      <c r="AV656" s="289"/>
      <c r="AW656" s="289"/>
      <c r="AX656" s="289"/>
      <c r="AY656" s="289"/>
    </row>
    <row r="657" spans="1:51" ht="13.5" customHeight="1">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c r="AA657" s="289"/>
      <c r="AB657" s="289"/>
      <c r="AC657" s="289"/>
      <c r="AD657" s="289"/>
      <c r="AE657" s="289"/>
      <c r="AF657" s="289"/>
      <c r="AG657" s="289"/>
      <c r="AH657" s="289"/>
      <c r="AI657" s="289"/>
      <c r="AJ657" s="289"/>
      <c r="AK657" s="289"/>
      <c r="AL657" s="289"/>
      <c r="AM657" s="289"/>
      <c r="AN657" s="289"/>
      <c r="AO657" s="289"/>
      <c r="AP657" s="289"/>
      <c r="AQ657" s="289"/>
      <c r="AR657" s="289"/>
      <c r="AS657" s="289"/>
      <c r="AT657" s="289"/>
      <c r="AU657" s="289"/>
      <c r="AV657" s="289"/>
      <c r="AW657" s="289"/>
      <c r="AX657" s="289"/>
      <c r="AY657" s="289"/>
    </row>
    <row r="658" spans="1:51" ht="13.5" customHeight="1">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c r="AA658" s="289"/>
      <c r="AB658" s="289"/>
      <c r="AC658" s="289"/>
      <c r="AD658" s="289"/>
      <c r="AE658" s="289"/>
      <c r="AF658" s="289"/>
      <c r="AG658" s="289"/>
      <c r="AH658" s="289"/>
      <c r="AI658" s="289"/>
      <c r="AJ658" s="289"/>
      <c r="AK658" s="289"/>
      <c r="AL658" s="289"/>
      <c r="AM658" s="289"/>
      <c r="AN658" s="289"/>
      <c r="AO658" s="289"/>
      <c r="AP658" s="289"/>
      <c r="AQ658" s="289"/>
      <c r="AR658" s="289"/>
      <c r="AS658" s="289"/>
      <c r="AT658" s="289"/>
      <c r="AU658" s="289"/>
      <c r="AV658" s="289"/>
      <c r="AW658" s="289"/>
      <c r="AX658" s="289"/>
      <c r="AY658" s="289"/>
    </row>
    <row r="659" spans="1:51" ht="13.5" customHeight="1">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c r="AA659" s="289"/>
      <c r="AB659" s="289"/>
      <c r="AC659" s="289"/>
      <c r="AD659" s="289"/>
      <c r="AE659" s="289"/>
      <c r="AF659" s="289"/>
      <c r="AG659" s="289"/>
      <c r="AH659" s="289"/>
      <c r="AI659" s="289"/>
      <c r="AJ659" s="289"/>
      <c r="AK659" s="289"/>
      <c r="AL659" s="289"/>
      <c r="AM659" s="289"/>
      <c r="AN659" s="289"/>
      <c r="AO659" s="289"/>
      <c r="AP659" s="289"/>
      <c r="AQ659" s="289"/>
      <c r="AR659" s="289"/>
      <c r="AS659" s="289"/>
      <c r="AT659" s="289"/>
      <c r="AU659" s="289"/>
      <c r="AV659" s="289"/>
      <c r="AW659" s="289"/>
      <c r="AX659" s="289"/>
      <c r="AY659" s="289"/>
    </row>
    <row r="660" spans="1:51" ht="13.5" customHeight="1">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c r="AA660" s="289"/>
      <c r="AB660" s="289"/>
      <c r="AC660" s="289"/>
      <c r="AD660" s="289"/>
      <c r="AE660" s="289"/>
      <c r="AF660" s="289"/>
      <c r="AG660" s="289"/>
      <c r="AH660" s="289"/>
      <c r="AI660" s="289"/>
      <c r="AJ660" s="289"/>
      <c r="AK660" s="289"/>
      <c r="AL660" s="289"/>
      <c r="AM660" s="289"/>
      <c r="AN660" s="289"/>
      <c r="AO660" s="289"/>
      <c r="AP660" s="289"/>
      <c r="AQ660" s="289"/>
      <c r="AR660" s="289"/>
      <c r="AS660" s="289"/>
      <c r="AT660" s="289"/>
      <c r="AU660" s="289"/>
      <c r="AV660" s="289"/>
      <c r="AW660" s="289"/>
      <c r="AX660" s="289"/>
      <c r="AY660" s="289"/>
    </row>
    <row r="661" spans="1:51" ht="13.5" customHeight="1">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c r="AA661" s="289"/>
      <c r="AB661" s="289"/>
      <c r="AC661" s="289"/>
      <c r="AD661" s="289"/>
      <c r="AE661" s="289"/>
      <c r="AF661" s="289"/>
      <c r="AG661" s="289"/>
      <c r="AH661" s="289"/>
      <c r="AI661" s="289"/>
      <c r="AJ661" s="289"/>
      <c r="AK661" s="289"/>
      <c r="AL661" s="289"/>
      <c r="AM661" s="289"/>
      <c r="AN661" s="289"/>
      <c r="AO661" s="289"/>
      <c r="AP661" s="289"/>
      <c r="AQ661" s="289"/>
      <c r="AR661" s="289"/>
      <c r="AS661" s="289"/>
      <c r="AT661" s="289"/>
      <c r="AU661" s="289"/>
      <c r="AV661" s="289"/>
      <c r="AW661" s="289"/>
      <c r="AX661" s="289"/>
      <c r="AY661" s="289"/>
    </row>
    <row r="662" spans="1:51" ht="13.5" customHeight="1">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c r="AA662" s="289"/>
      <c r="AB662" s="289"/>
      <c r="AC662" s="289"/>
      <c r="AD662" s="289"/>
      <c r="AE662" s="289"/>
      <c r="AF662" s="289"/>
      <c r="AG662" s="289"/>
      <c r="AH662" s="289"/>
      <c r="AI662" s="289"/>
      <c r="AJ662" s="289"/>
      <c r="AK662" s="289"/>
      <c r="AL662" s="289"/>
      <c r="AM662" s="289"/>
      <c r="AN662" s="289"/>
      <c r="AO662" s="289"/>
      <c r="AP662" s="289"/>
      <c r="AQ662" s="289"/>
      <c r="AR662" s="289"/>
      <c r="AS662" s="289"/>
      <c r="AT662" s="289"/>
      <c r="AU662" s="289"/>
      <c r="AV662" s="289"/>
      <c r="AW662" s="289"/>
      <c r="AX662" s="289"/>
      <c r="AY662" s="289"/>
    </row>
    <row r="663" spans="1:51" ht="13.5" customHeight="1">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c r="AA663" s="289"/>
      <c r="AB663" s="289"/>
      <c r="AC663" s="289"/>
      <c r="AD663" s="289"/>
      <c r="AE663" s="289"/>
      <c r="AF663" s="289"/>
      <c r="AG663" s="289"/>
      <c r="AH663" s="289"/>
      <c r="AI663" s="289"/>
      <c r="AJ663" s="289"/>
      <c r="AK663" s="289"/>
      <c r="AL663" s="289"/>
      <c r="AM663" s="289"/>
      <c r="AN663" s="289"/>
      <c r="AO663" s="289"/>
      <c r="AP663" s="289"/>
      <c r="AQ663" s="289"/>
      <c r="AR663" s="289"/>
      <c r="AS663" s="289"/>
      <c r="AT663" s="289"/>
      <c r="AU663" s="289"/>
      <c r="AV663" s="289"/>
      <c r="AW663" s="289"/>
      <c r="AX663" s="289"/>
      <c r="AY663" s="289"/>
    </row>
    <row r="664" spans="1:51" ht="13.5" customHeight="1">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c r="AA664" s="289"/>
      <c r="AB664" s="289"/>
      <c r="AC664" s="289"/>
      <c r="AD664" s="289"/>
      <c r="AE664" s="289"/>
      <c r="AF664" s="289"/>
      <c r="AG664" s="289"/>
      <c r="AH664" s="289"/>
      <c r="AI664" s="289"/>
      <c r="AJ664" s="289"/>
      <c r="AK664" s="289"/>
      <c r="AL664" s="289"/>
      <c r="AM664" s="289"/>
      <c r="AN664" s="289"/>
      <c r="AO664" s="289"/>
      <c r="AP664" s="289"/>
      <c r="AQ664" s="289"/>
      <c r="AR664" s="289"/>
      <c r="AS664" s="289"/>
      <c r="AT664" s="289"/>
      <c r="AU664" s="289"/>
      <c r="AV664" s="289"/>
      <c r="AW664" s="289"/>
      <c r="AX664" s="289"/>
      <c r="AY664" s="289"/>
    </row>
    <row r="665" spans="1:51" ht="13.5" customHeight="1">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c r="AA665" s="289"/>
      <c r="AB665" s="289"/>
      <c r="AC665" s="289"/>
      <c r="AD665" s="289"/>
      <c r="AE665" s="289"/>
      <c r="AF665" s="289"/>
      <c r="AG665" s="289"/>
      <c r="AH665" s="289"/>
      <c r="AI665" s="289"/>
      <c r="AJ665" s="289"/>
      <c r="AK665" s="289"/>
      <c r="AL665" s="289"/>
      <c r="AM665" s="289"/>
      <c r="AN665" s="289"/>
      <c r="AO665" s="289"/>
      <c r="AP665" s="289"/>
      <c r="AQ665" s="289"/>
      <c r="AR665" s="289"/>
      <c r="AS665" s="289"/>
      <c r="AT665" s="289"/>
      <c r="AU665" s="289"/>
      <c r="AV665" s="289"/>
      <c r="AW665" s="289"/>
      <c r="AX665" s="289"/>
      <c r="AY665" s="289"/>
    </row>
    <row r="666" spans="1:51" ht="13.5" customHeight="1">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c r="AA666" s="289"/>
      <c r="AB666" s="289"/>
      <c r="AC666" s="289"/>
      <c r="AD666" s="289"/>
      <c r="AE666" s="289"/>
      <c r="AF666" s="289"/>
      <c r="AG666" s="289"/>
      <c r="AH666" s="289"/>
      <c r="AI666" s="289"/>
      <c r="AJ666" s="289"/>
      <c r="AK666" s="289"/>
      <c r="AL666" s="289"/>
      <c r="AM666" s="289"/>
      <c r="AN666" s="289"/>
      <c r="AO666" s="289"/>
      <c r="AP666" s="289"/>
      <c r="AQ666" s="289"/>
      <c r="AR666" s="289"/>
      <c r="AS666" s="289"/>
      <c r="AT666" s="289"/>
      <c r="AU666" s="289"/>
      <c r="AV666" s="289"/>
      <c r="AW666" s="289"/>
      <c r="AX666" s="289"/>
      <c r="AY666" s="289"/>
    </row>
    <row r="667" spans="1:51" ht="13.5" customHeight="1">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c r="AA667" s="289"/>
      <c r="AB667" s="289"/>
      <c r="AC667" s="289"/>
      <c r="AD667" s="289"/>
      <c r="AE667" s="289"/>
      <c r="AF667" s="289"/>
      <c r="AG667" s="289"/>
      <c r="AH667" s="289"/>
      <c r="AI667" s="289"/>
      <c r="AJ667" s="289"/>
      <c r="AK667" s="289"/>
      <c r="AL667" s="289"/>
      <c r="AM667" s="289"/>
      <c r="AN667" s="289"/>
      <c r="AO667" s="289"/>
      <c r="AP667" s="289"/>
      <c r="AQ667" s="289"/>
      <c r="AR667" s="289"/>
      <c r="AS667" s="289"/>
      <c r="AT667" s="289"/>
      <c r="AU667" s="289"/>
      <c r="AV667" s="289"/>
      <c r="AW667" s="289"/>
      <c r="AX667" s="289"/>
      <c r="AY667" s="289"/>
    </row>
    <row r="668" spans="1:51" ht="13.5" customHeight="1">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c r="AA668" s="289"/>
      <c r="AB668" s="289"/>
      <c r="AC668" s="289"/>
      <c r="AD668" s="289"/>
      <c r="AE668" s="289"/>
      <c r="AF668" s="289"/>
      <c r="AG668" s="289"/>
      <c r="AH668" s="289"/>
      <c r="AI668" s="289"/>
      <c r="AJ668" s="289"/>
      <c r="AK668" s="289"/>
      <c r="AL668" s="289"/>
      <c r="AM668" s="289"/>
      <c r="AN668" s="289"/>
      <c r="AO668" s="289"/>
      <c r="AP668" s="289"/>
      <c r="AQ668" s="289"/>
      <c r="AR668" s="289"/>
      <c r="AS668" s="289"/>
      <c r="AT668" s="289"/>
      <c r="AU668" s="289"/>
      <c r="AV668" s="289"/>
      <c r="AW668" s="289"/>
      <c r="AX668" s="289"/>
      <c r="AY668" s="289"/>
    </row>
    <row r="669" spans="1:51" ht="13.5" customHeight="1">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c r="AA669" s="289"/>
      <c r="AB669" s="289"/>
      <c r="AC669" s="289"/>
      <c r="AD669" s="289"/>
      <c r="AE669" s="289"/>
      <c r="AF669" s="289"/>
      <c r="AG669" s="289"/>
      <c r="AH669" s="289"/>
      <c r="AI669" s="289"/>
      <c r="AJ669" s="289"/>
      <c r="AK669" s="289"/>
      <c r="AL669" s="289"/>
      <c r="AM669" s="289"/>
      <c r="AN669" s="289"/>
      <c r="AO669" s="289"/>
      <c r="AP669" s="289"/>
      <c r="AQ669" s="289"/>
      <c r="AR669" s="289"/>
      <c r="AS669" s="289"/>
      <c r="AT669" s="289"/>
      <c r="AU669" s="289"/>
      <c r="AV669" s="289"/>
      <c r="AW669" s="289"/>
      <c r="AX669" s="289"/>
      <c r="AY669" s="289"/>
    </row>
    <row r="670" spans="1:51" ht="13.5" customHeight="1">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c r="AA670" s="289"/>
      <c r="AB670" s="289"/>
      <c r="AC670" s="289"/>
      <c r="AD670" s="289"/>
      <c r="AE670" s="289"/>
      <c r="AF670" s="289"/>
      <c r="AG670" s="289"/>
      <c r="AH670" s="289"/>
      <c r="AI670" s="289"/>
      <c r="AJ670" s="289"/>
      <c r="AK670" s="289"/>
      <c r="AL670" s="289"/>
      <c r="AM670" s="289"/>
      <c r="AN670" s="289"/>
      <c r="AO670" s="289"/>
      <c r="AP670" s="289"/>
      <c r="AQ670" s="289"/>
      <c r="AR670" s="289"/>
      <c r="AS670" s="289"/>
      <c r="AT670" s="289"/>
      <c r="AU670" s="289"/>
      <c r="AV670" s="289"/>
      <c r="AW670" s="289"/>
      <c r="AX670" s="289"/>
      <c r="AY670" s="289"/>
    </row>
    <row r="671" spans="1:51" ht="13.5" customHeight="1">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c r="AA671" s="289"/>
      <c r="AB671" s="289"/>
      <c r="AC671" s="289"/>
      <c r="AD671" s="289"/>
      <c r="AE671" s="289"/>
      <c r="AF671" s="289"/>
      <c r="AG671" s="289"/>
      <c r="AH671" s="289"/>
      <c r="AI671" s="289"/>
      <c r="AJ671" s="289"/>
      <c r="AK671" s="289"/>
      <c r="AL671" s="289"/>
      <c r="AM671" s="289"/>
      <c r="AN671" s="289"/>
      <c r="AO671" s="289"/>
      <c r="AP671" s="289"/>
      <c r="AQ671" s="289"/>
      <c r="AR671" s="289"/>
      <c r="AS671" s="289"/>
      <c r="AT671" s="289"/>
      <c r="AU671" s="289"/>
      <c r="AV671" s="289"/>
      <c r="AW671" s="289"/>
      <c r="AX671" s="289"/>
      <c r="AY671" s="289"/>
    </row>
    <row r="672" spans="1:51" ht="13.5" customHeight="1">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c r="AA672" s="289"/>
      <c r="AB672" s="289"/>
      <c r="AC672" s="289"/>
      <c r="AD672" s="289"/>
      <c r="AE672" s="289"/>
      <c r="AF672" s="289"/>
      <c r="AG672" s="289"/>
      <c r="AH672" s="289"/>
      <c r="AI672" s="289"/>
      <c r="AJ672" s="289"/>
      <c r="AK672" s="289"/>
      <c r="AL672" s="289"/>
      <c r="AM672" s="289"/>
      <c r="AN672" s="289"/>
      <c r="AO672" s="289"/>
      <c r="AP672" s="289"/>
      <c r="AQ672" s="289"/>
      <c r="AR672" s="289"/>
      <c r="AS672" s="289"/>
      <c r="AT672" s="289"/>
      <c r="AU672" s="289"/>
      <c r="AV672" s="289"/>
      <c r="AW672" s="289"/>
      <c r="AX672" s="289"/>
      <c r="AY672" s="289"/>
    </row>
    <row r="673" spans="1:51" ht="13.5" customHeight="1">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c r="AA673" s="289"/>
      <c r="AB673" s="289"/>
      <c r="AC673" s="289"/>
      <c r="AD673" s="289"/>
      <c r="AE673" s="289"/>
      <c r="AF673" s="289"/>
      <c r="AG673" s="289"/>
      <c r="AH673" s="289"/>
      <c r="AI673" s="289"/>
      <c r="AJ673" s="289"/>
      <c r="AK673" s="289"/>
      <c r="AL673" s="289"/>
      <c r="AM673" s="289"/>
      <c r="AN673" s="289"/>
      <c r="AO673" s="289"/>
      <c r="AP673" s="289"/>
      <c r="AQ673" s="289"/>
      <c r="AR673" s="289"/>
      <c r="AS673" s="289"/>
      <c r="AT673" s="289"/>
      <c r="AU673" s="289"/>
      <c r="AV673" s="289"/>
      <c r="AW673" s="289"/>
      <c r="AX673" s="289"/>
      <c r="AY673" s="289"/>
    </row>
    <row r="674" spans="1:51" ht="13.5" customHeight="1">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c r="AA674" s="289"/>
      <c r="AB674" s="289"/>
      <c r="AC674" s="289"/>
      <c r="AD674" s="289"/>
      <c r="AE674" s="289"/>
      <c r="AF674" s="289"/>
      <c r="AG674" s="289"/>
      <c r="AH674" s="289"/>
      <c r="AI674" s="289"/>
      <c r="AJ674" s="289"/>
      <c r="AK674" s="289"/>
      <c r="AL674" s="289"/>
      <c r="AM674" s="289"/>
      <c r="AN674" s="289"/>
      <c r="AO674" s="289"/>
      <c r="AP674" s="289"/>
      <c r="AQ674" s="289"/>
      <c r="AR674" s="289"/>
      <c r="AS674" s="289"/>
      <c r="AT674" s="289"/>
      <c r="AU674" s="289"/>
      <c r="AV674" s="289"/>
      <c r="AW674" s="289"/>
      <c r="AX674" s="289"/>
      <c r="AY674" s="289"/>
    </row>
    <row r="675" spans="1:51" ht="13.5" customHeight="1">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c r="AA675" s="289"/>
      <c r="AB675" s="289"/>
      <c r="AC675" s="289"/>
      <c r="AD675" s="289"/>
      <c r="AE675" s="289"/>
      <c r="AF675" s="289"/>
      <c r="AG675" s="289"/>
      <c r="AH675" s="289"/>
      <c r="AI675" s="289"/>
      <c r="AJ675" s="289"/>
      <c r="AK675" s="289"/>
      <c r="AL675" s="289"/>
      <c r="AM675" s="289"/>
      <c r="AN675" s="289"/>
      <c r="AO675" s="289"/>
      <c r="AP675" s="289"/>
      <c r="AQ675" s="289"/>
      <c r="AR675" s="289"/>
      <c r="AS675" s="289"/>
      <c r="AT675" s="289"/>
      <c r="AU675" s="289"/>
      <c r="AV675" s="289"/>
      <c r="AW675" s="289"/>
      <c r="AX675" s="289"/>
      <c r="AY675" s="289"/>
    </row>
    <row r="676" spans="1:51" ht="13.5" customHeight="1">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c r="AA676" s="289"/>
      <c r="AB676" s="289"/>
      <c r="AC676" s="289"/>
      <c r="AD676" s="289"/>
      <c r="AE676" s="289"/>
      <c r="AF676" s="289"/>
      <c r="AG676" s="289"/>
      <c r="AH676" s="289"/>
      <c r="AI676" s="289"/>
      <c r="AJ676" s="289"/>
      <c r="AK676" s="289"/>
      <c r="AL676" s="289"/>
      <c r="AM676" s="289"/>
      <c r="AN676" s="289"/>
      <c r="AO676" s="289"/>
      <c r="AP676" s="289"/>
      <c r="AQ676" s="289"/>
      <c r="AR676" s="289"/>
      <c r="AS676" s="289"/>
      <c r="AT676" s="289"/>
      <c r="AU676" s="289"/>
      <c r="AV676" s="289"/>
      <c r="AW676" s="289"/>
      <c r="AX676" s="289"/>
      <c r="AY676" s="289"/>
    </row>
    <row r="677" spans="1:51" ht="13.5" customHeight="1">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c r="AA677" s="289"/>
      <c r="AB677" s="289"/>
      <c r="AC677" s="289"/>
      <c r="AD677" s="289"/>
      <c r="AE677" s="289"/>
      <c r="AF677" s="289"/>
      <c r="AG677" s="289"/>
      <c r="AH677" s="289"/>
      <c r="AI677" s="289"/>
      <c r="AJ677" s="289"/>
      <c r="AK677" s="289"/>
      <c r="AL677" s="289"/>
      <c r="AM677" s="289"/>
      <c r="AN677" s="289"/>
      <c r="AO677" s="289"/>
      <c r="AP677" s="289"/>
      <c r="AQ677" s="289"/>
      <c r="AR677" s="289"/>
      <c r="AS677" s="289"/>
      <c r="AT677" s="289"/>
      <c r="AU677" s="289"/>
      <c r="AV677" s="289"/>
      <c r="AW677" s="289"/>
      <c r="AX677" s="289"/>
      <c r="AY677" s="289"/>
    </row>
    <row r="678" spans="1:51" ht="13.5" customHeight="1">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c r="AA678" s="289"/>
      <c r="AB678" s="289"/>
      <c r="AC678" s="289"/>
      <c r="AD678" s="289"/>
      <c r="AE678" s="289"/>
      <c r="AF678" s="289"/>
      <c r="AG678" s="289"/>
      <c r="AH678" s="289"/>
      <c r="AI678" s="289"/>
      <c r="AJ678" s="289"/>
      <c r="AK678" s="289"/>
      <c r="AL678" s="289"/>
      <c r="AM678" s="289"/>
      <c r="AN678" s="289"/>
      <c r="AO678" s="289"/>
      <c r="AP678" s="289"/>
      <c r="AQ678" s="289"/>
      <c r="AR678" s="289"/>
      <c r="AS678" s="289"/>
      <c r="AT678" s="289"/>
      <c r="AU678" s="289"/>
      <c r="AV678" s="289"/>
      <c r="AW678" s="289"/>
      <c r="AX678" s="289"/>
      <c r="AY678" s="289"/>
    </row>
    <row r="679" spans="1:51" ht="13.5" customHeight="1">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c r="AA679" s="289"/>
      <c r="AB679" s="289"/>
      <c r="AC679" s="289"/>
      <c r="AD679" s="289"/>
      <c r="AE679" s="289"/>
      <c r="AF679" s="289"/>
      <c r="AG679" s="289"/>
      <c r="AH679" s="289"/>
      <c r="AI679" s="289"/>
      <c r="AJ679" s="289"/>
      <c r="AK679" s="289"/>
      <c r="AL679" s="289"/>
      <c r="AM679" s="289"/>
      <c r="AN679" s="289"/>
      <c r="AO679" s="289"/>
      <c r="AP679" s="289"/>
      <c r="AQ679" s="289"/>
      <c r="AR679" s="289"/>
      <c r="AS679" s="289"/>
      <c r="AT679" s="289"/>
      <c r="AU679" s="289"/>
      <c r="AV679" s="289"/>
      <c r="AW679" s="289"/>
      <c r="AX679" s="289"/>
      <c r="AY679" s="289"/>
    </row>
    <row r="680" spans="1:51" ht="13.5" customHeight="1">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c r="AA680" s="289"/>
      <c r="AB680" s="289"/>
      <c r="AC680" s="289"/>
      <c r="AD680" s="289"/>
      <c r="AE680" s="289"/>
      <c r="AF680" s="289"/>
      <c r="AG680" s="289"/>
      <c r="AH680" s="289"/>
      <c r="AI680" s="289"/>
      <c r="AJ680" s="289"/>
      <c r="AK680" s="289"/>
      <c r="AL680" s="289"/>
      <c r="AM680" s="289"/>
      <c r="AN680" s="289"/>
      <c r="AO680" s="289"/>
      <c r="AP680" s="289"/>
      <c r="AQ680" s="289"/>
      <c r="AR680" s="289"/>
      <c r="AS680" s="289"/>
      <c r="AT680" s="289"/>
      <c r="AU680" s="289"/>
      <c r="AV680" s="289"/>
      <c r="AW680" s="289"/>
      <c r="AX680" s="289"/>
      <c r="AY680" s="289"/>
    </row>
    <row r="681" spans="1:51" ht="13.5" customHeight="1">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c r="AA681" s="289"/>
      <c r="AB681" s="289"/>
      <c r="AC681" s="289"/>
      <c r="AD681" s="289"/>
      <c r="AE681" s="289"/>
      <c r="AF681" s="289"/>
      <c r="AG681" s="289"/>
      <c r="AH681" s="289"/>
      <c r="AI681" s="289"/>
      <c r="AJ681" s="289"/>
      <c r="AK681" s="289"/>
      <c r="AL681" s="289"/>
      <c r="AM681" s="289"/>
      <c r="AN681" s="289"/>
      <c r="AO681" s="289"/>
      <c r="AP681" s="289"/>
      <c r="AQ681" s="289"/>
      <c r="AR681" s="289"/>
      <c r="AS681" s="289"/>
      <c r="AT681" s="289"/>
      <c r="AU681" s="289"/>
      <c r="AV681" s="289"/>
      <c r="AW681" s="289"/>
      <c r="AX681" s="289"/>
      <c r="AY681" s="289"/>
    </row>
    <row r="682" spans="1:51" ht="13.5" customHeight="1">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c r="AA682" s="289"/>
      <c r="AB682" s="289"/>
      <c r="AC682" s="289"/>
      <c r="AD682" s="289"/>
      <c r="AE682" s="289"/>
      <c r="AF682" s="289"/>
      <c r="AG682" s="289"/>
      <c r="AH682" s="289"/>
      <c r="AI682" s="289"/>
      <c r="AJ682" s="289"/>
      <c r="AK682" s="289"/>
      <c r="AL682" s="289"/>
      <c r="AM682" s="289"/>
      <c r="AN682" s="289"/>
      <c r="AO682" s="289"/>
      <c r="AP682" s="289"/>
      <c r="AQ682" s="289"/>
      <c r="AR682" s="289"/>
      <c r="AS682" s="289"/>
      <c r="AT682" s="289"/>
      <c r="AU682" s="289"/>
      <c r="AV682" s="289"/>
      <c r="AW682" s="289"/>
      <c r="AX682" s="289"/>
      <c r="AY682" s="289"/>
    </row>
    <row r="683" spans="1:51" ht="13.5" customHeight="1">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c r="AA683" s="289"/>
      <c r="AB683" s="289"/>
      <c r="AC683" s="289"/>
      <c r="AD683" s="289"/>
      <c r="AE683" s="289"/>
      <c r="AF683" s="289"/>
      <c r="AG683" s="289"/>
      <c r="AH683" s="289"/>
      <c r="AI683" s="289"/>
      <c r="AJ683" s="289"/>
      <c r="AK683" s="289"/>
      <c r="AL683" s="289"/>
      <c r="AM683" s="289"/>
      <c r="AN683" s="289"/>
      <c r="AO683" s="289"/>
      <c r="AP683" s="289"/>
      <c r="AQ683" s="289"/>
      <c r="AR683" s="289"/>
      <c r="AS683" s="289"/>
      <c r="AT683" s="289"/>
      <c r="AU683" s="289"/>
      <c r="AV683" s="289"/>
      <c r="AW683" s="289"/>
      <c r="AX683" s="289"/>
      <c r="AY683" s="289"/>
    </row>
    <row r="684" spans="1:51" ht="13.5" customHeight="1">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c r="AA684" s="289"/>
      <c r="AB684" s="289"/>
      <c r="AC684" s="289"/>
      <c r="AD684" s="289"/>
      <c r="AE684" s="289"/>
      <c r="AF684" s="289"/>
      <c r="AG684" s="289"/>
      <c r="AH684" s="289"/>
      <c r="AI684" s="289"/>
      <c r="AJ684" s="289"/>
      <c r="AK684" s="289"/>
      <c r="AL684" s="289"/>
      <c r="AM684" s="289"/>
      <c r="AN684" s="289"/>
      <c r="AO684" s="289"/>
      <c r="AP684" s="289"/>
      <c r="AQ684" s="289"/>
      <c r="AR684" s="289"/>
      <c r="AS684" s="289"/>
      <c r="AT684" s="289"/>
      <c r="AU684" s="289"/>
      <c r="AV684" s="289"/>
      <c r="AW684" s="289"/>
      <c r="AX684" s="289"/>
      <c r="AY684" s="289"/>
    </row>
    <row r="685" spans="1:51" ht="13.5" customHeight="1">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c r="AA685" s="289"/>
      <c r="AB685" s="289"/>
      <c r="AC685" s="289"/>
      <c r="AD685" s="289"/>
      <c r="AE685" s="289"/>
      <c r="AF685" s="289"/>
      <c r="AG685" s="289"/>
      <c r="AH685" s="289"/>
      <c r="AI685" s="289"/>
      <c r="AJ685" s="289"/>
      <c r="AK685" s="289"/>
      <c r="AL685" s="289"/>
      <c r="AM685" s="289"/>
      <c r="AN685" s="289"/>
      <c r="AO685" s="289"/>
      <c r="AP685" s="289"/>
      <c r="AQ685" s="289"/>
      <c r="AR685" s="289"/>
      <c r="AS685" s="289"/>
      <c r="AT685" s="289"/>
      <c r="AU685" s="289"/>
      <c r="AV685" s="289"/>
      <c r="AW685" s="289"/>
      <c r="AX685" s="289"/>
      <c r="AY685" s="289"/>
    </row>
    <row r="686" spans="1:51" ht="13.5" customHeight="1">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c r="AA686" s="289"/>
      <c r="AB686" s="289"/>
      <c r="AC686" s="289"/>
      <c r="AD686" s="289"/>
      <c r="AE686" s="289"/>
      <c r="AF686" s="289"/>
      <c r="AG686" s="289"/>
      <c r="AH686" s="289"/>
      <c r="AI686" s="289"/>
      <c r="AJ686" s="289"/>
      <c r="AK686" s="289"/>
      <c r="AL686" s="289"/>
      <c r="AM686" s="289"/>
      <c r="AN686" s="289"/>
      <c r="AO686" s="289"/>
      <c r="AP686" s="289"/>
      <c r="AQ686" s="289"/>
      <c r="AR686" s="289"/>
      <c r="AS686" s="289"/>
      <c r="AT686" s="289"/>
      <c r="AU686" s="289"/>
      <c r="AV686" s="289"/>
      <c r="AW686" s="289"/>
      <c r="AX686" s="289"/>
      <c r="AY686" s="289"/>
    </row>
    <row r="687" spans="1:51" ht="13.5" customHeight="1">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c r="AA687" s="289"/>
      <c r="AB687" s="289"/>
      <c r="AC687" s="289"/>
      <c r="AD687" s="289"/>
      <c r="AE687" s="289"/>
      <c r="AF687" s="289"/>
      <c r="AG687" s="289"/>
      <c r="AH687" s="289"/>
      <c r="AI687" s="289"/>
      <c r="AJ687" s="289"/>
      <c r="AK687" s="289"/>
      <c r="AL687" s="289"/>
      <c r="AM687" s="289"/>
      <c r="AN687" s="289"/>
      <c r="AO687" s="289"/>
      <c r="AP687" s="289"/>
      <c r="AQ687" s="289"/>
      <c r="AR687" s="289"/>
      <c r="AS687" s="289"/>
      <c r="AT687" s="289"/>
      <c r="AU687" s="289"/>
      <c r="AV687" s="289"/>
      <c r="AW687" s="289"/>
      <c r="AX687" s="289"/>
      <c r="AY687" s="289"/>
    </row>
    <row r="688" spans="1:51" ht="13.5" customHeight="1">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c r="AA688" s="289"/>
      <c r="AB688" s="289"/>
      <c r="AC688" s="289"/>
      <c r="AD688" s="289"/>
      <c r="AE688" s="289"/>
      <c r="AF688" s="289"/>
      <c r="AG688" s="289"/>
      <c r="AH688" s="289"/>
      <c r="AI688" s="289"/>
      <c r="AJ688" s="289"/>
      <c r="AK688" s="289"/>
      <c r="AL688" s="289"/>
      <c r="AM688" s="289"/>
      <c r="AN688" s="289"/>
      <c r="AO688" s="289"/>
      <c r="AP688" s="289"/>
      <c r="AQ688" s="289"/>
      <c r="AR688" s="289"/>
      <c r="AS688" s="289"/>
      <c r="AT688" s="289"/>
      <c r="AU688" s="289"/>
      <c r="AV688" s="289"/>
      <c r="AW688" s="289"/>
      <c r="AX688" s="289"/>
      <c r="AY688" s="289"/>
    </row>
    <row r="689" spans="1:51" ht="13.5" customHeight="1">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c r="AA689" s="289"/>
      <c r="AB689" s="289"/>
      <c r="AC689" s="289"/>
      <c r="AD689" s="289"/>
      <c r="AE689" s="289"/>
      <c r="AF689" s="289"/>
      <c r="AG689" s="289"/>
      <c r="AH689" s="289"/>
      <c r="AI689" s="289"/>
      <c r="AJ689" s="289"/>
      <c r="AK689" s="289"/>
      <c r="AL689" s="289"/>
      <c r="AM689" s="289"/>
      <c r="AN689" s="289"/>
      <c r="AO689" s="289"/>
      <c r="AP689" s="289"/>
      <c r="AQ689" s="289"/>
      <c r="AR689" s="289"/>
      <c r="AS689" s="289"/>
      <c r="AT689" s="289"/>
      <c r="AU689" s="289"/>
      <c r="AV689" s="289"/>
      <c r="AW689" s="289"/>
      <c r="AX689" s="289"/>
      <c r="AY689" s="289"/>
    </row>
    <row r="690" spans="1:51" ht="13.5" customHeight="1">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c r="AA690" s="289"/>
      <c r="AB690" s="289"/>
      <c r="AC690" s="289"/>
      <c r="AD690" s="289"/>
      <c r="AE690" s="289"/>
      <c r="AF690" s="289"/>
      <c r="AG690" s="289"/>
      <c r="AH690" s="289"/>
      <c r="AI690" s="289"/>
      <c r="AJ690" s="289"/>
      <c r="AK690" s="289"/>
      <c r="AL690" s="289"/>
      <c r="AM690" s="289"/>
      <c r="AN690" s="289"/>
      <c r="AO690" s="289"/>
      <c r="AP690" s="289"/>
      <c r="AQ690" s="289"/>
      <c r="AR690" s="289"/>
      <c r="AS690" s="289"/>
      <c r="AT690" s="289"/>
      <c r="AU690" s="289"/>
      <c r="AV690" s="289"/>
      <c r="AW690" s="289"/>
      <c r="AX690" s="289"/>
      <c r="AY690" s="289"/>
    </row>
    <row r="691" spans="1:51" ht="13.5" customHeight="1">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c r="AA691" s="289"/>
      <c r="AB691" s="289"/>
      <c r="AC691" s="289"/>
      <c r="AD691" s="289"/>
      <c r="AE691" s="289"/>
      <c r="AF691" s="289"/>
      <c r="AG691" s="289"/>
      <c r="AH691" s="289"/>
      <c r="AI691" s="289"/>
      <c r="AJ691" s="289"/>
      <c r="AK691" s="289"/>
      <c r="AL691" s="289"/>
      <c r="AM691" s="289"/>
      <c r="AN691" s="289"/>
      <c r="AO691" s="289"/>
      <c r="AP691" s="289"/>
      <c r="AQ691" s="289"/>
      <c r="AR691" s="289"/>
      <c r="AS691" s="289"/>
      <c r="AT691" s="289"/>
      <c r="AU691" s="289"/>
      <c r="AV691" s="289"/>
      <c r="AW691" s="289"/>
      <c r="AX691" s="289"/>
      <c r="AY691" s="289"/>
    </row>
    <row r="692" spans="1:51" ht="13.5" customHeight="1">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c r="AA692" s="289"/>
      <c r="AB692" s="289"/>
      <c r="AC692" s="289"/>
      <c r="AD692" s="289"/>
      <c r="AE692" s="289"/>
      <c r="AF692" s="289"/>
      <c r="AG692" s="289"/>
      <c r="AH692" s="289"/>
      <c r="AI692" s="289"/>
      <c r="AJ692" s="289"/>
      <c r="AK692" s="289"/>
      <c r="AL692" s="289"/>
      <c r="AM692" s="289"/>
      <c r="AN692" s="289"/>
      <c r="AO692" s="289"/>
      <c r="AP692" s="289"/>
      <c r="AQ692" s="289"/>
      <c r="AR692" s="289"/>
      <c r="AS692" s="289"/>
      <c r="AT692" s="289"/>
      <c r="AU692" s="289"/>
      <c r="AV692" s="289"/>
      <c r="AW692" s="289"/>
      <c r="AX692" s="289"/>
      <c r="AY692" s="289"/>
    </row>
    <row r="693" spans="1:51" ht="13.5" customHeight="1">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c r="AA693" s="289"/>
      <c r="AB693" s="289"/>
      <c r="AC693" s="289"/>
      <c r="AD693" s="289"/>
      <c r="AE693" s="289"/>
      <c r="AF693" s="289"/>
      <c r="AG693" s="289"/>
      <c r="AH693" s="289"/>
      <c r="AI693" s="289"/>
      <c r="AJ693" s="289"/>
      <c r="AK693" s="289"/>
      <c r="AL693" s="289"/>
      <c r="AM693" s="289"/>
      <c r="AN693" s="289"/>
      <c r="AO693" s="289"/>
      <c r="AP693" s="289"/>
      <c r="AQ693" s="289"/>
      <c r="AR693" s="289"/>
      <c r="AS693" s="289"/>
      <c r="AT693" s="289"/>
      <c r="AU693" s="289"/>
      <c r="AV693" s="289"/>
      <c r="AW693" s="289"/>
      <c r="AX693" s="289"/>
      <c r="AY693" s="289"/>
    </row>
    <row r="694" spans="1:51" ht="13.5" customHeight="1">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c r="AA694" s="289"/>
      <c r="AB694" s="289"/>
      <c r="AC694" s="289"/>
      <c r="AD694" s="289"/>
      <c r="AE694" s="289"/>
      <c r="AF694" s="289"/>
      <c r="AG694" s="289"/>
      <c r="AH694" s="289"/>
      <c r="AI694" s="289"/>
      <c r="AJ694" s="289"/>
      <c r="AK694" s="289"/>
      <c r="AL694" s="289"/>
      <c r="AM694" s="289"/>
      <c r="AN694" s="289"/>
      <c r="AO694" s="289"/>
      <c r="AP694" s="289"/>
      <c r="AQ694" s="289"/>
      <c r="AR694" s="289"/>
      <c r="AS694" s="289"/>
      <c r="AT694" s="289"/>
      <c r="AU694" s="289"/>
      <c r="AV694" s="289"/>
      <c r="AW694" s="289"/>
      <c r="AX694" s="289"/>
      <c r="AY694" s="289"/>
    </row>
    <row r="695" spans="1:51" ht="13.5" customHeight="1">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c r="AA695" s="289"/>
      <c r="AB695" s="289"/>
      <c r="AC695" s="289"/>
      <c r="AD695" s="289"/>
      <c r="AE695" s="289"/>
      <c r="AF695" s="289"/>
      <c r="AG695" s="289"/>
      <c r="AH695" s="289"/>
      <c r="AI695" s="289"/>
      <c r="AJ695" s="289"/>
      <c r="AK695" s="289"/>
      <c r="AL695" s="289"/>
      <c r="AM695" s="289"/>
      <c r="AN695" s="289"/>
      <c r="AO695" s="289"/>
      <c r="AP695" s="289"/>
      <c r="AQ695" s="289"/>
      <c r="AR695" s="289"/>
      <c r="AS695" s="289"/>
      <c r="AT695" s="289"/>
      <c r="AU695" s="289"/>
      <c r="AV695" s="289"/>
      <c r="AW695" s="289"/>
      <c r="AX695" s="289"/>
      <c r="AY695" s="289"/>
    </row>
    <row r="696" spans="1:51" ht="13.5" customHeight="1">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c r="AA696" s="289"/>
      <c r="AB696" s="289"/>
      <c r="AC696" s="289"/>
      <c r="AD696" s="289"/>
      <c r="AE696" s="289"/>
      <c r="AF696" s="289"/>
      <c r="AG696" s="289"/>
      <c r="AH696" s="289"/>
      <c r="AI696" s="289"/>
      <c r="AJ696" s="289"/>
      <c r="AK696" s="289"/>
      <c r="AL696" s="289"/>
      <c r="AM696" s="289"/>
      <c r="AN696" s="289"/>
      <c r="AO696" s="289"/>
      <c r="AP696" s="289"/>
      <c r="AQ696" s="289"/>
      <c r="AR696" s="289"/>
      <c r="AS696" s="289"/>
      <c r="AT696" s="289"/>
      <c r="AU696" s="289"/>
      <c r="AV696" s="289"/>
      <c r="AW696" s="289"/>
      <c r="AX696" s="289"/>
      <c r="AY696" s="289"/>
    </row>
    <row r="697" spans="1:51" ht="13.5" customHeight="1">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c r="AA697" s="289"/>
      <c r="AB697" s="289"/>
      <c r="AC697" s="289"/>
      <c r="AD697" s="289"/>
      <c r="AE697" s="289"/>
      <c r="AF697" s="289"/>
      <c r="AG697" s="289"/>
      <c r="AH697" s="289"/>
      <c r="AI697" s="289"/>
      <c r="AJ697" s="289"/>
      <c r="AK697" s="289"/>
      <c r="AL697" s="289"/>
      <c r="AM697" s="289"/>
      <c r="AN697" s="289"/>
      <c r="AO697" s="289"/>
      <c r="AP697" s="289"/>
      <c r="AQ697" s="289"/>
      <c r="AR697" s="289"/>
      <c r="AS697" s="289"/>
      <c r="AT697" s="289"/>
      <c r="AU697" s="289"/>
      <c r="AV697" s="289"/>
      <c r="AW697" s="289"/>
      <c r="AX697" s="289"/>
      <c r="AY697" s="289"/>
    </row>
    <row r="698" spans="1:51" ht="13.5" customHeight="1">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c r="AA698" s="289"/>
      <c r="AB698" s="289"/>
      <c r="AC698" s="289"/>
      <c r="AD698" s="289"/>
      <c r="AE698" s="289"/>
      <c r="AF698" s="289"/>
      <c r="AG698" s="289"/>
      <c r="AH698" s="289"/>
      <c r="AI698" s="289"/>
      <c r="AJ698" s="289"/>
      <c r="AK698" s="289"/>
      <c r="AL698" s="289"/>
      <c r="AM698" s="289"/>
      <c r="AN698" s="289"/>
      <c r="AO698" s="289"/>
      <c r="AP698" s="289"/>
      <c r="AQ698" s="289"/>
      <c r="AR698" s="289"/>
      <c r="AS698" s="289"/>
      <c r="AT698" s="289"/>
      <c r="AU698" s="289"/>
      <c r="AV698" s="289"/>
      <c r="AW698" s="289"/>
      <c r="AX698" s="289"/>
      <c r="AY698" s="289"/>
    </row>
    <row r="699" spans="1:51" ht="13.5" customHeight="1">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c r="AA699" s="289"/>
      <c r="AB699" s="289"/>
      <c r="AC699" s="289"/>
      <c r="AD699" s="289"/>
      <c r="AE699" s="289"/>
      <c r="AF699" s="289"/>
      <c r="AG699" s="289"/>
      <c r="AH699" s="289"/>
      <c r="AI699" s="289"/>
      <c r="AJ699" s="289"/>
      <c r="AK699" s="289"/>
      <c r="AL699" s="289"/>
      <c r="AM699" s="289"/>
      <c r="AN699" s="289"/>
      <c r="AO699" s="289"/>
      <c r="AP699" s="289"/>
      <c r="AQ699" s="289"/>
      <c r="AR699" s="289"/>
      <c r="AS699" s="289"/>
      <c r="AT699" s="289"/>
      <c r="AU699" s="289"/>
      <c r="AV699" s="289"/>
      <c r="AW699" s="289"/>
      <c r="AX699" s="289"/>
      <c r="AY699" s="289"/>
    </row>
    <row r="700" spans="1:51" ht="13.5" customHeight="1">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c r="AA700" s="289"/>
      <c r="AB700" s="289"/>
      <c r="AC700" s="289"/>
      <c r="AD700" s="289"/>
      <c r="AE700" s="289"/>
      <c r="AF700" s="289"/>
      <c r="AG700" s="289"/>
      <c r="AH700" s="289"/>
      <c r="AI700" s="289"/>
      <c r="AJ700" s="289"/>
      <c r="AK700" s="289"/>
      <c r="AL700" s="289"/>
      <c r="AM700" s="289"/>
      <c r="AN700" s="289"/>
      <c r="AO700" s="289"/>
      <c r="AP700" s="289"/>
      <c r="AQ700" s="289"/>
      <c r="AR700" s="289"/>
      <c r="AS700" s="289"/>
      <c r="AT700" s="289"/>
      <c r="AU700" s="289"/>
      <c r="AV700" s="289"/>
      <c r="AW700" s="289"/>
      <c r="AX700" s="289"/>
      <c r="AY700" s="289"/>
    </row>
    <row r="701" spans="1:51" ht="13.5" customHeight="1">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c r="AA701" s="289"/>
      <c r="AB701" s="289"/>
      <c r="AC701" s="289"/>
      <c r="AD701" s="289"/>
      <c r="AE701" s="289"/>
      <c r="AF701" s="289"/>
      <c r="AG701" s="289"/>
      <c r="AH701" s="289"/>
      <c r="AI701" s="289"/>
      <c r="AJ701" s="289"/>
      <c r="AK701" s="289"/>
      <c r="AL701" s="289"/>
      <c r="AM701" s="289"/>
      <c r="AN701" s="289"/>
      <c r="AO701" s="289"/>
      <c r="AP701" s="289"/>
      <c r="AQ701" s="289"/>
      <c r="AR701" s="289"/>
      <c r="AS701" s="289"/>
      <c r="AT701" s="289"/>
      <c r="AU701" s="289"/>
      <c r="AV701" s="289"/>
      <c r="AW701" s="289"/>
      <c r="AX701" s="289"/>
      <c r="AY701" s="289"/>
    </row>
    <row r="702" spans="1:51" ht="13.5" customHeight="1">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c r="AA702" s="289"/>
      <c r="AB702" s="289"/>
      <c r="AC702" s="289"/>
      <c r="AD702" s="289"/>
      <c r="AE702" s="289"/>
      <c r="AF702" s="289"/>
      <c r="AG702" s="289"/>
      <c r="AH702" s="289"/>
      <c r="AI702" s="289"/>
      <c r="AJ702" s="289"/>
      <c r="AK702" s="289"/>
      <c r="AL702" s="289"/>
      <c r="AM702" s="289"/>
      <c r="AN702" s="289"/>
      <c r="AO702" s="289"/>
      <c r="AP702" s="289"/>
      <c r="AQ702" s="289"/>
      <c r="AR702" s="289"/>
      <c r="AS702" s="289"/>
      <c r="AT702" s="289"/>
      <c r="AU702" s="289"/>
      <c r="AV702" s="289"/>
      <c r="AW702" s="289"/>
      <c r="AX702" s="289"/>
      <c r="AY702" s="289"/>
    </row>
    <row r="703" spans="1:51" ht="13.5" customHeight="1">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c r="AA703" s="289"/>
      <c r="AB703" s="289"/>
      <c r="AC703" s="289"/>
      <c r="AD703" s="289"/>
      <c r="AE703" s="289"/>
      <c r="AF703" s="289"/>
      <c r="AG703" s="289"/>
      <c r="AH703" s="289"/>
      <c r="AI703" s="289"/>
      <c r="AJ703" s="289"/>
      <c r="AK703" s="289"/>
      <c r="AL703" s="289"/>
      <c r="AM703" s="289"/>
      <c r="AN703" s="289"/>
      <c r="AO703" s="289"/>
      <c r="AP703" s="289"/>
      <c r="AQ703" s="289"/>
      <c r="AR703" s="289"/>
      <c r="AS703" s="289"/>
      <c r="AT703" s="289"/>
      <c r="AU703" s="289"/>
      <c r="AV703" s="289"/>
      <c r="AW703" s="289"/>
      <c r="AX703" s="289"/>
      <c r="AY703" s="289"/>
    </row>
    <row r="704" spans="1:51" ht="13.5" customHeight="1">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c r="AA704" s="289"/>
      <c r="AB704" s="289"/>
      <c r="AC704" s="289"/>
      <c r="AD704" s="289"/>
      <c r="AE704" s="289"/>
      <c r="AF704" s="289"/>
      <c r="AG704" s="289"/>
      <c r="AH704" s="289"/>
      <c r="AI704" s="289"/>
      <c r="AJ704" s="289"/>
      <c r="AK704" s="289"/>
      <c r="AL704" s="289"/>
      <c r="AM704" s="289"/>
      <c r="AN704" s="289"/>
      <c r="AO704" s="289"/>
      <c r="AP704" s="289"/>
      <c r="AQ704" s="289"/>
      <c r="AR704" s="289"/>
      <c r="AS704" s="289"/>
      <c r="AT704" s="289"/>
      <c r="AU704" s="289"/>
      <c r="AV704" s="289"/>
      <c r="AW704" s="289"/>
      <c r="AX704" s="289"/>
      <c r="AY704" s="289"/>
    </row>
    <row r="705" spans="1:51" ht="13.5" customHeight="1">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c r="AA705" s="289"/>
      <c r="AB705" s="289"/>
      <c r="AC705" s="289"/>
      <c r="AD705" s="289"/>
      <c r="AE705" s="289"/>
      <c r="AF705" s="289"/>
      <c r="AG705" s="289"/>
      <c r="AH705" s="289"/>
      <c r="AI705" s="289"/>
      <c r="AJ705" s="289"/>
      <c r="AK705" s="289"/>
      <c r="AL705" s="289"/>
      <c r="AM705" s="289"/>
      <c r="AN705" s="289"/>
      <c r="AO705" s="289"/>
      <c r="AP705" s="289"/>
      <c r="AQ705" s="289"/>
      <c r="AR705" s="289"/>
      <c r="AS705" s="289"/>
      <c r="AT705" s="289"/>
      <c r="AU705" s="289"/>
      <c r="AV705" s="289"/>
      <c r="AW705" s="289"/>
      <c r="AX705" s="289"/>
      <c r="AY705" s="289"/>
    </row>
    <row r="706" spans="1:51" ht="13.5" customHeight="1">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c r="AA706" s="289"/>
      <c r="AB706" s="289"/>
      <c r="AC706" s="289"/>
      <c r="AD706" s="289"/>
      <c r="AE706" s="289"/>
      <c r="AF706" s="289"/>
      <c r="AG706" s="289"/>
      <c r="AH706" s="289"/>
      <c r="AI706" s="289"/>
      <c r="AJ706" s="289"/>
      <c r="AK706" s="289"/>
      <c r="AL706" s="289"/>
      <c r="AM706" s="289"/>
      <c r="AN706" s="289"/>
      <c r="AO706" s="289"/>
      <c r="AP706" s="289"/>
      <c r="AQ706" s="289"/>
      <c r="AR706" s="289"/>
      <c r="AS706" s="289"/>
      <c r="AT706" s="289"/>
      <c r="AU706" s="289"/>
      <c r="AV706" s="289"/>
      <c r="AW706" s="289"/>
      <c r="AX706" s="289"/>
      <c r="AY706" s="289"/>
    </row>
    <row r="707" spans="1:51" ht="13.5" customHeight="1">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c r="AA707" s="289"/>
      <c r="AB707" s="289"/>
      <c r="AC707" s="289"/>
      <c r="AD707" s="289"/>
      <c r="AE707" s="289"/>
      <c r="AF707" s="289"/>
      <c r="AG707" s="289"/>
      <c r="AH707" s="289"/>
      <c r="AI707" s="289"/>
      <c r="AJ707" s="289"/>
      <c r="AK707" s="289"/>
      <c r="AL707" s="289"/>
      <c r="AM707" s="289"/>
      <c r="AN707" s="289"/>
      <c r="AO707" s="289"/>
      <c r="AP707" s="289"/>
      <c r="AQ707" s="289"/>
      <c r="AR707" s="289"/>
      <c r="AS707" s="289"/>
      <c r="AT707" s="289"/>
      <c r="AU707" s="289"/>
      <c r="AV707" s="289"/>
      <c r="AW707" s="289"/>
      <c r="AX707" s="289"/>
      <c r="AY707" s="289"/>
    </row>
    <row r="708" spans="1:51" ht="13.5" customHeight="1">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c r="AA708" s="289"/>
      <c r="AB708" s="289"/>
      <c r="AC708" s="289"/>
      <c r="AD708" s="289"/>
      <c r="AE708" s="289"/>
      <c r="AF708" s="289"/>
      <c r="AG708" s="289"/>
      <c r="AH708" s="289"/>
      <c r="AI708" s="289"/>
      <c r="AJ708" s="289"/>
      <c r="AK708" s="289"/>
      <c r="AL708" s="289"/>
      <c r="AM708" s="289"/>
      <c r="AN708" s="289"/>
      <c r="AO708" s="289"/>
      <c r="AP708" s="289"/>
      <c r="AQ708" s="289"/>
      <c r="AR708" s="289"/>
      <c r="AS708" s="289"/>
      <c r="AT708" s="289"/>
      <c r="AU708" s="289"/>
      <c r="AV708" s="289"/>
      <c r="AW708" s="289"/>
      <c r="AX708" s="289"/>
      <c r="AY708" s="289"/>
    </row>
    <row r="709" spans="1:51" ht="13.5" customHeight="1">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c r="AA709" s="289"/>
      <c r="AB709" s="289"/>
      <c r="AC709" s="289"/>
      <c r="AD709" s="289"/>
      <c r="AE709" s="289"/>
      <c r="AF709" s="289"/>
      <c r="AG709" s="289"/>
      <c r="AH709" s="289"/>
      <c r="AI709" s="289"/>
      <c r="AJ709" s="289"/>
      <c r="AK709" s="289"/>
      <c r="AL709" s="289"/>
      <c r="AM709" s="289"/>
      <c r="AN709" s="289"/>
      <c r="AO709" s="289"/>
      <c r="AP709" s="289"/>
      <c r="AQ709" s="289"/>
      <c r="AR709" s="289"/>
      <c r="AS709" s="289"/>
      <c r="AT709" s="289"/>
      <c r="AU709" s="289"/>
      <c r="AV709" s="289"/>
      <c r="AW709" s="289"/>
      <c r="AX709" s="289"/>
      <c r="AY709" s="289"/>
    </row>
    <row r="710" spans="1:51" ht="13.5" customHeight="1">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c r="AA710" s="289"/>
      <c r="AB710" s="289"/>
      <c r="AC710" s="289"/>
      <c r="AD710" s="289"/>
      <c r="AE710" s="289"/>
      <c r="AF710" s="289"/>
      <c r="AG710" s="289"/>
      <c r="AH710" s="289"/>
      <c r="AI710" s="289"/>
      <c r="AJ710" s="289"/>
      <c r="AK710" s="289"/>
      <c r="AL710" s="289"/>
      <c r="AM710" s="289"/>
      <c r="AN710" s="289"/>
      <c r="AO710" s="289"/>
      <c r="AP710" s="289"/>
      <c r="AQ710" s="289"/>
      <c r="AR710" s="289"/>
      <c r="AS710" s="289"/>
      <c r="AT710" s="289"/>
      <c r="AU710" s="289"/>
      <c r="AV710" s="289"/>
      <c r="AW710" s="289"/>
      <c r="AX710" s="289"/>
      <c r="AY710" s="289"/>
    </row>
    <row r="711" spans="1:51" ht="13.5" customHeight="1">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c r="AA711" s="289"/>
      <c r="AB711" s="289"/>
      <c r="AC711" s="289"/>
      <c r="AD711" s="289"/>
      <c r="AE711" s="289"/>
      <c r="AF711" s="289"/>
      <c r="AG711" s="289"/>
      <c r="AH711" s="289"/>
      <c r="AI711" s="289"/>
      <c r="AJ711" s="289"/>
      <c r="AK711" s="289"/>
      <c r="AL711" s="289"/>
      <c r="AM711" s="289"/>
      <c r="AN711" s="289"/>
      <c r="AO711" s="289"/>
      <c r="AP711" s="289"/>
      <c r="AQ711" s="289"/>
      <c r="AR711" s="289"/>
      <c r="AS711" s="289"/>
      <c r="AT711" s="289"/>
      <c r="AU711" s="289"/>
      <c r="AV711" s="289"/>
      <c r="AW711" s="289"/>
      <c r="AX711" s="289"/>
      <c r="AY711" s="289"/>
    </row>
    <row r="712" spans="1:51" ht="13.5" customHeight="1">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c r="AA712" s="289"/>
      <c r="AB712" s="289"/>
      <c r="AC712" s="289"/>
      <c r="AD712" s="289"/>
      <c r="AE712" s="289"/>
      <c r="AF712" s="289"/>
      <c r="AG712" s="289"/>
      <c r="AH712" s="289"/>
      <c r="AI712" s="289"/>
      <c r="AJ712" s="289"/>
      <c r="AK712" s="289"/>
      <c r="AL712" s="289"/>
      <c r="AM712" s="289"/>
      <c r="AN712" s="289"/>
      <c r="AO712" s="289"/>
      <c r="AP712" s="289"/>
      <c r="AQ712" s="289"/>
      <c r="AR712" s="289"/>
      <c r="AS712" s="289"/>
      <c r="AT712" s="289"/>
      <c r="AU712" s="289"/>
      <c r="AV712" s="289"/>
      <c r="AW712" s="289"/>
      <c r="AX712" s="289"/>
      <c r="AY712" s="289"/>
    </row>
    <row r="713" spans="1:51" ht="13.5" customHeight="1">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c r="AA713" s="289"/>
      <c r="AB713" s="289"/>
      <c r="AC713" s="289"/>
      <c r="AD713" s="289"/>
      <c r="AE713" s="289"/>
      <c r="AF713" s="289"/>
      <c r="AG713" s="289"/>
      <c r="AH713" s="289"/>
      <c r="AI713" s="289"/>
      <c r="AJ713" s="289"/>
      <c r="AK713" s="289"/>
      <c r="AL713" s="289"/>
      <c r="AM713" s="289"/>
      <c r="AN713" s="289"/>
      <c r="AO713" s="289"/>
      <c r="AP713" s="289"/>
      <c r="AQ713" s="289"/>
      <c r="AR713" s="289"/>
      <c r="AS713" s="289"/>
      <c r="AT713" s="289"/>
      <c r="AU713" s="289"/>
      <c r="AV713" s="289"/>
      <c r="AW713" s="289"/>
      <c r="AX713" s="289"/>
      <c r="AY713" s="289"/>
    </row>
    <row r="714" spans="1:51" ht="13.5" customHeight="1">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c r="AA714" s="289"/>
      <c r="AB714" s="289"/>
      <c r="AC714" s="289"/>
      <c r="AD714" s="289"/>
      <c r="AE714" s="289"/>
      <c r="AF714" s="289"/>
      <c r="AG714" s="289"/>
      <c r="AH714" s="289"/>
      <c r="AI714" s="289"/>
      <c r="AJ714" s="289"/>
      <c r="AK714" s="289"/>
      <c r="AL714" s="289"/>
      <c r="AM714" s="289"/>
      <c r="AN714" s="289"/>
      <c r="AO714" s="289"/>
      <c r="AP714" s="289"/>
      <c r="AQ714" s="289"/>
      <c r="AR714" s="289"/>
      <c r="AS714" s="289"/>
      <c r="AT714" s="289"/>
      <c r="AU714" s="289"/>
      <c r="AV714" s="289"/>
      <c r="AW714" s="289"/>
      <c r="AX714" s="289"/>
      <c r="AY714" s="289"/>
    </row>
    <row r="715" spans="1:51" ht="13.5" customHeight="1">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c r="AA715" s="289"/>
      <c r="AB715" s="289"/>
      <c r="AC715" s="289"/>
      <c r="AD715" s="289"/>
      <c r="AE715" s="289"/>
      <c r="AF715" s="289"/>
      <c r="AG715" s="289"/>
      <c r="AH715" s="289"/>
      <c r="AI715" s="289"/>
      <c r="AJ715" s="289"/>
      <c r="AK715" s="289"/>
      <c r="AL715" s="289"/>
      <c r="AM715" s="289"/>
      <c r="AN715" s="289"/>
      <c r="AO715" s="289"/>
      <c r="AP715" s="289"/>
      <c r="AQ715" s="289"/>
      <c r="AR715" s="289"/>
      <c r="AS715" s="289"/>
      <c r="AT715" s="289"/>
      <c r="AU715" s="289"/>
      <c r="AV715" s="289"/>
      <c r="AW715" s="289"/>
      <c r="AX715" s="289"/>
      <c r="AY715" s="289"/>
    </row>
    <row r="716" spans="1:51" ht="13.5" customHeight="1">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c r="AA716" s="289"/>
      <c r="AB716" s="289"/>
      <c r="AC716" s="289"/>
      <c r="AD716" s="289"/>
      <c r="AE716" s="289"/>
      <c r="AF716" s="289"/>
      <c r="AG716" s="289"/>
      <c r="AH716" s="289"/>
      <c r="AI716" s="289"/>
      <c r="AJ716" s="289"/>
      <c r="AK716" s="289"/>
      <c r="AL716" s="289"/>
      <c r="AM716" s="289"/>
      <c r="AN716" s="289"/>
      <c r="AO716" s="289"/>
      <c r="AP716" s="289"/>
      <c r="AQ716" s="289"/>
      <c r="AR716" s="289"/>
      <c r="AS716" s="289"/>
      <c r="AT716" s="289"/>
      <c r="AU716" s="289"/>
      <c r="AV716" s="289"/>
      <c r="AW716" s="289"/>
      <c r="AX716" s="289"/>
      <c r="AY716" s="289"/>
    </row>
    <row r="717" spans="1:51" ht="13.5" customHeight="1">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c r="AA717" s="289"/>
      <c r="AB717" s="289"/>
      <c r="AC717" s="289"/>
      <c r="AD717" s="289"/>
      <c r="AE717" s="289"/>
      <c r="AF717" s="289"/>
      <c r="AG717" s="289"/>
      <c r="AH717" s="289"/>
      <c r="AI717" s="289"/>
      <c r="AJ717" s="289"/>
      <c r="AK717" s="289"/>
      <c r="AL717" s="289"/>
      <c r="AM717" s="289"/>
      <c r="AN717" s="289"/>
      <c r="AO717" s="289"/>
      <c r="AP717" s="289"/>
      <c r="AQ717" s="289"/>
      <c r="AR717" s="289"/>
      <c r="AS717" s="289"/>
      <c r="AT717" s="289"/>
      <c r="AU717" s="289"/>
      <c r="AV717" s="289"/>
      <c r="AW717" s="289"/>
      <c r="AX717" s="289"/>
      <c r="AY717" s="289"/>
    </row>
    <row r="718" spans="1:51" ht="13.5" customHeight="1">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c r="AA718" s="289"/>
      <c r="AB718" s="289"/>
      <c r="AC718" s="289"/>
      <c r="AD718" s="289"/>
      <c r="AE718" s="289"/>
      <c r="AF718" s="289"/>
      <c r="AG718" s="289"/>
      <c r="AH718" s="289"/>
      <c r="AI718" s="289"/>
      <c r="AJ718" s="289"/>
      <c r="AK718" s="289"/>
      <c r="AL718" s="289"/>
      <c r="AM718" s="289"/>
      <c r="AN718" s="289"/>
      <c r="AO718" s="289"/>
      <c r="AP718" s="289"/>
      <c r="AQ718" s="289"/>
      <c r="AR718" s="289"/>
      <c r="AS718" s="289"/>
      <c r="AT718" s="289"/>
      <c r="AU718" s="289"/>
      <c r="AV718" s="289"/>
      <c r="AW718" s="289"/>
      <c r="AX718" s="289"/>
      <c r="AY718" s="289"/>
    </row>
    <row r="719" spans="1:51" ht="13.5" customHeight="1">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c r="AA719" s="289"/>
      <c r="AB719" s="289"/>
      <c r="AC719" s="289"/>
      <c r="AD719" s="289"/>
      <c r="AE719" s="289"/>
      <c r="AF719" s="289"/>
      <c r="AG719" s="289"/>
      <c r="AH719" s="289"/>
      <c r="AI719" s="289"/>
      <c r="AJ719" s="289"/>
      <c r="AK719" s="289"/>
      <c r="AL719" s="289"/>
      <c r="AM719" s="289"/>
      <c r="AN719" s="289"/>
      <c r="AO719" s="289"/>
      <c r="AP719" s="289"/>
      <c r="AQ719" s="289"/>
      <c r="AR719" s="289"/>
      <c r="AS719" s="289"/>
      <c r="AT719" s="289"/>
      <c r="AU719" s="289"/>
      <c r="AV719" s="289"/>
      <c r="AW719" s="289"/>
      <c r="AX719" s="289"/>
      <c r="AY719" s="289"/>
    </row>
    <row r="720" spans="1:51" ht="13.5" customHeight="1">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c r="AA720" s="289"/>
      <c r="AB720" s="289"/>
      <c r="AC720" s="289"/>
      <c r="AD720" s="289"/>
      <c r="AE720" s="289"/>
      <c r="AF720" s="289"/>
      <c r="AG720" s="289"/>
      <c r="AH720" s="289"/>
      <c r="AI720" s="289"/>
      <c r="AJ720" s="289"/>
      <c r="AK720" s="289"/>
      <c r="AL720" s="289"/>
      <c r="AM720" s="289"/>
      <c r="AN720" s="289"/>
      <c r="AO720" s="289"/>
      <c r="AP720" s="289"/>
      <c r="AQ720" s="289"/>
      <c r="AR720" s="289"/>
      <c r="AS720" s="289"/>
      <c r="AT720" s="289"/>
      <c r="AU720" s="289"/>
      <c r="AV720" s="289"/>
      <c r="AW720" s="289"/>
      <c r="AX720" s="289"/>
      <c r="AY720" s="289"/>
    </row>
    <row r="721" spans="1:51" ht="13.5" customHeight="1">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c r="AA721" s="289"/>
      <c r="AB721" s="289"/>
      <c r="AC721" s="289"/>
      <c r="AD721" s="289"/>
      <c r="AE721" s="289"/>
      <c r="AF721" s="289"/>
      <c r="AG721" s="289"/>
      <c r="AH721" s="289"/>
      <c r="AI721" s="289"/>
      <c r="AJ721" s="289"/>
      <c r="AK721" s="289"/>
      <c r="AL721" s="289"/>
      <c r="AM721" s="289"/>
      <c r="AN721" s="289"/>
      <c r="AO721" s="289"/>
      <c r="AP721" s="289"/>
      <c r="AQ721" s="289"/>
      <c r="AR721" s="289"/>
      <c r="AS721" s="289"/>
      <c r="AT721" s="289"/>
      <c r="AU721" s="289"/>
      <c r="AV721" s="289"/>
      <c r="AW721" s="289"/>
      <c r="AX721" s="289"/>
      <c r="AY721" s="289"/>
    </row>
    <row r="722" spans="1:51" ht="13.5" customHeight="1">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c r="AA722" s="289"/>
      <c r="AB722" s="289"/>
      <c r="AC722" s="289"/>
      <c r="AD722" s="289"/>
      <c r="AE722" s="289"/>
      <c r="AF722" s="289"/>
      <c r="AG722" s="289"/>
      <c r="AH722" s="289"/>
      <c r="AI722" s="289"/>
      <c r="AJ722" s="289"/>
      <c r="AK722" s="289"/>
      <c r="AL722" s="289"/>
      <c r="AM722" s="289"/>
      <c r="AN722" s="289"/>
      <c r="AO722" s="289"/>
      <c r="AP722" s="289"/>
      <c r="AQ722" s="289"/>
      <c r="AR722" s="289"/>
      <c r="AS722" s="289"/>
      <c r="AT722" s="289"/>
      <c r="AU722" s="289"/>
      <c r="AV722" s="289"/>
      <c r="AW722" s="289"/>
      <c r="AX722" s="289"/>
      <c r="AY722" s="289"/>
    </row>
    <row r="723" spans="1:51" ht="13.5" customHeight="1">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c r="AA723" s="289"/>
      <c r="AB723" s="289"/>
      <c r="AC723" s="289"/>
      <c r="AD723" s="289"/>
      <c r="AE723" s="289"/>
      <c r="AF723" s="289"/>
      <c r="AG723" s="289"/>
      <c r="AH723" s="289"/>
      <c r="AI723" s="289"/>
      <c r="AJ723" s="289"/>
      <c r="AK723" s="289"/>
      <c r="AL723" s="289"/>
      <c r="AM723" s="289"/>
      <c r="AN723" s="289"/>
      <c r="AO723" s="289"/>
      <c r="AP723" s="289"/>
      <c r="AQ723" s="289"/>
      <c r="AR723" s="289"/>
      <c r="AS723" s="289"/>
      <c r="AT723" s="289"/>
      <c r="AU723" s="289"/>
      <c r="AV723" s="289"/>
      <c r="AW723" s="289"/>
      <c r="AX723" s="289"/>
      <c r="AY723" s="289"/>
    </row>
    <row r="724" spans="1:51" ht="13.5" customHeight="1">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c r="AA724" s="289"/>
      <c r="AB724" s="289"/>
      <c r="AC724" s="289"/>
      <c r="AD724" s="289"/>
      <c r="AE724" s="289"/>
      <c r="AF724" s="289"/>
      <c r="AG724" s="289"/>
      <c r="AH724" s="289"/>
      <c r="AI724" s="289"/>
      <c r="AJ724" s="289"/>
      <c r="AK724" s="289"/>
      <c r="AL724" s="289"/>
      <c r="AM724" s="289"/>
      <c r="AN724" s="289"/>
      <c r="AO724" s="289"/>
      <c r="AP724" s="289"/>
      <c r="AQ724" s="289"/>
      <c r="AR724" s="289"/>
      <c r="AS724" s="289"/>
      <c r="AT724" s="289"/>
      <c r="AU724" s="289"/>
      <c r="AV724" s="289"/>
      <c r="AW724" s="289"/>
      <c r="AX724" s="289"/>
      <c r="AY724" s="289"/>
    </row>
    <row r="725" spans="1:51" ht="13.5" customHeight="1">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c r="AA725" s="289"/>
      <c r="AB725" s="289"/>
      <c r="AC725" s="289"/>
      <c r="AD725" s="289"/>
      <c r="AE725" s="289"/>
      <c r="AF725" s="289"/>
      <c r="AG725" s="289"/>
      <c r="AH725" s="289"/>
      <c r="AI725" s="289"/>
      <c r="AJ725" s="289"/>
      <c r="AK725" s="289"/>
      <c r="AL725" s="289"/>
      <c r="AM725" s="289"/>
      <c r="AN725" s="289"/>
      <c r="AO725" s="289"/>
      <c r="AP725" s="289"/>
      <c r="AQ725" s="289"/>
      <c r="AR725" s="289"/>
      <c r="AS725" s="289"/>
      <c r="AT725" s="289"/>
      <c r="AU725" s="289"/>
      <c r="AV725" s="289"/>
      <c r="AW725" s="289"/>
      <c r="AX725" s="289"/>
      <c r="AY725" s="289"/>
    </row>
    <row r="726" spans="1:51" ht="13.5" customHeight="1">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c r="AA726" s="289"/>
      <c r="AB726" s="289"/>
      <c r="AC726" s="289"/>
      <c r="AD726" s="289"/>
      <c r="AE726" s="289"/>
      <c r="AF726" s="289"/>
      <c r="AG726" s="289"/>
      <c r="AH726" s="289"/>
      <c r="AI726" s="289"/>
      <c r="AJ726" s="289"/>
      <c r="AK726" s="289"/>
      <c r="AL726" s="289"/>
      <c r="AM726" s="289"/>
      <c r="AN726" s="289"/>
      <c r="AO726" s="289"/>
      <c r="AP726" s="289"/>
      <c r="AQ726" s="289"/>
      <c r="AR726" s="289"/>
      <c r="AS726" s="289"/>
      <c r="AT726" s="289"/>
      <c r="AU726" s="289"/>
      <c r="AV726" s="289"/>
      <c r="AW726" s="289"/>
      <c r="AX726" s="289"/>
      <c r="AY726" s="289"/>
    </row>
    <row r="727" spans="1:51" ht="13.5" customHeight="1">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c r="AA727" s="289"/>
      <c r="AB727" s="289"/>
      <c r="AC727" s="289"/>
      <c r="AD727" s="289"/>
      <c r="AE727" s="289"/>
      <c r="AF727" s="289"/>
      <c r="AG727" s="289"/>
      <c r="AH727" s="289"/>
      <c r="AI727" s="289"/>
      <c r="AJ727" s="289"/>
      <c r="AK727" s="289"/>
      <c r="AL727" s="289"/>
      <c r="AM727" s="289"/>
      <c r="AN727" s="289"/>
      <c r="AO727" s="289"/>
      <c r="AP727" s="289"/>
      <c r="AQ727" s="289"/>
      <c r="AR727" s="289"/>
      <c r="AS727" s="289"/>
      <c r="AT727" s="289"/>
      <c r="AU727" s="289"/>
      <c r="AV727" s="289"/>
      <c r="AW727" s="289"/>
      <c r="AX727" s="289"/>
      <c r="AY727" s="289"/>
    </row>
    <row r="728" spans="1:51" ht="13.5" customHeight="1">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c r="AA728" s="289"/>
      <c r="AB728" s="289"/>
      <c r="AC728" s="289"/>
      <c r="AD728" s="289"/>
      <c r="AE728" s="289"/>
      <c r="AF728" s="289"/>
      <c r="AG728" s="289"/>
      <c r="AH728" s="289"/>
      <c r="AI728" s="289"/>
      <c r="AJ728" s="289"/>
      <c r="AK728" s="289"/>
      <c r="AL728" s="289"/>
      <c r="AM728" s="289"/>
      <c r="AN728" s="289"/>
      <c r="AO728" s="289"/>
      <c r="AP728" s="289"/>
      <c r="AQ728" s="289"/>
      <c r="AR728" s="289"/>
      <c r="AS728" s="289"/>
      <c r="AT728" s="289"/>
      <c r="AU728" s="289"/>
      <c r="AV728" s="289"/>
      <c r="AW728" s="289"/>
      <c r="AX728" s="289"/>
      <c r="AY728" s="289"/>
    </row>
    <row r="729" spans="1:51" ht="13.5" customHeight="1">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c r="AA729" s="289"/>
      <c r="AB729" s="289"/>
      <c r="AC729" s="289"/>
      <c r="AD729" s="289"/>
      <c r="AE729" s="289"/>
      <c r="AF729" s="289"/>
      <c r="AG729" s="289"/>
      <c r="AH729" s="289"/>
      <c r="AI729" s="289"/>
      <c r="AJ729" s="289"/>
      <c r="AK729" s="289"/>
      <c r="AL729" s="289"/>
      <c r="AM729" s="289"/>
      <c r="AN729" s="289"/>
      <c r="AO729" s="289"/>
      <c r="AP729" s="289"/>
      <c r="AQ729" s="289"/>
      <c r="AR729" s="289"/>
      <c r="AS729" s="289"/>
      <c r="AT729" s="289"/>
      <c r="AU729" s="289"/>
      <c r="AV729" s="289"/>
      <c r="AW729" s="289"/>
      <c r="AX729" s="289"/>
      <c r="AY729" s="289"/>
    </row>
    <row r="730" spans="1:51" ht="13.5" customHeight="1">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c r="AA730" s="289"/>
      <c r="AB730" s="289"/>
      <c r="AC730" s="289"/>
      <c r="AD730" s="289"/>
      <c r="AE730" s="289"/>
      <c r="AF730" s="289"/>
      <c r="AG730" s="289"/>
      <c r="AH730" s="289"/>
      <c r="AI730" s="289"/>
      <c r="AJ730" s="289"/>
      <c r="AK730" s="289"/>
      <c r="AL730" s="289"/>
      <c r="AM730" s="289"/>
      <c r="AN730" s="289"/>
      <c r="AO730" s="289"/>
      <c r="AP730" s="289"/>
      <c r="AQ730" s="289"/>
      <c r="AR730" s="289"/>
      <c r="AS730" s="289"/>
      <c r="AT730" s="289"/>
      <c r="AU730" s="289"/>
      <c r="AV730" s="289"/>
      <c r="AW730" s="289"/>
      <c r="AX730" s="289"/>
      <c r="AY730" s="289"/>
    </row>
    <row r="731" spans="1:51" ht="13.5" customHeight="1">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c r="AA731" s="289"/>
      <c r="AB731" s="289"/>
      <c r="AC731" s="289"/>
      <c r="AD731" s="289"/>
      <c r="AE731" s="289"/>
      <c r="AF731" s="289"/>
      <c r="AG731" s="289"/>
      <c r="AH731" s="289"/>
      <c r="AI731" s="289"/>
      <c r="AJ731" s="289"/>
      <c r="AK731" s="289"/>
      <c r="AL731" s="289"/>
      <c r="AM731" s="289"/>
      <c r="AN731" s="289"/>
      <c r="AO731" s="289"/>
      <c r="AP731" s="289"/>
      <c r="AQ731" s="289"/>
      <c r="AR731" s="289"/>
      <c r="AS731" s="289"/>
      <c r="AT731" s="289"/>
      <c r="AU731" s="289"/>
      <c r="AV731" s="289"/>
      <c r="AW731" s="289"/>
      <c r="AX731" s="289"/>
      <c r="AY731" s="289"/>
    </row>
    <row r="732" spans="1:51" ht="13.5" customHeight="1">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c r="AA732" s="289"/>
      <c r="AB732" s="289"/>
      <c r="AC732" s="289"/>
      <c r="AD732" s="289"/>
      <c r="AE732" s="289"/>
      <c r="AF732" s="289"/>
      <c r="AG732" s="289"/>
      <c r="AH732" s="289"/>
      <c r="AI732" s="289"/>
      <c r="AJ732" s="289"/>
      <c r="AK732" s="289"/>
      <c r="AL732" s="289"/>
      <c r="AM732" s="289"/>
      <c r="AN732" s="289"/>
      <c r="AO732" s="289"/>
      <c r="AP732" s="289"/>
      <c r="AQ732" s="289"/>
      <c r="AR732" s="289"/>
      <c r="AS732" s="289"/>
      <c r="AT732" s="289"/>
      <c r="AU732" s="289"/>
      <c r="AV732" s="289"/>
      <c r="AW732" s="289"/>
      <c r="AX732" s="289"/>
      <c r="AY732" s="289"/>
    </row>
    <row r="733" spans="1:51" ht="13.5" customHeight="1">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c r="AA733" s="289"/>
      <c r="AB733" s="289"/>
      <c r="AC733" s="289"/>
      <c r="AD733" s="289"/>
      <c r="AE733" s="289"/>
      <c r="AF733" s="289"/>
      <c r="AG733" s="289"/>
      <c r="AH733" s="289"/>
      <c r="AI733" s="289"/>
      <c r="AJ733" s="289"/>
      <c r="AK733" s="289"/>
      <c r="AL733" s="289"/>
      <c r="AM733" s="289"/>
      <c r="AN733" s="289"/>
      <c r="AO733" s="289"/>
      <c r="AP733" s="289"/>
      <c r="AQ733" s="289"/>
      <c r="AR733" s="289"/>
      <c r="AS733" s="289"/>
      <c r="AT733" s="289"/>
      <c r="AU733" s="289"/>
      <c r="AV733" s="289"/>
      <c r="AW733" s="289"/>
      <c r="AX733" s="289"/>
      <c r="AY733" s="289"/>
    </row>
    <row r="734" spans="1:51" ht="13.5" customHeight="1">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c r="AA734" s="289"/>
      <c r="AB734" s="289"/>
      <c r="AC734" s="289"/>
      <c r="AD734" s="289"/>
      <c r="AE734" s="289"/>
      <c r="AF734" s="289"/>
      <c r="AG734" s="289"/>
      <c r="AH734" s="289"/>
      <c r="AI734" s="289"/>
      <c r="AJ734" s="289"/>
      <c r="AK734" s="289"/>
      <c r="AL734" s="289"/>
      <c r="AM734" s="289"/>
      <c r="AN734" s="289"/>
      <c r="AO734" s="289"/>
      <c r="AP734" s="289"/>
      <c r="AQ734" s="289"/>
      <c r="AR734" s="289"/>
      <c r="AS734" s="289"/>
      <c r="AT734" s="289"/>
      <c r="AU734" s="289"/>
      <c r="AV734" s="289"/>
      <c r="AW734" s="289"/>
      <c r="AX734" s="289"/>
      <c r="AY734" s="289"/>
    </row>
    <row r="735" spans="1:51" ht="13.5" customHeight="1">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c r="AA735" s="289"/>
      <c r="AB735" s="289"/>
      <c r="AC735" s="289"/>
      <c r="AD735" s="289"/>
      <c r="AE735" s="289"/>
      <c r="AF735" s="289"/>
      <c r="AG735" s="289"/>
      <c r="AH735" s="289"/>
      <c r="AI735" s="289"/>
      <c r="AJ735" s="289"/>
      <c r="AK735" s="289"/>
      <c r="AL735" s="289"/>
      <c r="AM735" s="289"/>
      <c r="AN735" s="289"/>
      <c r="AO735" s="289"/>
      <c r="AP735" s="289"/>
      <c r="AQ735" s="289"/>
      <c r="AR735" s="289"/>
      <c r="AS735" s="289"/>
      <c r="AT735" s="289"/>
      <c r="AU735" s="289"/>
      <c r="AV735" s="289"/>
      <c r="AW735" s="289"/>
      <c r="AX735" s="289"/>
      <c r="AY735" s="289"/>
    </row>
    <row r="736" spans="1:51" ht="13.5" customHeight="1">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c r="AA736" s="289"/>
      <c r="AB736" s="289"/>
      <c r="AC736" s="289"/>
      <c r="AD736" s="289"/>
      <c r="AE736" s="289"/>
      <c r="AF736" s="289"/>
      <c r="AG736" s="289"/>
      <c r="AH736" s="289"/>
      <c r="AI736" s="289"/>
      <c r="AJ736" s="289"/>
      <c r="AK736" s="289"/>
      <c r="AL736" s="289"/>
      <c r="AM736" s="289"/>
      <c r="AN736" s="289"/>
      <c r="AO736" s="289"/>
      <c r="AP736" s="289"/>
      <c r="AQ736" s="289"/>
      <c r="AR736" s="289"/>
      <c r="AS736" s="289"/>
      <c r="AT736" s="289"/>
      <c r="AU736" s="289"/>
      <c r="AV736" s="289"/>
      <c r="AW736" s="289"/>
      <c r="AX736" s="289"/>
      <c r="AY736" s="289"/>
    </row>
    <row r="737" spans="1:51" ht="13.5" customHeight="1">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c r="AA737" s="289"/>
      <c r="AB737" s="289"/>
      <c r="AC737" s="289"/>
      <c r="AD737" s="289"/>
      <c r="AE737" s="289"/>
      <c r="AF737" s="289"/>
      <c r="AG737" s="289"/>
      <c r="AH737" s="289"/>
      <c r="AI737" s="289"/>
      <c r="AJ737" s="289"/>
      <c r="AK737" s="289"/>
      <c r="AL737" s="289"/>
      <c r="AM737" s="289"/>
      <c r="AN737" s="289"/>
      <c r="AO737" s="289"/>
      <c r="AP737" s="289"/>
      <c r="AQ737" s="289"/>
      <c r="AR737" s="289"/>
      <c r="AS737" s="289"/>
      <c r="AT737" s="289"/>
      <c r="AU737" s="289"/>
      <c r="AV737" s="289"/>
      <c r="AW737" s="289"/>
      <c r="AX737" s="289"/>
      <c r="AY737" s="289"/>
    </row>
    <row r="738" spans="1:51" ht="13.5" customHeight="1">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c r="AA738" s="289"/>
      <c r="AB738" s="289"/>
      <c r="AC738" s="289"/>
      <c r="AD738" s="289"/>
      <c r="AE738" s="289"/>
      <c r="AF738" s="289"/>
      <c r="AG738" s="289"/>
      <c r="AH738" s="289"/>
      <c r="AI738" s="289"/>
      <c r="AJ738" s="289"/>
      <c r="AK738" s="289"/>
      <c r="AL738" s="289"/>
      <c r="AM738" s="289"/>
      <c r="AN738" s="289"/>
      <c r="AO738" s="289"/>
      <c r="AP738" s="289"/>
      <c r="AQ738" s="289"/>
      <c r="AR738" s="289"/>
      <c r="AS738" s="289"/>
      <c r="AT738" s="289"/>
      <c r="AU738" s="289"/>
      <c r="AV738" s="289"/>
      <c r="AW738" s="289"/>
      <c r="AX738" s="289"/>
      <c r="AY738" s="289"/>
    </row>
    <row r="739" spans="1:51" ht="13.5" customHeight="1">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c r="AA739" s="289"/>
      <c r="AB739" s="289"/>
      <c r="AC739" s="289"/>
      <c r="AD739" s="289"/>
      <c r="AE739" s="289"/>
      <c r="AF739" s="289"/>
      <c r="AG739" s="289"/>
      <c r="AH739" s="289"/>
      <c r="AI739" s="289"/>
      <c r="AJ739" s="289"/>
      <c r="AK739" s="289"/>
      <c r="AL739" s="289"/>
      <c r="AM739" s="289"/>
      <c r="AN739" s="289"/>
      <c r="AO739" s="289"/>
      <c r="AP739" s="289"/>
      <c r="AQ739" s="289"/>
      <c r="AR739" s="289"/>
      <c r="AS739" s="289"/>
      <c r="AT739" s="289"/>
      <c r="AU739" s="289"/>
      <c r="AV739" s="289"/>
      <c r="AW739" s="289"/>
      <c r="AX739" s="289"/>
      <c r="AY739" s="289"/>
    </row>
    <row r="740" spans="1:51" ht="13.5" customHeight="1">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c r="AA740" s="289"/>
      <c r="AB740" s="289"/>
      <c r="AC740" s="289"/>
      <c r="AD740" s="289"/>
      <c r="AE740" s="289"/>
      <c r="AF740" s="289"/>
      <c r="AG740" s="289"/>
      <c r="AH740" s="289"/>
      <c r="AI740" s="289"/>
      <c r="AJ740" s="289"/>
      <c r="AK740" s="289"/>
      <c r="AL740" s="289"/>
      <c r="AM740" s="289"/>
      <c r="AN740" s="289"/>
      <c r="AO740" s="289"/>
      <c r="AP740" s="289"/>
      <c r="AQ740" s="289"/>
      <c r="AR740" s="289"/>
      <c r="AS740" s="289"/>
      <c r="AT740" s="289"/>
      <c r="AU740" s="289"/>
      <c r="AV740" s="289"/>
      <c r="AW740" s="289"/>
      <c r="AX740" s="289"/>
      <c r="AY740" s="289"/>
    </row>
    <row r="741" spans="1:51" ht="13.5" customHeight="1">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c r="AA741" s="289"/>
      <c r="AB741" s="289"/>
      <c r="AC741" s="289"/>
      <c r="AD741" s="289"/>
      <c r="AE741" s="289"/>
      <c r="AF741" s="289"/>
      <c r="AG741" s="289"/>
      <c r="AH741" s="289"/>
      <c r="AI741" s="289"/>
      <c r="AJ741" s="289"/>
      <c r="AK741" s="289"/>
      <c r="AL741" s="289"/>
      <c r="AM741" s="289"/>
      <c r="AN741" s="289"/>
      <c r="AO741" s="289"/>
      <c r="AP741" s="289"/>
      <c r="AQ741" s="289"/>
      <c r="AR741" s="289"/>
      <c r="AS741" s="289"/>
      <c r="AT741" s="289"/>
      <c r="AU741" s="289"/>
      <c r="AV741" s="289"/>
      <c r="AW741" s="289"/>
      <c r="AX741" s="289"/>
      <c r="AY741" s="289"/>
    </row>
    <row r="742" spans="1:51" ht="13.5" customHeight="1">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c r="AA742" s="289"/>
      <c r="AB742" s="289"/>
      <c r="AC742" s="289"/>
      <c r="AD742" s="289"/>
      <c r="AE742" s="289"/>
      <c r="AF742" s="289"/>
      <c r="AG742" s="289"/>
      <c r="AH742" s="289"/>
      <c r="AI742" s="289"/>
      <c r="AJ742" s="289"/>
      <c r="AK742" s="289"/>
      <c r="AL742" s="289"/>
      <c r="AM742" s="289"/>
      <c r="AN742" s="289"/>
      <c r="AO742" s="289"/>
      <c r="AP742" s="289"/>
      <c r="AQ742" s="289"/>
      <c r="AR742" s="289"/>
      <c r="AS742" s="289"/>
      <c r="AT742" s="289"/>
      <c r="AU742" s="289"/>
      <c r="AV742" s="289"/>
      <c r="AW742" s="289"/>
      <c r="AX742" s="289"/>
      <c r="AY742" s="289"/>
    </row>
    <row r="743" spans="1:51" ht="13.5" customHeight="1">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c r="AA743" s="289"/>
      <c r="AB743" s="289"/>
      <c r="AC743" s="289"/>
      <c r="AD743" s="289"/>
      <c r="AE743" s="289"/>
      <c r="AF743" s="289"/>
      <c r="AG743" s="289"/>
      <c r="AH743" s="289"/>
      <c r="AI743" s="289"/>
      <c r="AJ743" s="289"/>
      <c r="AK743" s="289"/>
      <c r="AL743" s="289"/>
      <c r="AM743" s="289"/>
      <c r="AN743" s="289"/>
      <c r="AO743" s="289"/>
      <c r="AP743" s="289"/>
      <c r="AQ743" s="289"/>
      <c r="AR743" s="289"/>
      <c r="AS743" s="289"/>
      <c r="AT743" s="289"/>
      <c r="AU743" s="289"/>
      <c r="AV743" s="289"/>
      <c r="AW743" s="289"/>
      <c r="AX743" s="289"/>
      <c r="AY743" s="289"/>
    </row>
    <row r="744" spans="1:51" ht="13.5" customHeight="1">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c r="AA744" s="289"/>
      <c r="AB744" s="289"/>
      <c r="AC744" s="289"/>
      <c r="AD744" s="289"/>
      <c r="AE744" s="289"/>
      <c r="AF744" s="289"/>
      <c r="AG744" s="289"/>
      <c r="AH744" s="289"/>
      <c r="AI744" s="289"/>
      <c r="AJ744" s="289"/>
      <c r="AK744" s="289"/>
      <c r="AL744" s="289"/>
      <c r="AM744" s="289"/>
      <c r="AN744" s="289"/>
      <c r="AO744" s="289"/>
      <c r="AP744" s="289"/>
      <c r="AQ744" s="289"/>
      <c r="AR744" s="289"/>
      <c r="AS744" s="289"/>
      <c r="AT744" s="289"/>
      <c r="AU744" s="289"/>
      <c r="AV744" s="289"/>
      <c r="AW744" s="289"/>
      <c r="AX744" s="289"/>
      <c r="AY744" s="289"/>
    </row>
    <row r="745" spans="1:51" ht="13.5" customHeight="1">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c r="AA745" s="289"/>
      <c r="AB745" s="289"/>
      <c r="AC745" s="289"/>
      <c r="AD745" s="289"/>
      <c r="AE745" s="289"/>
      <c r="AF745" s="289"/>
      <c r="AG745" s="289"/>
      <c r="AH745" s="289"/>
      <c r="AI745" s="289"/>
      <c r="AJ745" s="289"/>
      <c r="AK745" s="289"/>
      <c r="AL745" s="289"/>
      <c r="AM745" s="289"/>
      <c r="AN745" s="289"/>
      <c r="AO745" s="289"/>
      <c r="AP745" s="289"/>
      <c r="AQ745" s="289"/>
      <c r="AR745" s="289"/>
      <c r="AS745" s="289"/>
      <c r="AT745" s="289"/>
      <c r="AU745" s="289"/>
      <c r="AV745" s="289"/>
      <c r="AW745" s="289"/>
      <c r="AX745" s="289"/>
      <c r="AY745" s="289"/>
    </row>
    <row r="746" spans="1:51" ht="13.5" customHeight="1">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c r="AA746" s="289"/>
      <c r="AB746" s="289"/>
      <c r="AC746" s="289"/>
      <c r="AD746" s="289"/>
      <c r="AE746" s="289"/>
      <c r="AF746" s="289"/>
      <c r="AG746" s="289"/>
      <c r="AH746" s="289"/>
      <c r="AI746" s="289"/>
      <c r="AJ746" s="289"/>
      <c r="AK746" s="289"/>
      <c r="AL746" s="289"/>
      <c r="AM746" s="289"/>
      <c r="AN746" s="289"/>
      <c r="AO746" s="289"/>
      <c r="AP746" s="289"/>
      <c r="AQ746" s="289"/>
      <c r="AR746" s="289"/>
      <c r="AS746" s="289"/>
      <c r="AT746" s="289"/>
      <c r="AU746" s="289"/>
      <c r="AV746" s="289"/>
      <c r="AW746" s="289"/>
      <c r="AX746" s="289"/>
      <c r="AY746" s="289"/>
    </row>
    <row r="747" spans="1:51" ht="13.5" customHeight="1">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c r="AA747" s="289"/>
      <c r="AB747" s="289"/>
      <c r="AC747" s="289"/>
      <c r="AD747" s="289"/>
      <c r="AE747" s="289"/>
      <c r="AF747" s="289"/>
      <c r="AG747" s="289"/>
      <c r="AH747" s="289"/>
      <c r="AI747" s="289"/>
      <c r="AJ747" s="289"/>
      <c r="AK747" s="289"/>
      <c r="AL747" s="289"/>
      <c r="AM747" s="289"/>
      <c r="AN747" s="289"/>
      <c r="AO747" s="289"/>
      <c r="AP747" s="289"/>
      <c r="AQ747" s="289"/>
      <c r="AR747" s="289"/>
      <c r="AS747" s="289"/>
      <c r="AT747" s="289"/>
      <c r="AU747" s="289"/>
      <c r="AV747" s="289"/>
      <c r="AW747" s="289"/>
      <c r="AX747" s="289"/>
      <c r="AY747" s="289"/>
    </row>
    <row r="748" spans="1:51" ht="13.5" customHeight="1">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c r="AA748" s="289"/>
      <c r="AB748" s="289"/>
      <c r="AC748" s="289"/>
      <c r="AD748" s="289"/>
      <c r="AE748" s="289"/>
      <c r="AF748" s="289"/>
      <c r="AG748" s="289"/>
      <c r="AH748" s="289"/>
      <c r="AI748" s="289"/>
      <c r="AJ748" s="289"/>
      <c r="AK748" s="289"/>
      <c r="AL748" s="289"/>
      <c r="AM748" s="289"/>
      <c r="AN748" s="289"/>
      <c r="AO748" s="289"/>
      <c r="AP748" s="289"/>
      <c r="AQ748" s="289"/>
      <c r="AR748" s="289"/>
      <c r="AS748" s="289"/>
      <c r="AT748" s="289"/>
      <c r="AU748" s="289"/>
      <c r="AV748" s="289"/>
      <c r="AW748" s="289"/>
      <c r="AX748" s="289"/>
      <c r="AY748" s="289"/>
    </row>
    <row r="749" spans="1:51" ht="13.5" customHeight="1">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c r="AA749" s="289"/>
      <c r="AB749" s="289"/>
      <c r="AC749" s="289"/>
      <c r="AD749" s="289"/>
      <c r="AE749" s="289"/>
      <c r="AF749" s="289"/>
      <c r="AG749" s="289"/>
      <c r="AH749" s="289"/>
      <c r="AI749" s="289"/>
      <c r="AJ749" s="289"/>
      <c r="AK749" s="289"/>
      <c r="AL749" s="289"/>
      <c r="AM749" s="289"/>
      <c r="AN749" s="289"/>
      <c r="AO749" s="289"/>
      <c r="AP749" s="289"/>
      <c r="AQ749" s="289"/>
      <c r="AR749" s="289"/>
      <c r="AS749" s="289"/>
      <c r="AT749" s="289"/>
      <c r="AU749" s="289"/>
      <c r="AV749" s="289"/>
      <c r="AW749" s="289"/>
      <c r="AX749" s="289"/>
      <c r="AY749" s="289"/>
    </row>
    <row r="750" spans="1:51" ht="13.5" customHeight="1">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c r="AA750" s="289"/>
      <c r="AB750" s="289"/>
      <c r="AC750" s="289"/>
      <c r="AD750" s="289"/>
      <c r="AE750" s="289"/>
      <c r="AF750" s="289"/>
      <c r="AG750" s="289"/>
      <c r="AH750" s="289"/>
      <c r="AI750" s="289"/>
      <c r="AJ750" s="289"/>
      <c r="AK750" s="289"/>
      <c r="AL750" s="289"/>
      <c r="AM750" s="289"/>
      <c r="AN750" s="289"/>
      <c r="AO750" s="289"/>
      <c r="AP750" s="289"/>
      <c r="AQ750" s="289"/>
      <c r="AR750" s="289"/>
      <c r="AS750" s="289"/>
      <c r="AT750" s="289"/>
      <c r="AU750" s="289"/>
      <c r="AV750" s="289"/>
      <c r="AW750" s="289"/>
      <c r="AX750" s="289"/>
      <c r="AY750" s="289"/>
    </row>
    <row r="751" spans="1:51" ht="13.5" customHeight="1">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c r="AA751" s="289"/>
      <c r="AB751" s="289"/>
      <c r="AC751" s="289"/>
      <c r="AD751" s="289"/>
      <c r="AE751" s="289"/>
      <c r="AF751" s="289"/>
      <c r="AG751" s="289"/>
      <c r="AH751" s="289"/>
      <c r="AI751" s="289"/>
      <c r="AJ751" s="289"/>
      <c r="AK751" s="289"/>
      <c r="AL751" s="289"/>
      <c r="AM751" s="289"/>
      <c r="AN751" s="289"/>
      <c r="AO751" s="289"/>
      <c r="AP751" s="289"/>
      <c r="AQ751" s="289"/>
      <c r="AR751" s="289"/>
      <c r="AS751" s="289"/>
      <c r="AT751" s="289"/>
      <c r="AU751" s="289"/>
      <c r="AV751" s="289"/>
      <c r="AW751" s="289"/>
      <c r="AX751" s="289"/>
      <c r="AY751" s="289"/>
    </row>
    <row r="752" spans="1:51" ht="13.5" customHeight="1">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c r="AA752" s="289"/>
      <c r="AB752" s="289"/>
      <c r="AC752" s="289"/>
      <c r="AD752" s="289"/>
      <c r="AE752" s="289"/>
      <c r="AF752" s="289"/>
      <c r="AG752" s="289"/>
      <c r="AH752" s="289"/>
      <c r="AI752" s="289"/>
      <c r="AJ752" s="289"/>
      <c r="AK752" s="289"/>
      <c r="AL752" s="289"/>
      <c r="AM752" s="289"/>
      <c r="AN752" s="289"/>
      <c r="AO752" s="289"/>
      <c r="AP752" s="289"/>
      <c r="AQ752" s="289"/>
      <c r="AR752" s="289"/>
      <c r="AS752" s="289"/>
      <c r="AT752" s="289"/>
      <c r="AU752" s="289"/>
      <c r="AV752" s="289"/>
      <c r="AW752" s="289"/>
      <c r="AX752" s="289"/>
      <c r="AY752" s="289"/>
    </row>
    <row r="753" spans="1:51" ht="13.5" customHeight="1">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c r="AA753" s="289"/>
      <c r="AB753" s="289"/>
      <c r="AC753" s="289"/>
      <c r="AD753" s="289"/>
      <c r="AE753" s="289"/>
      <c r="AF753" s="289"/>
      <c r="AG753" s="289"/>
      <c r="AH753" s="289"/>
      <c r="AI753" s="289"/>
      <c r="AJ753" s="289"/>
      <c r="AK753" s="289"/>
      <c r="AL753" s="289"/>
      <c r="AM753" s="289"/>
      <c r="AN753" s="289"/>
      <c r="AO753" s="289"/>
      <c r="AP753" s="289"/>
      <c r="AQ753" s="289"/>
      <c r="AR753" s="289"/>
      <c r="AS753" s="289"/>
      <c r="AT753" s="289"/>
      <c r="AU753" s="289"/>
      <c r="AV753" s="289"/>
      <c r="AW753" s="289"/>
      <c r="AX753" s="289"/>
      <c r="AY753" s="289"/>
    </row>
    <row r="754" spans="1:51" ht="13.5" customHeight="1">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c r="AA754" s="289"/>
      <c r="AB754" s="289"/>
      <c r="AC754" s="289"/>
      <c r="AD754" s="289"/>
      <c r="AE754" s="289"/>
      <c r="AF754" s="289"/>
      <c r="AG754" s="289"/>
      <c r="AH754" s="289"/>
      <c r="AI754" s="289"/>
      <c r="AJ754" s="289"/>
      <c r="AK754" s="289"/>
      <c r="AL754" s="289"/>
      <c r="AM754" s="289"/>
      <c r="AN754" s="289"/>
      <c r="AO754" s="289"/>
      <c r="AP754" s="289"/>
      <c r="AQ754" s="289"/>
      <c r="AR754" s="289"/>
      <c r="AS754" s="289"/>
      <c r="AT754" s="289"/>
      <c r="AU754" s="289"/>
      <c r="AV754" s="289"/>
      <c r="AW754" s="289"/>
      <c r="AX754" s="289"/>
      <c r="AY754" s="289"/>
    </row>
    <row r="755" spans="1:51" ht="13.5" customHeight="1">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c r="AA755" s="289"/>
      <c r="AB755" s="289"/>
      <c r="AC755" s="289"/>
      <c r="AD755" s="289"/>
      <c r="AE755" s="289"/>
      <c r="AF755" s="289"/>
      <c r="AG755" s="289"/>
      <c r="AH755" s="289"/>
      <c r="AI755" s="289"/>
      <c r="AJ755" s="289"/>
      <c r="AK755" s="289"/>
      <c r="AL755" s="289"/>
      <c r="AM755" s="289"/>
      <c r="AN755" s="289"/>
      <c r="AO755" s="289"/>
      <c r="AP755" s="289"/>
      <c r="AQ755" s="289"/>
      <c r="AR755" s="289"/>
      <c r="AS755" s="289"/>
      <c r="AT755" s="289"/>
      <c r="AU755" s="289"/>
      <c r="AV755" s="289"/>
      <c r="AW755" s="289"/>
      <c r="AX755" s="289"/>
      <c r="AY755" s="289"/>
    </row>
    <row r="756" spans="1:51" ht="13.5" customHeight="1">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c r="AA756" s="289"/>
      <c r="AB756" s="289"/>
      <c r="AC756" s="289"/>
      <c r="AD756" s="289"/>
      <c r="AE756" s="289"/>
      <c r="AF756" s="289"/>
      <c r="AG756" s="289"/>
      <c r="AH756" s="289"/>
      <c r="AI756" s="289"/>
      <c r="AJ756" s="289"/>
      <c r="AK756" s="289"/>
      <c r="AL756" s="289"/>
      <c r="AM756" s="289"/>
      <c r="AN756" s="289"/>
      <c r="AO756" s="289"/>
      <c r="AP756" s="289"/>
      <c r="AQ756" s="289"/>
      <c r="AR756" s="289"/>
      <c r="AS756" s="289"/>
      <c r="AT756" s="289"/>
      <c r="AU756" s="289"/>
      <c r="AV756" s="289"/>
      <c r="AW756" s="289"/>
      <c r="AX756" s="289"/>
      <c r="AY756" s="289"/>
    </row>
    <row r="757" spans="1:51" ht="13.5" customHeight="1">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c r="AA757" s="289"/>
      <c r="AB757" s="289"/>
      <c r="AC757" s="289"/>
      <c r="AD757" s="289"/>
      <c r="AE757" s="289"/>
      <c r="AF757" s="289"/>
      <c r="AG757" s="289"/>
      <c r="AH757" s="289"/>
      <c r="AI757" s="289"/>
      <c r="AJ757" s="289"/>
      <c r="AK757" s="289"/>
      <c r="AL757" s="289"/>
      <c r="AM757" s="289"/>
      <c r="AN757" s="289"/>
      <c r="AO757" s="289"/>
      <c r="AP757" s="289"/>
      <c r="AQ757" s="289"/>
      <c r="AR757" s="289"/>
      <c r="AS757" s="289"/>
      <c r="AT757" s="289"/>
      <c r="AU757" s="289"/>
      <c r="AV757" s="289"/>
      <c r="AW757" s="289"/>
      <c r="AX757" s="289"/>
      <c r="AY757" s="289"/>
    </row>
    <row r="758" spans="1:51" ht="13.5" customHeight="1">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c r="AA758" s="289"/>
      <c r="AB758" s="289"/>
      <c r="AC758" s="289"/>
      <c r="AD758" s="289"/>
      <c r="AE758" s="289"/>
      <c r="AF758" s="289"/>
      <c r="AG758" s="289"/>
      <c r="AH758" s="289"/>
      <c r="AI758" s="289"/>
      <c r="AJ758" s="289"/>
      <c r="AK758" s="289"/>
      <c r="AL758" s="289"/>
      <c r="AM758" s="289"/>
      <c r="AN758" s="289"/>
      <c r="AO758" s="289"/>
      <c r="AP758" s="289"/>
      <c r="AQ758" s="289"/>
      <c r="AR758" s="289"/>
      <c r="AS758" s="289"/>
      <c r="AT758" s="289"/>
      <c r="AU758" s="289"/>
      <c r="AV758" s="289"/>
      <c r="AW758" s="289"/>
      <c r="AX758" s="289"/>
      <c r="AY758" s="289"/>
    </row>
    <row r="759" spans="1:51" ht="13.5" customHeight="1">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c r="AA759" s="289"/>
      <c r="AB759" s="289"/>
      <c r="AC759" s="289"/>
      <c r="AD759" s="289"/>
      <c r="AE759" s="289"/>
      <c r="AF759" s="289"/>
      <c r="AG759" s="289"/>
      <c r="AH759" s="289"/>
      <c r="AI759" s="289"/>
      <c r="AJ759" s="289"/>
      <c r="AK759" s="289"/>
      <c r="AL759" s="289"/>
      <c r="AM759" s="289"/>
      <c r="AN759" s="289"/>
      <c r="AO759" s="289"/>
      <c r="AP759" s="289"/>
      <c r="AQ759" s="289"/>
      <c r="AR759" s="289"/>
      <c r="AS759" s="289"/>
      <c r="AT759" s="289"/>
      <c r="AU759" s="289"/>
      <c r="AV759" s="289"/>
      <c r="AW759" s="289"/>
      <c r="AX759" s="289"/>
      <c r="AY759" s="289"/>
    </row>
    <row r="760" spans="1:51" ht="13.5" customHeight="1">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c r="AA760" s="289"/>
      <c r="AB760" s="289"/>
      <c r="AC760" s="289"/>
      <c r="AD760" s="289"/>
      <c r="AE760" s="289"/>
      <c r="AF760" s="289"/>
      <c r="AG760" s="289"/>
      <c r="AH760" s="289"/>
      <c r="AI760" s="289"/>
      <c r="AJ760" s="289"/>
      <c r="AK760" s="289"/>
      <c r="AL760" s="289"/>
      <c r="AM760" s="289"/>
      <c r="AN760" s="289"/>
      <c r="AO760" s="289"/>
      <c r="AP760" s="289"/>
      <c r="AQ760" s="289"/>
      <c r="AR760" s="289"/>
      <c r="AS760" s="289"/>
      <c r="AT760" s="289"/>
      <c r="AU760" s="289"/>
      <c r="AV760" s="289"/>
      <c r="AW760" s="289"/>
      <c r="AX760" s="289"/>
      <c r="AY760" s="289"/>
    </row>
    <row r="761" spans="1:51" ht="13.5" customHeight="1">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c r="AA761" s="289"/>
      <c r="AB761" s="289"/>
      <c r="AC761" s="289"/>
      <c r="AD761" s="289"/>
      <c r="AE761" s="289"/>
      <c r="AF761" s="289"/>
      <c r="AG761" s="289"/>
      <c r="AH761" s="289"/>
      <c r="AI761" s="289"/>
      <c r="AJ761" s="289"/>
      <c r="AK761" s="289"/>
      <c r="AL761" s="289"/>
      <c r="AM761" s="289"/>
      <c r="AN761" s="289"/>
      <c r="AO761" s="289"/>
      <c r="AP761" s="289"/>
      <c r="AQ761" s="289"/>
      <c r="AR761" s="289"/>
      <c r="AS761" s="289"/>
      <c r="AT761" s="289"/>
      <c r="AU761" s="289"/>
      <c r="AV761" s="289"/>
      <c r="AW761" s="289"/>
      <c r="AX761" s="289"/>
      <c r="AY761" s="289"/>
    </row>
    <row r="762" spans="1:51" ht="13.5" customHeight="1">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c r="AA762" s="289"/>
      <c r="AB762" s="289"/>
      <c r="AC762" s="289"/>
      <c r="AD762" s="289"/>
      <c r="AE762" s="289"/>
      <c r="AF762" s="289"/>
      <c r="AG762" s="289"/>
      <c r="AH762" s="289"/>
      <c r="AI762" s="289"/>
      <c r="AJ762" s="289"/>
      <c r="AK762" s="289"/>
      <c r="AL762" s="289"/>
      <c r="AM762" s="289"/>
      <c r="AN762" s="289"/>
      <c r="AO762" s="289"/>
      <c r="AP762" s="289"/>
      <c r="AQ762" s="289"/>
      <c r="AR762" s="289"/>
      <c r="AS762" s="289"/>
      <c r="AT762" s="289"/>
      <c r="AU762" s="289"/>
      <c r="AV762" s="289"/>
      <c r="AW762" s="289"/>
      <c r="AX762" s="289"/>
      <c r="AY762" s="289"/>
    </row>
    <row r="763" spans="1:51" ht="13.5" customHeight="1">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c r="AA763" s="289"/>
      <c r="AB763" s="289"/>
      <c r="AC763" s="289"/>
      <c r="AD763" s="289"/>
      <c r="AE763" s="289"/>
      <c r="AF763" s="289"/>
      <c r="AG763" s="289"/>
      <c r="AH763" s="289"/>
      <c r="AI763" s="289"/>
      <c r="AJ763" s="289"/>
      <c r="AK763" s="289"/>
      <c r="AL763" s="289"/>
      <c r="AM763" s="289"/>
      <c r="AN763" s="289"/>
      <c r="AO763" s="289"/>
      <c r="AP763" s="289"/>
      <c r="AQ763" s="289"/>
      <c r="AR763" s="289"/>
      <c r="AS763" s="289"/>
      <c r="AT763" s="289"/>
      <c r="AU763" s="289"/>
      <c r="AV763" s="289"/>
      <c r="AW763" s="289"/>
      <c r="AX763" s="289"/>
      <c r="AY763" s="289"/>
    </row>
    <row r="764" spans="1:51" ht="13.5" customHeight="1">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c r="AA764" s="289"/>
      <c r="AB764" s="289"/>
      <c r="AC764" s="289"/>
      <c r="AD764" s="289"/>
      <c r="AE764" s="289"/>
      <c r="AF764" s="289"/>
      <c r="AG764" s="289"/>
      <c r="AH764" s="289"/>
      <c r="AI764" s="289"/>
      <c r="AJ764" s="289"/>
      <c r="AK764" s="289"/>
      <c r="AL764" s="289"/>
      <c r="AM764" s="289"/>
      <c r="AN764" s="289"/>
      <c r="AO764" s="289"/>
      <c r="AP764" s="289"/>
      <c r="AQ764" s="289"/>
      <c r="AR764" s="289"/>
      <c r="AS764" s="289"/>
      <c r="AT764" s="289"/>
      <c r="AU764" s="289"/>
      <c r="AV764" s="289"/>
      <c r="AW764" s="289"/>
      <c r="AX764" s="289"/>
      <c r="AY764" s="289"/>
    </row>
    <row r="765" spans="1:51" ht="13.5" customHeight="1">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c r="AA765" s="289"/>
      <c r="AB765" s="289"/>
      <c r="AC765" s="289"/>
      <c r="AD765" s="289"/>
      <c r="AE765" s="289"/>
      <c r="AF765" s="289"/>
      <c r="AG765" s="289"/>
      <c r="AH765" s="289"/>
      <c r="AI765" s="289"/>
      <c r="AJ765" s="289"/>
      <c r="AK765" s="289"/>
      <c r="AL765" s="289"/>
      <c r="AM765" s="289"/>
      <c r="AN765" s="289"/>
      <c r="AO765" s="289"/>
      <c r="AP765" s="289"/>
      <c r="AQ765" s="289"/>
      <c r="AR765" s="289"/>
      <c r="AS765" s="289"/>
      <c r="AT765" s="289"/>
      <c r="AU765" s="289"/>
      <c r="AV765" s="289"/>
      <c r="AW765" s="289"/>
      <c r="AX765" s="289"/>
      <c r="AY765" s="289"/>
    </row>
    <row r="766" spans="1:51" ht="13.5" customHeight="1">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c r="AA766" s="289"/>
      <c r="AB766" s="289"/>
      <c r="AC766" s="289"/>
      <c r="AD766" s="289"/>
      <c r="AE766" s="289"/>
      <c r="AF766" s="289"/>
      <c r="AG766" s="289"/>
      <c r="AH766" s="289"/>
      <c r="AI766" s="289"/>
      <c r="AJ766" s="289"/>
      <c r="AK766" s="289"/>
      <c r="AL766" s="289"/>
      <c r="AM766" s="289"/>
      <c r="AN766" s="289"/>
      <c r="AO766" s="289"/>
      <c r="AP766" s="289"/>
      <c r="AQ766" s="289"/>
      <c r="AR766" s="289"/>
      <c r="AS766" s="289"/>
      <c r="AT766" s="289"/>
      <c r="AU766" s="289"/>
      <c r="AV766" s="289"/>
      <c r="AW766" s="289"/>
      <c r="AX766" s="289"/>
      <c r="AY766" s="289"/>
    </row>
    <row r="767" spans="1:51" ht="13.5" customHeight="1">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c r="AA767" s="289"/>
      <c r="AB767" s="289"/>
      <c r="AC767" s="289"/>
      <c r="AD767" s="289"/>
      <c r="AE767" s="289"/>
      <c r="AF767" s="289"/>
      <c r="AG767" s="289"/>
      <c r="AH767" s="289"/>
      <c r="AI767" s="289"/>
      <c r="AJ767" s="289"/>
      <c r="AK767" s="289"/>
      <c r="AL767" s="289"/>
      <c r="AM767" s="289"/>
      <c r="AN767" s="289"/>
      <c r="AO767" s="289"/>
      <c r="AP767" s="289"/>
      <c r="AQ767" s="289"/>
      <c r="AR767" s="289"/>
      <c r="AS767" s="289"/>
      <c r="AT767" s="289"/>
      <c r="AU767" s="289"/>
      <c r="AV767" s="289"/>
      <c r="AW767" s="289"/>
      <c r="AX767" s="289"/>
      <c r="AY767" s="289"/>
    </row>
    <row r="768" spans="1:51" ht="13.5" customHeight="1">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c r="AA768" s="289"/>
      <c r="AB768" s="289"/>
      <c r="AC768" s="289"/>
      <c r="AD768" s="289"/>
      <c r="AE768" s="289"/>
      <c r="AF768" s="289"/>
      <c r="AG768" s="289"/>
      <c r="AH768" s="289"/>
      <c r="AI768" s="289"/>
      <c r="AJ768" s="289"/>
      <c r="AK768" s="289"/>
      <c r="AL768" s="289"/>
      <c r="AM768" s="289"/>
      <c r="AN768" s="289"/>
      <c r="AO768" s="289"/>
      <c r="AP768" s="289"/>
      <c r="AQ768" s="289"/>
      <c r="AR768" s="289"/>
      <c r="AS768" s="289"/>
      <c r="AT768" s="289"/>
      <c r="AU768" s="289"/>
      <c r="AV768" s="289"/>
      <c r="AW768" s="289"/>
      <c r="AX768" s="289"/>
      <c r="AY768" s="289"/>
    </row>
    <row r="769" spans="1:51" ht="13.5" customHeight="1">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c r="AA769" s="289"/>
      <c r="AB769" s="289"/>
      <c r="AC769" s="289"/>
      <c r="AD769" s="289"/>
      <c r="AE769" s="289"/>
      <c r="AF769" s="289"/>
      <c r="AG769" s="289"/>
      <c r="AH769" s="289"/>
      <c r="AI769" s="289"/>
      <c r="AJ769" s="289"/>
      <c r="AK769" s="289"/>
      <c r="AL769" s="289"/>
      <c r="AM769" s="289"/>
      <c r="AN769" s="289"/>
      <c r="AO769" s="289"/>
      <c r="AP769" s="289"/>
      <c r="AQ769" s="289"/>
      <c r="AR769" s="289"/>
      <c r="AS769" s="289"/>
      <c r="AT769" s="289"/>
      <c r="AU769" s="289"/>
      <c r="AV769" s="289"/>
      <c r="AW769" s="289"/>
      <c r="AX769" s="289"/>
      <c r="AY769" s="289"/>
    </row>
    <row r="770" spans="1:51" ht="13.5" customHeight="1">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c r="AA770" s="289"/>
      <c r="AB770" s="289"/>
      <c r="AC770" s="289"/>
      <c r="AD770" s="289"/>
      <c r="AE770" s="289"/>
      <c r="AF770" s="289"/>
      <c r="AG770" s="289"/>
      <c r="AH770" s="289"/>
      <c r="AI770" s="289"/>
      <c r="AJ770" s="289"/>
      <c r="AK770" s="289"/>
      <c r="AL770" s="289"/>
      <c r="AM770" s="289"/>
      <c r="AN770" s="289"/>
      <c r="AO770" s="289"/>
      <c r="AP770" s="289"/>
      <c r="AQ770" s="289"/>
      <c r="AR770" s="289"/>
      <c r="AS770" s="289"/>
      <c r="AT770" s="289"/>
      <c r="AU770" s="289"/>
      <c r="AV770" s="289"/>
      <c r="AW770" s="289"/>
      <c r="AX770" s="289"/>
      <c r="AY770" s="289"/>
    </row>
    <row r="771" spans="1:51" ht="13.5" customHeight="1">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c r="AA771" s="289"/>
      <c r="AB771" s="289"/>
      <c r="AC771" s="289"/>
      <c r="AD771" s="289"/>
      <c r="AE771" s="289"/>
      <c r="AF771" s="289"/>
      <c r="AG771" s="289"/>
      <c r="AH771" s="289"/>
      <c r="AI771" s="289"/>
      <c r="AJ771" s="289"/>
      <c r="AK771" s="289"/>
      <c r="AL771" s="289"/>
      <c r="AM771" s="289"/>
      <c r="AN771" s="289"/>
      <c r="AO771" s="289"/>
      <c r="AP771" s="289"/>
      <c r="AQ771" s="289"/>
      <c r="AR771" s="289"/>
      <c r="AS771" s="289"/>
      <c r="AT771" s="289"/>
      <c r="AU771" s="289"/>
      <c r="AV771" s="289"/>
      <c r="AW771" s="289"/>
      <c r="AX771" s="289"/>
      <c r="AY771" s="289"/>
    </row>
    <row r="772" spans="1:51" ht="13.5" customHeight="1">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c r="AA772" s="289"/>
      <c r="AB772" s="289"/>
      <c r="AC772" s="289"/>
      <c r="AD772" s="289"/>
      <c r="AE772" s="289"/>
      <c r="AF772" s="289"/>
      <c r="AG772" s="289"/>
      <c r="AH772" s="289"/>
      <c r="AI772" s="289"/>
      <c r="AJ772" s="289"/>
      <c r="AK772" s="289"/>
      <c r="AL772" s="289"/>
      <c r="AM772" s="289"/>
      <c r="AN772" s="289"/>
      <c r="AO772" s="289"/>
      <c r="AP772" s="289"/>
      <c r="AQ772" s="289"/>
      <c r="AR772" s="289"/>
      <c r="AS772" s="289"/>
      <c r="AT772" s="289"/>
      <c r="AU772" s="289"/>
      <c r="AV772" s="289"/>
      <c r="AW772" s="289"/>
      <c r="AX772" s="289"/>
      <c r="AY772" s="289"/>
    </row>
    <row r="773" spans="1:51" ht="13.5" customHeight="1">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c r="AA773" s="289"/>
      <c r="AB773" s="289"/>
      <c r="AC773" s="289"/>
      <c r="AD773" s="289"/>
      <c r="AE773" s="289"/>
      <c r="AF773" s="289"/>
      <c r="AG773" s="289"/>
      <c r="AH773" s="289"/>
      <c r="AI773" s="289"/>
      <c r="AJ773" s="289"/>
      <c r="AK773" s="289"/>
      <c r="AL773" s="289"/>
      <c r="AM773" s="289"/>
      <c r="AN773" s="289"/>
      <c r="AO773" s="289"/>
      <c r="AP773" s="289"/>
      <c r="AQ773" s="289"/>
      <c r="AR773" s="289"/>
      <c r="AS773" s="289"/>
      <c r="AT773" s="289"/>
      <c r="AU773" s="289"/>
      <c r="AV773" s="289"/>
      <c r="AW773" s="289"/>
      <c r="AX773" s="289"/>
      <c r="AY773" s="289"/>
    </row>
    <row r="774" spans="1:51" ht="13.5" customHeight="1">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c r="AA774" s="289"/>
      <c r="AB774" s="289"/>
      <c r="AC774" s="289"/>
      <c r="AD774" s="289"/>
      <c r="AE774" s="289"/>
      <c r="AF774" s="289"/>
      <c r="AG774" s="289"/>
      <c r="AH774" s="289"/>
      <c r="AI774" s="289"/>
      <c r="AJ774" s="289"/>
      <c r="AK774" s="289"/>
      <c r="AL774" s="289"/>
      <c r="AM774" s="289"/>
      <c r="AN774" s="289"/>
      <c r="AO774" s="289"/>
      <c r="AP774" s="289"/>
      <c r="AQ774" s="289"/>
      <c r="AR774" s="289"/>
      <c r="AS774" s="289"/>
      <c r="AT774" s="289"/>
      <c r="AU774" s="289"/>
      <c r="AV774" s="289"/>
      <c r="AW774" s="289"/>
      <c r="AX774" s="289"/>
      <c r="AY774" s="289"/>
    </row>
    <row r="775" spans="1:51" ht="13.5" customHeight="1">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c r="AA775" s="289"/>
      <c r="AB775" s="289"/>
      <c r="AC775" s="289"/>
      <c r="AD775" s="289"/>
      <c r="AE775" s="289"/>
      <c r="AF775" s="289"/>
      <c r="AG775" s="289"/>
      <c r="AH775" s="289"/>
      <c r="AI775" s="289"/>
      <c r="AJ775" s="289"/>
      <c r="AK775" s="289"/>
      <c r="AL775" s="289"/>
      <c r="AM775" s="289"/>
      <c r="AN775" s="289"/>
      <c r="AO775" s="289"/>
      <c r="AP775" s="289"/>
      <c r="AQ775" s="289"/>
      <c r="AR775" s="289"/>
      <c r="AS775" s="289"/>
      <c r="AT775" s="289"/>
      <c r="AU775" s="289"/>
      <c r="AV775" s="289"/>
      <c r="AW775" s="289"/>
      <c r="AX775" s="289"/>
      <c r="AY775" s="289"/>
    </row>
    <row r="776" spans="1:51" ht="13.5" customHeight="1">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c r="AA776" s="289"/>
      <c r="AB776" s="289"/>
      <c r="AC776" s="289"/>
      <c r="AD776" s="289"/>
      <c r="AE776" s="289"/>
      <c r="AF776" s="289"/>
      <c r="AG776" s="289"/>
      <c r="AH776" s="289"/>
      <c r="AI776" s="289"/>
      <c r="AJ776" s="289"/>
      <c r="AK776" s="289"/>
      <c r="AL776" s="289"/>
      <c r="AM776" s="289"/>
      <c r="AN776" s="289"/>
      <c r="AO776" s="289"/>
      <c r="AP776" s="289"/>
      <c r="AQ776" s="289"/>
      <c r="AR776" s="289"/>
      <c r="AS776" s="289"/>
      <c r="AT776" s="289"/>
      <c r="AU776" s="289"/>
      <c r="AV776" s="289"/>
      <c r="AW776" s="289"/>
      <c r="AX776" s="289"/>
      <c r="AY776" s="289"/>
    </row>
    <row r="777" spans="1:51" ht="13.5" customHeight="1">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c r="AA777" s="289"/>
      <c r="AB777" s="289"/>
      <c r="AC777" s="289"/>
      <c r="AD777" s="289"/>
      <c r="AE777" s="289"/>
      <c r="AF777" s="289"/>
      <c r="AG777" s="289"/>
      <c r="AH777" s="289"/>
      <c r="AI777" s="289"/>
      <c r="AJ777" s="289"/>
      <c r="AK777" s="289"/>
      <c r="AL777" s="289"/>
      <c r="AM777" s="289"/>
      <c r="AN777" s="289"/>
      <c r="AO777" s="289"/>
      <c r="AP777" s="289"/>
      <c r="AQ777" s="289"/>
      <c r="AR777" s="289"/>
      <c r="AS777" s="289"/>
      <c r="AT777" s="289"/>
      <c r="AU777" s="289"/>
      <c r="AV777" s="289"/>
      <c r="AW777" s="289"/>
      <c r="AX777" s="289"/>
      <c r="AY777" s="289"/>
    </row>
    <row r="778" spans="1:51" ht="13.5" customHeight="1">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c r="AA778" s="289"/>
      <c r="AB778" s="289"/>
      <c r="AC778" s="289"/>
      <c r="AD778" s="289"/>
      <c r="AE778" s="289"/>
      <c r="AF778" s="289"/>
      <c r="AG778" s="289"/>
      <c r="AH778" s="289"/>
      <c r="AI778" s="289"/>
      <c r="AJ778" s="289"/>
      <c r="AK778" s="289"/>
      <c r="AL778" s="289"/>
      <c r="AM778" s="289"/>
      <c r="AN778" s="289"/>
      <c r="AO778" s="289"/>
      <c r="AP778" s="289"/>
      <c r="AQ778" s="289"/>
      <c r="AR778" s="289"/>
      <c r="AS778" s="289"/>
      <c r="AT778" s="289"/>
      <c r="AU778" s="289"/>
      <c r="AV778" s="289"/>
      <c r="AW778" s="289"/>
      <c r="AX778" s="289"/>
      <c r="AY778" s="289"/>
    </row>
    <row r="779" spans="1:51" ht="13.5" customHeight="1">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c r="AA779" s="289"/>
      <c r="AB779" s="289"/>
      <c r="AC779" s="289"/>
      <c r="AD779" s="289"/>
      <c r="AE779" s="289"/>
      <c r="AF779" s="289"/>
      <c r="AG779" s="289"/>
      <c r="AH779" s="289"/>
      <c r="AI779" s="289"/>
      <c r="AJ779" s="289"/>
      <c r="AK779" s="289"/>
      <c r="AL779" s="289"/>
      <c r="AM779" s="289"/>
      <c r="AN779" s="289"/>
      <c r="AO779" s="289"/>
      <c r="AP779" s="289"/>
      <c r="AQ779" s="289"/>
      <c r="AR779" s="289"/>
      <c r="AS779" s="289"/>
      <c r="AT779" s="289"/>
      <c r="AU779" s="289"/>
      <c r="AV779" s="289"/>
      <c r="AW779" s="289"/>
      <c r="AX779" s="289"/>
      <c r="AY779" s="289"/>
    </row>
    <row r="780" spans="1:51" ht="13.5" customHeight="1">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c r="AA780" s="289"/>
      <c r="AB780" s="289"/>
      <c r="AC780" s="289"/>
      <c r="AD780" s="289"/>
      <c r="AE780" s="289"/>
      <c r="AF780" s="289"/>
      <c r="AG780" s="289"/>
      <c r="AH780" s="289"/>
      <c r="AI780" s="289"/>
      <c r="AJ780" s="289"/>
      <c r="AK780" s="289"/>
      <c r="AL780" s="289"/>
      <c r="AM780" s="289"/>
      <c r="AN780" s="289"/>
      <c r="AO780" s="289"/>
      <c r="AP780" s="289"/>
      <c r="AQ780" s="289"/>
      <c r="AR780" s="289"/>
      <c r="AS780" s="289"/>
      <c r="AT780" s="289"/>
      <c r="AU780" s="289"/>
      <c r="AV780" s="289"/>
      <c r="AW780" s="289"/>
      <c r="AX780" s="289"/>
      <c r="AY780" s="289"/>
    </row>
    <row r="781" spans="1:51" ht="13.5" customHeight="1">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c r="AA781" s="289"/>
      <c r="AB781" s="289"/>
      <c r="AC781" s="289"/>
      <c r="AD781" s="289"/>
      <c r="AE781" s="289"/>
      <c r="AF781" s="289"/>
      <c r="AG781" s="289"/>
      <c r="AH781" s="289"/>
      <c r="AI781" s="289"/>
      <c r="AJ781" s="289"/>
      <c r="AK781" s="289"/>
      <c r="AL781" s="289"/>
      <c r="AM781" s="289"/>
      <c r="AN781" s="289"/>
      <c r="AO781" s="289"/>
      <c r="AP781" s="289"/>
      <c r="AQ781" s="289"/>
      <c r="AR781" s="289"/>
      <c r="AS781" s="289"/>
      <c r="AT781" s="289"/>
      <c r="AU781" s="289"/>
      <c r="AV781" s="289"/>
      <c r="AW781" s="289"/>
      <c r="AX781" s="289"/>
      <c r="AY781" s="289"/>
    </row>
    <row r="782" spans="1:51" ht="13.5" customHeight="1">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c r="AA782" s="289"/>
      <c r="AB782" s="289"/>
      <c r="AC782" s="289"/>
      <c r="AD782" s="289"/>
      <c r="AE782" s="289"/>
      <c r="AF782" s="289"/>
      <c r="AG782" s="289"/>
      <c r="AH782" s="289"/>
      <c r="AI782" s="289"/>
      <c r="AJ782" s="289"/>
      <c r="AK782" s="289"/>
      <c r="AL782" s="289"/>
      <c r="AM782" s="289"/>
      <c r="AN782" s="289"/>
      <c r="AO782" s="289"/>
      <c r="AP782" s="289"/>
      <c r="AQ782" s="289"/>
      <c r="AR782" s="289"/>
      <c r="AS782" s="289"/>
      <c r="AT782" s="289"/>
      <c r="AU782" s="289"/>
      <c r="AV782" s="289"/>
      <c r="AW782" s="289"/>
      <c r="AX782" s="289"/>
      <c r="AY782" s="289"/>
    </row>
    <row r="783" spans="1:51" ht="13.5" customHeight="1">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c r="AA783" s="289"/>
      <c r="AB783" s="289"/>
      <c r="AC783" s="289"/>
      <c r="AD783" s="289"/>
      <c r="AE783" s="289"/>
      <c r="AF783" s="289"/>
      <c r="AG783" s="289"/>
      <c r="AH783" s="289"/>
      <c r="AI783" s="289"/>
      <c r="AJ783" s="289"/>
      <c r="AK783" s="289"/>
      <c r="AL783" s="289"/>
      <c r="AM783" s="289"/>
      <c r="AN783" s="289"/>
      <c r="AO783" s="289"/>
      <c r="AP783" s="289"/>
      <c r="AQ783" s="289"/>
      <c r="AR783" s="289"/>
      <c r="AS783" s="289"/>
      <c r="AT783" s="289"/>
      <c r="AU783" s="289"/>
      <c r="AV783" s="289"/>
      <c r="AW783" s="289"/>
      <c r="AX783" s="289"/>
      <c r="AY783" s="289"/>
    </row>
    <row r="784" spans="1:51" ht="13.5" customHeight="1">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c r="AA784" s="289"/>
      <c r="AB784" s="289"/>
      <c r="AC784" s="289"/>
      <c r="AD784" s="289"/>
      <c r="AE784" s="289"/>
      <c r="AF784" s="289"/>
      <c r="AG784" s="289"/>
      <c r="AH784" s="289"/>
      <c r="AI784" s="289"/>
      <c r="AJ784" s="289"/>
      <c r="AK784" s="289"/>
      <c r="AL784" s="289"/>
      <c r="AM784" s="289"/>
      <c r="AN784" s="289"/>
      <c r="AO784" s="289"/>
      <c r="AP784" s="289"/>
      <c r="AQ784" s="289"/>
      <c r="AR784" s="289"/>
      <c r="AS784" s="289"/>
      <c r="AT784" s="289"/>
      <c r="AU784" s="289"/>
      <c r="AV784" s="289"/>
      <c r="AW784" s="289"/>
      <c r="AX784" s="289"/>
      <c r="AY784" s="289"/>
    </row>
    <row r="785" spans="1:51" ht="13.5" customHeight="1">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c r="AA785" s="289"/>
      <c r="AB785" s="289"/>
      <c r="AC785" s="289"/>
      <c r="AD785" s="289"/>
      <c r="AE785" s="289"/>
      <c r="AF785" s="289"/>
      <c r="AG785" s="289"/>
      <c r="AH785" s="289"/>
      <c r="AI785" s="289"/>
      <c r="AJ785" s="289"/>
      <c r="AK785" s="289"/>
      <c r="AL785" s="289"/>
      <c r="AM785" s="289"/>
      <c r="AN785" s="289"/>
      <c r="AO785" s="289"/>
      <c r="AP785" s="289"/>
      <c r="AQ785" s="289"/>
      <c r="AR785" s="289"/>
      <c r="AS785" s="289"/>
      <c r="AT785" s="289"/>
      <c r="AU785" s="289"/>
      <c r="AV785" s="289"/>
      <c r="AW785" s="289"/>
      <c r="AX785" s="289"/>
      <c r="AY785" s="289"/>
    </row>
    <row r="786" spans="1:51" ht="13.5" customHeight="1">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c r="AA786" s="289"/>
      <c r="AB786" s="289"/>
      <c r="AC786" s="289"/>
      <c r="AD786" s="289"/>
      <c r="AE786" s="289"/>
      <c r="AF786" s="289"/>
      <c r="AG786" s="289"/>
      <c r="AH786" s="289"/>
      <c r="AI786" s="289"/>
      <c r="AJ786" s="289"/>
      <c r="AK786" s="289"/>
      <c r="AL786" s="289"/>
      <c r="AM786" s="289"/>
      <c r="AN786" s="289"/>
      <c r="AO786" s="289"/>
      <c r="AP786" s="289"/>
      <c r="AQ786" s="289"/>
      <c r="AR786" s="289"/>
      <c r="AS786" s="289"/>
      <c r="AT786" s="289"/>
      <c r="AU786" s="289"/>
      <c r="AV786" s="289"/>
      <c r="AW786" s="289"/>
      <c r="AX786" s="289"/>
      <c r="AY786" s="289"/>
    </row>
    <row r="787" spans="1:51" ht="13.5" customHeight="1">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c r="AA787" s="289"/>
      <c r="AB787" s="289"/>
      <c r="AC787" s="289"/>
      <c r="AD787" s="289"/>
      <c r="AE787" s="289"/>
      <c r="AF787" s="289"/>
      <c r="AG787" s="289"/>
      <c r="AH787" s="289"/>
      <c r="AI787" s="289"/>
      <c r="AJ787" s="289"/>
      <c r="AK787" s="289"/>
      <c r="AL787" s="289"/>
      <c r="AM787" s="289"/>
      <c r="AN787" s="289"/>
      <c r="AO787" s="289"/>
      <c r="AP787" s="289"/>
      <c r="AQ787" s="289"/>
      <c r="AR787" s="289"/>
      <c r="AS787" s="289"/>
      <c r="AT787" s="289"/>
      <c r="AU787" s="289"/>
      <c r="AV787" s="289"/>
      <c r="AW787" s="289"/>
      <c r="AX787" s="289"/>
      <c r="AY787" s="289"/>
    </row>
    <row r="788" spans="1:51" ht="13.5" customHeight="1">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c r="AA788" s="289"/>
      <c r="AB788" s="289"/>
      <c r="AC788" s="289"/>
      <c r="AD788" s="289"/>
      <c r="AE788" s="289"/>
      <c r="AF788" s="289"/>
      <c r="AG788" s="289"/>
      <c r="AH788" s="289"/>
      <c r="AI788" s="289"/>
      <c r="AJ788" s="289"/>
      <c r="AK788" s="289"/>
      <c r="AL788" s="289"/>
      <c r="AM788" s="289"/>
      <c r="AN788" s="289"/>
      <c r="AO788" s="289"/>
      <c r="AP788" s="289"/>
      <c r="AQ788" s="289"/>
      <c r="AR788" s="289"/>
      <c r="AS788" s="289"/>
      <c r="AT788" s="289"/>
      <c r="AU788" s="289"/>
      <c r="AV788" s="289"/>
      <c r="AW788" s="289"/>
      <c r="AX788" s="289"/>
      <c r="AY788" s="289"/>
    </row>
    <row r="789" spans="1:51" ht="13.5" customHeight="1">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c r="AA789" s="289"/>
      <c r="AB789" s="289"/>
      <c r="AC789" s="289"/>
      <c r="AD789" s="289"/>
      <c r="AE789" s="289"/>
      <c r="AF789" s="289"/>
      <c r="AG789" s="289"/>
      <c r="AH789" s="289"/>
      <c r="AI789" s="289"/>
      <c r="AJ789" s="289"/>
      <c r="AK789" s="289"/>
      <c r="AL789" s="289"/>
      <c r="AM789" s="289"/>
      <c r="AN789" s="289"/>
      <c r="AO789" s="289"/>
      <c r="AP789" s="289"/>
      <c r="AQ789" s="289"/>
      <c r="AR789" s="289"/>
      <c r="AS789" s="289"/>
      <c r="AT789" s="289"/>
      <c r="AU789" s="289"/>
      <c r="AV789" s="289"/>
      <c r="AW789" s="289"/>
      <c r="AX789" s="289"/>
      <c r="AY789" s="289"/>
    </row>
    <row r="790" spans="1:51" ht="13.5" customHeight="1">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c r="AA790" s="289"/>
      <c r="AB790" s="289"/>
      <c r="AC790" s="289"/>
      <c r="AD790" s="289"/>
      <c r="AE790" s="289"/>
      <c r="AF790" s="289"/>
      <c r="AG790" s="289"/>
      <c r="AH790" s="289"/>
      <c r="AI790" s="289"/>
      <c r="AJ790" s="289"/>
      <c r="AK790" s="289"/>
      <c r="AL790" s="289"/>
      <c r="AM790" s="289"/>
      <c r="AN790" s="289"/>
      <c r="AO790" s="289"/>
      <c r="AP790" s="289"/>
      <c r="AQ790" s="289"/>
      <c r="AR790" s="289"/>
      <c r="AS790" s="289"/>
      <c r="AT790" s="289"/>
      <c r="AU790" s="289"/>
      <c r="AV790" s="289"/>
      <c r="AW790" s="289"/>
      <c r="AX790" s="289"/>
      <c r="AY790" s="289"/>
    </row>
    <row r="791" spans="1:51" ht="13.5" customHeight="1">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c r="AA791" s="289"/>
      <c r="AB791" s="289"/>
      <c r="AC791" s="289"/>
      <c r="AD791" s="289"/>
      <c r="AE791" s="289"/>
      <c r="AF791" s="289"/>
      <c r="AG791" s="289"/>
      <c r="AH791" s="289"/>
      <c r="AI791" s="289"/>
      <c r="AJ791" s="289"/>
      <c r="AK791" s="289"/>
      <c r="AL791" s="289"/>
      <c r="AM791" s="289"/>
      <c r="AN791" s="289"/>
      <c r="AO791" s="289"/>
      <c r="AP791" s="289"/>
      <c r="AQ791" s="289"/>
      <c r="AR791" s="289"/>
      <c r="AS791" s="289"/>
      <c r="AT791" s="289"/>
      <c r="AU791" s="289"/>
      <c r="AV791" s="289"/>
      <c r="AW791" s="289"/>
      <c r="AX791" s="289"/>
      <c r="AY791" s="289"/>
    </row>
    <row r="792" spans="1:51" ht="13.5" customHeight="1">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c r="AA792" s="289"/>
      <c r="AB792" s="289"/>
      <c r="AC792" s="289"/>
      <c r="AD792" s="289"/>
      <c r="AE792" s="289"/>
      <c r="AF792" s="289"/>
      <c r="AG792" s="289"/>
      <c r="AH792" s="289"/>
      <c r="AI792" s="289"/>
      <c r="AJ792" s="289"/>
      <c r="AK792" s="289"/>
      <c r="AL792" s="289"/>
      <c r="AM792" s="289"/>
      <c r="AN792" s="289"/>
      <c r="AO792" s="289"/>
      <c r="AP792" s="289"/>
      <c r="AQ792" s="289"/>
      <c r="AR792" s="289"/>
      <c r="AS792" s="289"/>
      <c r="AT792" s="289"/>
      <c r="AU792" s="289"/>
      <c r="AV792" s="289"/>
      <c r="AW792" s="289"/>
      <c r="AX792" s="289"/>
      <c r="AY792" s="289"/>
    </row>
    <row r="793" spans="1:51" ht="13.5" customHeight="1">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c r="AA793" s="289"/>
      <c r="AB793" s="289"/>
      <c r="AC793" s="289"/>
      <c r="AD793" s="289"/>
      <c r="AE793" s="289"/>
      <c r="AF793" s="289"/>
      <c r="AG793" s="289"/>
      <c r="AH793" s="289"/>
      <c r="AI793" s="289"/>
      <c r="AJ793" s="289"/>
      <c r="AK793" s="289"/>
      <c r="AL793" s="289"/>
      <c r="AM793" s="289"/>
      <c r="AN793" s="289"/>
      <c r="AO793" s="289"/>
      <c r="AP793" s="289"/>
      <c r="AQ793" s="289"/>
      <c r="AR793" s="289"/>
      <c r="AS793" s="289"/>
      <c r="AT793" s="289"/>
      <c r="AU793" s="289"/>
      <c r="AV793" s="289"/>
      <c r="AW793" s="289"/>
      <c r="AX793" s="289"/>
      <c r="AY793" s="289"/>
    </row>
    <row r="794" spans="1:51" ht="13.5" customHeight="1">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c r="AA794" s="289"/>
      <c r="AB794" s="289"/>
      <c r="AC794" s="289"/>
      <c r="AD794" s="289"/>
      <c r="AE794" s="289"/>
      <c r="AF794" s="289"/>
      <c r="AG794" s="289"/>
      <c r="AH794" s="289"/>
      <c r="AI794" s="289"/>
      <c r="AJ794" s="289"/>
      <c r="AK794" s="289"/>
      <c r="AL794" s="289"/>
      <c r="AM794" s="289"/>
      <c r="AN794" s="289"/>
      <c r="AO794" s="289"/>
      <c r="AP794" s="289"/>
      <c r="AQ794" s="289"/>
      <c r="AR794" s="289"/>
      <c r="AS794" s="289"/>
      <c r="AT794" s="289"/>
      <c r="AU794" s="289"/>
      <c r="AV794" s="289"/>
      <c r="AW794" s="289"/>
      <c r="AX794" s="289"/>
      <c r="AY794" s="289"/>
    </row>
    <row r="795" spans="1:51" ht="13.5" customHeight="1">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c r="AA795" s="289"/>
      <c r="AB795" s="289"/>
      <c r="AC795" s="289"/>
      <c r="AD795" s="289"/>
      <c r="AE795" s="289"/>
      <c r="AF795" s="289"/>
      <c r="AG795" s="289"/>
      <c r="AH795" s="289"/>
      <c r="AI795" s="289"/>
      <c r="AJ795" s="289"/>
      <c r="AK795" s="289"/>
      <c r="AL795" s="289"/>
      <c r="AM795" s="289"/>
      <c r="AN795" s="289"/>
      <c r="AO795" s="289"/>
      <c r="AP795" s="289"/>
      <c r="AQ795" s="289"/>
      <c r="AR795" s="289"/>
      <c r="AS795" s="289"/>
      <c r="AT795" s="289"/>
      <c r="AU795" s="289"/>
      <c r="AV795" s="289"/>
      <c r="AW795" s="289"/>
      <c r="AX795" s="289"/>
      <c r="AY795" s="289"/>
    </row>
    <row r="796" spans="1:51" ht="13.5" customHeight="1">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c r="AA796" s="289"/>
      <c r="AB796" s="289"/>
      <c r="AC796" s="289"/>
      <c r="AD796" s="289"/>
      <c r="AE796" s="289"/>
      <c r="AF796" s="289"/>
      <c r="AG796" s="289"/>
      <c r="AH796" s="289"/>
      <c r="AI796" s="289"/>
      <c r="AJ796" s="289"/>
      <c r="AK796" s="289"/>
      <c r="AL796" s="289"/>
      <c r="AM796" s="289"/>
      <c r="AN796" s="289"/>
      <c r="AO796" s="289"/>
      <c r="AP796" s="289"/>
      <c r="AQ796" s="289"/>
      <c r="AR796" s="289"/>
      <c r="AS796" s="289"/>
      <c r="AT796" s="289"/>
      <c r="AU796" s="289"/>
      <c r="AV796" s="289"/>
      <c r="AW796" s="289"/>
      <c r="AX796" s="289"/>
      <c r="AY796" s="289"/>
    </row>
    <row r="797" spans="1:51" ht="13.5" customHeight="1">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c r="AA797" s="289"/>
      <c r="AB797" s="289"/>
      <c r="AC797" s="289"/>
      <c r="AD797" s="289"/>
      <c r="AE797" s="289"/>
      <c r="AF797" s="289"/>
      <c r="AG797" s="289"/>
      <c r="AH797" s="289"/>
      <c r="AI797" s="289"/>
      <c r="AJ797" s="289"/>
      <c r="AK797" s="289"/>
      <c r="AL797" s="289"/>
      <c r="AM797" s="289"/>
      <c r="AN797" s="289"/>
      <c r="AO797" s="289"/>
      <c r="AP797" s="289"/>
      <c r="AQ797" s="289"/>
      <c r="AR797" s="289"/>
      <c r="AS797" s="289"/>
      <c r="AT797" s="289"/>
      <c r="AU797" s="289"/>
      <c r="AV797" s="289"/>
      <c r="AW797" s="289"/>
      <c r="AX797" s="289"/>
      <c r="AY797" s="289"/>
    </row>
    <row r="798" spans="1:51" ht="13.5" customHeight="1">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c r="AA798" s="289"/>
      <c r="AB798" s="289"/>
      <c r="AC798" s="289"/>
      <c r="AD798" s="289"/>
      <c r="AE798" s="289"/>
      <c r="AF798" s="289"/>
      <c r="AG798" s="289"/>
      <c r="AH798" s="289"/>
      <c r="AI798" s="289"/>
      <c r="AJ798" s="289"/>
      <c r="AK798" s="289"/>
      <c r="AL798" s="289"/>
      <c r="AM798" s="289"/>
      <c r="AN798" s="289"/>
      <c r="AO798" s="289"/>
      <c r="AP798" s="289"/>
      <c r="AQ798" s="289"/>
      <c r="AR798" s="289"/>
      <c r="AS798" s="289"/>
      <c r="AT798" s="289"/>
      <c r="AU798" s="289"/>
      <c r="AV798" s="289"/>
      <c r="AW798" s="289"/>
      <c r="AX798" s="289"/>
      <c r="AY798" s="289"/>
    </row>
    <row r="799" spans="1:51" ht="13.5" customHeight="1">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c r="AA799" s="289"/>
      <c r="AB799" s="289"/>
      <c r="AC799" s="289"/>
      <c r="AD799" s="289"/>
      <c r="AE799" s="289"/>
      <c r="AF799" s="289"/>
      <c r="AG799" s="289"/>
      <c r="AH799" s="289"/>
      <c r="AI799" s="289"/>
      <c r="AJ799" s="289"/>
      <c r="AK799" s="289"/>
      <c r="AL799" s="289"/>
      <c r="AM799" s="289"/>
      <c r="AN799" s="289"/>
      <c r="AO799" s="289"/>
      <c r="AP799" s="289"/>
      <c r="AQ799" s="289"/>
      <c r="AR799" s="289"/>
      <c r="AS799" s="289"/>
      <c r="AT799" s="289"/>
      <c r="AU799" s="289"/>
      <c r="AV799" s="289"/>
      <c r="AW799" s="289"/>
      <c r="AX799" s="289"/>
      <c r="AY799" s="289"/>
    </row>
    <row r="800" spans="1:51" ht="13.5" customHeight="1">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c r="AA800" s="289"/>
      <c r="AB800" s="289"/>
      <c r="AC800" s="289"/>
      <c r="AD800" s="289"/>
      <c r="AE800" s="289"/>
      <c r="AF800" s="289"/>
      <c r="AG800" s="289"/>
      <c r="AH800" s="289"/>
      <c r="AI800" s="289"/>
      <c r="AJ800" s="289"/>
      <c r="AK800" s="289"/>
      <c r="AL800" s="289"/>
      <c r="AM800" s="289"/>
      <c r="AN800" s="289"/>
      <c r="AO800" s="289"/>
      <c r="AP800" s="289"/>
      <c r="AQ800" s="289"/>
      <c r="AR800" s="289"/>
      <c r="AS800" s="289"/>
      <c r="AT800" s="289"/>
      <c r="AU800" s="289"/>
      <c r="AV800" s="289"/>
      <c r="AW800" s="289"/>
      <c r="AX800" s="289"/>
      <c r="AY800" s="289"/>
    </row>
    <row r="801" spans="1:51" ht="13.5" customHeight="1">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c r="AA801" s="289"/>
      <c r="AB801" s="289"/>
      <c r="AC801" s="289"/>
      <c r="AD801" s="289"/>
      <c r="AE801" s="289"/>
      <c r="AF801" s="289"/>
      <c r="AG801" s="289"/>
      <c r="AH801" s="289"/>
      <c r="AI801" s="289"/>
      <c r="AJ801" s="289"/>
      <c r="AK801" s="289"/>
      <c r="AL801" s="289"/>
      <c r="AM801" s="289"/>
      <c r="AN801" s="289"/>
      <c r="AO801" s="289"/>
      <c r="AP801" s="289"/>
      <c r="AQ801" s="289"/>
      <c r="AR801" s="289"/>
      <c r="AS801" s="289"/>
      <c r="AT801" s="289"/>
      <c r="AU801" s="289"/>
      <c r="AV801" s="289"/>
      <c r="AW801" s="289"/>
      <c r="AX801" s="289"/>
      <c r="AY801" s="289"/>
    </row>
    <row r="802" spans="1:51" ht="13.5" customHeight="1">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c r="AA802" s="289"/>
      <c r="AB802" s="289"/>
      <c r="AC802" s="289"/>
      <c r="AD802" s="289"/>
      <c r="AE802" s="289"/>
      <c r="AF802" s="289"/>
      <c r="AG802" s="289"/>
      <c r="AH802" s="289"/>
      <c r="AI802" s="289"/>
      <c r="AJ802" s="289"/>
      <c r="AK802" s="289"/>
      <c r="AL802" s="289"/>
      <c r="AM802" s="289"/>
      <c r="AN802" s="289"/>
      <c r="AO802" s="289"/>
      <c r="AP802" s="289"/>
      <c r="AQ802" s="289"/>
      <c r="AR802" s="289"/>
      <c r="AS802" s="289"/>
      <c r="AT802" s="289"/>
      <c r="AU802" s="289"/>
      <c r="AV802" s="289"/>
      <c r="AW802" s="289"/>
      <c r="AX802" s="289"/>
      <c r="AY802" s="289"/>
    </row>
    <row r="803" spans="1:51" ht="13.5" customHeight="1">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c r="AA803" s="289"/>
      <c r="AB803" s="289"/>
      <c r="AC803" s="289"/>
      <c r="AD803" s="289"/>
      <c r="AE803" s="289"/>
      <c r="AF803" s="289"/>
      <c r="AG803" s="289"/>
      <c r="AH803" s="289"/>
      <c r="AI803" s="289"/>
      <c r="AJ803" s="289"/>
      <c r="AK803" s="289"/>
      <c r="AL803" s="289"/>
      <c r="AM803" s="289"/>
      <c r="AN803" s="289"/>
      <c r="AO803" s="289"/>
      <c r="AP803" s="289"/>
      <c r="AQ803" s="289"/>
      <c r="AR803" s="289"/>
      <c r="AS803" s="289"/>
      <c r="AT803" s="289"/>
      <c r="AU803" s="289"/>
      <c r="AV803" s="289"/>
      <c r="AW803" s="289"/>
      <c r="AX803" s="289"/>
      <c r="AY803" s="289"/>
    </row>
    <row r="804" spans="1:51" ht="13.5" customHeight="1">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c r="AA804" s="289"/>
      <c r="AB804" s="289"/>
      <c r="AC804" s="289"/>
      <c r="AD804" s="289"/>
      <c r="AE804" s="289"/>
      <c r="AF804" s="289"/>
      <c r="AG804" s="289"/>
      <c r="AH804" s="289"/>
      <c r="AI804" s="289"/>
      <c r="AJ804" s="289"/>
      <c r="AK804" s="289"/>
      <c r="AL804" s="289"/>
      <c r="AM804" s="289"/>
      <c r="AN804" s="289"/>
      <c r="AO804" s="289"/>
      <c r="AP804" s="289"/>
      <c r="AQ804" s="289"/>
      <c r="AR804" s="289"/>
      <c r="AS804" s="289"/>
      <c r="AT804" s="289"/>
      <c r="AU804" s="289"/>
      <c r="AV804" s="289"/>
      <c r="AW804" s="289"/>
      <c r="AX804" s="289"/>
      <c r="AY804" s="289"/>
    </row>
    <row r="805" spans="1:51" ht="13.5" customHeight="1">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c r="AA805" s="289"/>
      <c r="AB805" s="289"/>
      <c r="AC805" s="289"/>
      <c r="AD805" s="289"/>
      <c r="AE805" s="289"/>
      <c r="AF805" s="289"/>
      <c r="AG805" s="289"/>
      <c r="AH805" s="289"/>
      <c r="AI805" s="289"/>
      <c r="AJ805" s="289"/>
      <c r="AK805" s="289"/>
      <c r="AL805" s="289"/>
      <c r="AM805" s="289"/>
      <c r="AN805" s="289"/>
      <c r="AO805" s="289"/>
      <c r="AP805" s="289"/>
      <c r="AQ805" s="289"/>
      <c r="AR805" s="289"/>
      <c r="AS805" s="289"/>
      <c r="AT805" s="289"/>
      <c r="AU805" s="289"/>
      <c r="AV805" s="289"/>
      <c r="AW805" s="289"/>
      <c r="AX805" s="289"/>
      <c r="AY805" s="289"/>
    </row>
    <row r="806" spans="1:51" ht="13.5" customHeight="1">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c r="AA806" s="289"/>
      <c r="AB806" s="289"/>
      <c r="AC806" s="289"/>
      <c r="AD806" s="289"/>
      <c r="AE806" s="289"/>
      <c r="AF806" s="289"/>
      <c r="AG806" s="289"/>
      <c r="AH806" s="289"/>
      <c r="AI806" s="289"/>
      <c r="AJ806" s="289"/>
      <c r="AK806" s="289"/>
      <c r="AL806" s="289"/>
      <c r="AM806" s="289"/>
      <c r="AN806" s="289"/>
      <c r="AO806" s="289"/>
      <c r="AP806" s="289"/>
      <c r="AQ806" s="289"/>
      <c r="AR806" s="289"/>
      <c r="AS806" s="289"/>
      <c r="AT806" s="289"/>
      <c r="AU806" s="289"/>
      <c r="AV806" s="289"/>
      <c r="AW806" s="289"/>
      <c r="AX806" s="289"/>
      <c r="AY806" s="289"/>
    </row>
    <row r="807" spans="1:51" ht="13.5" customHeight="1">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c r="AA807" s="289"/>
      <c r="AB807" s="289"/>
      <c r="AC807" s="289"/>
      <c r="AD807" s="289"/>
      <c r="AE807" s="289"/>
      <c r="AF807" s="289"/>
      <c r="AG807" s="289"/>
      <c r="AH807" s="289"/>
      <c r="AI807" s="289"/>
      <c r="AJ807" s="289"/>
      <c r="AK807" s="289"/>
      <c r="AL807" s="289"/>
      <c r="AM807" s="289"/>
      <c r="AN807" s="289"/>
      <c r="AO807" s="289"/>
      <c r="AP807" s="289"/>
      <c r="AQ807" s="289"/>
      <c r="AR807" s="289"/>
      <c r="AS807" s="289"/>
      <c r="AT807" s="289"/>
      <c r="AU807" s="289"/>
      <c r="AV807" s="289"/>
      <c r="AW807" s="289"/>
      <c r="AX807" s="289"/>
      <c r="AY807" s="289"/>
    </row>
    <row r="808" spans="1:51" ht="13.5" customHeight="1">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c r="AA808" s="289"/>
      <c r="AB808" s="289"/>
      <c r="AC808" s="289"/>
      <c r="AD808" s="289"/>
      <c r="AE808" s="289"/>
      <c r="AF808" s="289"/>
      <c r="AG808" s="289"/>
      <c r="AH808" s="289"/>
      <c r="AI808" s="289"/>
      <c r="AJ808" s="289"/>
      <c r="AK808" s="289"/>
      <c r="AL808" s="289"/>
      <c r="AM808" s="289"/>
      <c r="AN808" s="289"/>
      <c r="AO808" s="289"/>
      <c r="AP808" s="289"/>
      <c r="AQ808" s="289"/>
      <c r="AR808" s="289"/>
      <c r="AS808" s="289"/>
      <c r="AT808" s="289"/>
      <c r="AU808" s="289"/>
      <c r="AV808" s="289"/>
      <c r="AW808" s="289"/>
      <c r="AX808" s="289"/>
      <c r="AY808" s="289"/>
    </row>
    <row r="809" spans="1:51" ht="13.5" customHeight="1">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c r="AA809" s="289"/>
      <c r="AB809" s="289"/>
      <c r="AC809" s="289"/>
      <c r="AD809" s="289"/>
      <c r="AE809" s="289"/>
      <c r="AF809" s="289"/>
      <c r="AG809" s="289"/>
      <c r="AH809" s="289"/>
      <c r="AI809" s="289"/>
      <c r="AJ809" s="289"/>
      <c r="AK809" s="289"/>
      <c r="AL809" s="289"/>
      <c r="AM809" s="289"/>
      <c r="AN809" s="289"/>
      <c r="AO809" s="289"/>
      <c r="AP809" s="289"/>
      <c r="AQ809" s="289"/>
      <c r="AR809" s="289"/>
      <c r="AS809" s="289"/>
      <c r="AT809" s="289"/>
      <c r="AU809" s="289"/>
      <c r="AV809" s="289"/>
      <c r="AW809" s="289"/>
      <c r="AX809" s="289"/>
      <c r="AY809" s="289"/>
    </row>
    <row r="810" spans="1:51" ht="13.5" customHeight="1">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c r="AA810" s="289"/>
      <c r="AB810" s="289"/>
      <c r="AC810" s="289"/>
      <c r="AD810" s="289"/>
      <c r="AE810" s="289"/>
      <c r="AF810" s="289"/>
      <c r="AG810" s="289"/>
      <c r="AH810" s="289"/>
      <c r="AI810" s="289"/>
      <c r="AJ810" s="289"/>
      <c r="AK810" s="289"/>
      <c r="AL810" s="289"/>
      <c r="AM810" s="289"/>
      <c r="AN810" s="289"/>
      <c r="AO810" s="289"/>
      <c r="AP810" s="289"/>
      <c r="AQ810" s="289"/>
      <c r="AR810" s="289"/>
      <c r="AS810" s="289"/>
      <c r="AT810" s="289"/>
      <c r="AU810" s="289"/>
      <c r="AV810" s="289"/>
      <c r="AW810" s="289"/>
      <c r="AX810" s="289"/>
      <c r="AY810" s="289"/>
    </row>
    <row r="811" spans="1:51" ht="13.5" customHeight="1">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c r="AA811" s="289"/>
      <c r="AB811" s="289"/>
      <c r="AC811" s="289"/>
      <c r="AD811" s="289"/>
      <c r="AE811" s="289"/>
      <c r="AF811" s="289"/>
      <c r="AG811" s="289"/>
      <c r="AH811" s="289"/>
      <c r="AI811" s="289"/>
      <c r="AJ811" s="289"/>
      <c r="AK811" s="289"/>
      <c r="AL811" s="289"/>
      <c r="AM811" s="289"/>
      <c r="AN811" s="289"/>
      <c r="AO811" s="289"/>
      <c r="AP811" s="289"/>
      <c r="AQ811" s="289"/>
      <c r="AR811" s="289"/>
      <c r="AS811" s="289"/>
      <c r="AT811" s="289"/>
      <c r="AU811" s="289"/>
      <c r="AV811" s="289"/>
      <c r="AW811" s="289"/>
      <c r="AX811" s="289"/>
      <c r="AY811" s="289"/>
    </row>
    <row r="812" spans="1:51" ht="13.5" customHeight="1">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c r="AA812" s="289"/>
      <c r="AB812" s="289"/>
      <c r="AC812" s="289"/>
      <c r="AD812" s="289"/>
      <c r="AE812" s="289"/>
      <c r="AF812" s="289"/>
      <c r="AG812" s="289"/>
      <c r="AH812" s="289"/>
      <c r="AI812" s="289"/>
      <c r="AJ812" s="289"/>
      <c r="AK812" s="289"/>
      <c r="AL812" s="289"/>
      <c r="AM812" s="289"/>
      <c r="AN812" s="289"/>
      <c r="AO812" s="289"/>
      <c r="AP812" s="289"/>
      <c r="AQ812" s="289"/>
      <c r="AR812" s="289"/>
      <c r="AS812" s="289"/>
      <c r="AT812" s="289"/>
      <c r="AU812" s="289"/>
      <c r="AV812" s="289"/>
      <c r="AW812" s="289"/>
      <c r="AX812" s="289"/>
      <c r="AY812" s="289"/>
    </row>
    <row r="813" spans="1:51" ht="13.5" customHeight="1">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c r="AA813" s="289"/>
      <c r="AB813" s="289"/>
      <c r="AC813" s="289"/>
      <c r="AD813" s="289"/>
      <c r="AE813" s="289"/>
      <c r="AF813" s="289"/>
      <c r="AG813" s="289"/>
      <c r="AH813" s="289"/>
      <c r="AI813" s="289"/>
      <c r="AJ813" s="289"/>
      <c r="AK813" s="289"/>
      <c r="AL813" s="289"/>
      <c r="AM813" s="289"/>
      <c r="AN813" s="289"/>
      <c r="AO813" s="289"/>
      <c r="AP813" s="289"/>
      <c r="AQ813" s="289"/>
      <c r="AR813" s="289"/>
      <c r="AS813" s="289"/>
      <c r="AT813" s="289"/>
      <c r="AU813" s="289"/>
      <c r="AV813" s="289"/>
      <c r="AW813" s="289"/>
      <c r="AX813" s="289"/>
      <c r="AY813" s="289"/>
    </row>
    <row r="814" spans="1:51" ht="13.5" customHeight="1">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c r="AA814" s="289"/>
      <c r="AB814" s="289"/>
      <c r="AC814" s="289"/>
      <c r="AD814" s="289"/>
      <c r="AE814" s="289"/>
      <c r="AF814" s="289"/>
      <c r="AG814" s="289"/>
      <c r="AH814" s="289"/>
      <c r="AI814" s="289"/>
      <c r="AJ814" s="289"/>
      <c r="AK814" s="289"/>
      <c r="AL814" s="289"/>
      <c r="AM814" s="289"/>
      <c r="AN814" s="289"/>
      <c r="AO814" s="289"/>
      <c r="AP814" s="289"/>
      <c r="AQ814" s="289"/>
      <c r="AR814" s="289"/>
      <c r="AS814" s="289"/>
      <c r="AT814" s="289"/>
      <c r="AU814" s="289"/>
      <c r="AV814" s="289"/>
      <c r="AW814" s="289"/>
      <c r="AX814" s="289"/>
      <c r="AY814" s="289"/>
    </row>
    <row r="815" spans="1:51" ht="13.5" customHeight="1">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c r="AA815" s="289"/>
      <c r="AB815" s="289"/>
      <c r="AC815" s="289"/>
      <c r="AD815" s="289"/>
      <c r="AE815" s="289"/>
      <c r="AF815" s="289"/>
      <c r="AG815" s="289"/>
      <c r="AH815" s="289"/>
      <c r="AI815" s="289"/>
      <c r="AJ815" s="289"/>
      <c r="AK815" s="289"/>
      <c r="AL815" s="289"/>
      <c r="AM815" s="289"/>
      <c r="AN815" s="289"/>
      <c r="AO815" s="289"/>
      <c r="AP815" s="289"/>
      <c r="AQ815" s="289"/>
      <c r="AR815" s="289"/>
      <c r="AS815" s="289"/>
      <c r="AT815" s="289"/>
      <c r="AU815" s="289"/>
      <c r="AV815" s="289"/>
      <c r="AW815" s="289"/>
      <c r="AX815" s="289"/>
      <c r="AY815" s="289"/>
    </row>
    <row r="816" spans="1:51" ht="13.5" customHeight="1">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c r="AA816" s="289"/>
      <c r="AB816" s="289"/>
      <c r="AC816" s="289"/>
      <c r="AD816" s="289"/>
      <c r="AE816" s="289"/>
      <c r="AF816" s="289"/>
      <c r="AG816" s="289"/>
      <c r="AH816" s="289"/>
      <c r="AI816" s="289"/>
      <c r="AJ816" s="289"/>
      <c r="AK816" s="289"/>
      <c r="AL816" s="289"/>
      <c r="AM816" s="289"/>
      <c r="AN816" s="289"/>
      <c r="AO816" s="289"/>
      <c r="AP816" s="289"/>
      <c r="AQ816" s="289"/>
      <c r="AR816" s="289"/>
      <c r="AS816" s="289"/>
      <c r="AT816" s="289"/>
      <c r="AU816" s="289"/>
      <c r="AV816" s="289"/>
      <c r="AW816" s="289"/>
      <c r="AX816" s="289"/>
      <c r="AY816" s="289"/>
    </row>
    <row r="817" spans="1:51" ht="13.5" customHeight="1">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c r="AA817" s="289"/>
      <c r="AB817" s="289"/>
      <c r="AC817" s="289"/>
      <c r="AD817" s="289"/>
      <c r="AE817" s="289"/>
      <c r="AF817" s="289"/>
      <c r="AG817" s="289"/>
      <c r="AH817" s="289"/>
      <c r="AI817" s="289"/>
      <c r="AJ817" s="289"/>
      <c r="AK817" s="289"/>
      <c r="AL817" s="289"/>
      <c r="AM817" s="289"/>
      <c r="AN817" s="289"/>
      <c r="AO817" s="289"/>
      <c r="AP817" s="289"/>
      <c r="AQ817" s="289"/>
      <c r="AR817" s="289"/>
      <c r="AS817" s="289"/>
      <c r="AT817" s="289"/>
      <c r="AU817" s="289"/>
      <c r="AV817" s="289"/>
      <c r="AW817" s="289"/>
      <c r="AX817" s="289"/>
      <c r="AY817" s="289"/>
    </row>
    <row r="818" spans="1:51" ht="13.5" customHeight="1">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c r="AA818" s="289"/>
      <c r="AB818" s="289"/>
      <c r="AC818" s="289"/>
      <c r="AD818" s="289"/>
      <c r="AE818" s="289"/>
      <c r="AF818" s="289"/>
      <c r="AG818" s="289"/>
      <c r="AH818" s="289"/>
      <c r="AI818" s="289"/>
      <c r="AJ818" s="289"/>
      <c r="AK818" s="289"/>
      <c r="AL818" s="289"/>
      <c r="AM818" s="289"/>
      <c r="AN818" s="289"/>
      <c r="AO818" s="289"/>
      <c r="AP818" s="289"/>
      <c r="AQ818" s="289"/>
      <c r="AR818" s="289"/>
      <c r="AS818" s="289"/>
      <c r="AT818" s="289"/>
      <c r="AU818" s="289"/>
      <c r="AV818" s="289"/>
      <c r="AW818" s="289"/>
      <c r="AX818" s="289"/>
      <c r="AY818" s="289"/>
    </row>
    <row r="819" spans="1:51" ht="13.5" customHeight="1">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c r="AA819" s="289"/>
      <c r="AB819" s="289"/>
      <c r="AC819" s="289"/>
      <c r="AD819" s="289"/>
      <c r="AE819" s="289"/>
      <c r="AF819" s="289"/>
      <c r="AG819" s="289"/>
      <c r="AH819" s="289"/>
      <c r="AI819" s="289"/>
      <c r="AJ819" s="289"/>
      <c r="AK819" s="289"/>
      <c r="AL819" s="289"/>
      <c r="AM819" s="289"/>
      <c r="AN819" s="289"/>
      <c r="AO819" s="289"/>
      <c r="AP819" s="289"/>
      <c r="AQ819" s="289"/>
      <c r="AR819" s="289"/>
      <c r="AS819" s="289"/>
      <c r="AT819" s="289"/>
      <c r="AU819" s="289"/>
      <c r="AV819" s="289"/>
      <c r="AW819" s="289"/>
      <c r="AX819" s="289"/>
      <c r="AY819" s="289"/>
    </row>
    <row r="820" spans="1:51" ht="13.5" customHeight="1">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c r="AA820" s="289"/>
      <c r="AB820" s="289"/>
      <c r="AC820" s="289"/>
      <c r="AD820" s="289"/>
      <c r="AE820" s="289"/>
      <c r="AF820" s="289"/>
      <c r="AG820" s="289"/>
      <c r="AH820" s="289"/>
      <c r="AI820" s="289"/>
      <c r="AJ820" s="289"/>
      <c r="AK820" s="289"/>
      <c r="AL820" s="289"/>
      <c r="AM820" s="289"/>
      <c r="AN820" s="289"/>
      <c r="AO820" s="289"/>
      <c r="AP820" s="289"/>
      <c r="AQ820" s="289"/>
      <c r="AR820" s="289"/>
      <c r="AS820" s="289"/>
      <c r="AT820" s="289"/>
      <c r="AU820" s="289"/>
      <c r="AV820" s="289"/>
      <c r="AW820" s="289"/>
      <c r="AX820" s="289"/>
      <c r="AY820" s="289"/>
    </row>
    <row r="821" spans="1:51" ht="13.5" customHeight="1">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c r="AA821" s="289"/>
      <c r="AB821" s="289"/>
      <c r="AC821" s="289"/>
      <c r="AD821" s="289"/>
      <c r="AE821" s="289"/>
      <c r="AF821" s="289"/>
      <c r="AG821" s="289"/>
      <c r="AH821" s="289"/>
      <c r="AI821" s="289"/>
      <c r="AJ821" s="289"/>
      <c r="AK821" s="289"/>
      <c r="AL821" s="289"/>
      <c r="AM821" s="289"/>
      <c r="AN821" s="289"/>
      <c r="AO821" s="289"/>
      <c r="AP821" s="289"/>
      <c r="AQ821" s="289"/>
      <c r="AR821" s="289"/>
      <c r="AS821" s="289"/>
      <c r="AT821" s="289"/>
      <c r="AU821" s="289"/>
      <c r="AV821" s="289"/>
      <c r="AW821" s="289"/>
      <c r="AX821" s="289"/>
      <c r="AY821" s="289"/>
    </row>
    <row r="822" spans="1:51" ht="13.5" customHeight="1">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c r="AA822" s="289"/>
      <c r="AB822" s="289"/>
      <c r="AC822" s="289"/>
      <c r="AD822" s="289"/>
      <c r="AE822" s="289"/>
      <c r="AF822" s="289"/>
      <c r="AG822" s="289"/>
      <c r="AH822" s="289"/>
      <c r="AI822" s="289"/>
      <c r="AJ822" s="289"/>
      <c r="AK822" s="289"/>
      <c r="AL822" s="289"/>
      <c r="AM822" s="289"/>
      <c r="AN822" s="289"/>
      <c r="AO822" s="289"/>
      <c r="AP822" s="289"/>
      <c r="AQ822" s="289"/>
      <c r="AR822" s="289"/>
      <c r="AS822" s="289"/>
      <c r="AT822" s="289"/>
      <c r="AU822" s="289"/>
      <c r="AV822" s="289"/>
      <c r="AW822" s="289"/>
      <c r="AX822" s="289"/>
      <c r="AY822" s="289"/>
    </row>
    <row r="823" spans="1:51" ht="13.5" customHeight="1">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c r="AA823" s="289"/>
      <c r="AB823" s="289"/>
      <c r="AC823" s="289"/>
      <c r="AD823" s="289"/>
      <c r="AE823" s="289"/>
      <c r="AF823" s="289"/>
      <c r="AG823" s="289"/>
      <c r="AH823" s="289"/>
      <c r="AI823" s="289"/>
      <c r="AJ823" s="289"/>
      <c r="AK823" s="289"/>
      <c r="AL823" s="289"/>
      <c r="AM823" s="289"/>
      <c r="AN823" s="289"/>
      <c r="AO823" s="289"/>
      <c r="AP823" s="289"/>
      <c r="AQ823" s="289"/>
      <c r="AR823" s="289"/>
      <c r="AS823" s="289"/>
      <c r="AT823" s="289"/>
      <c r="AU823" s="289"/>
      <c r="AV823" s="289"/>
      <c r="AW823" s="289"/>
      <c r="AX823" s="289"/>
      <c r="AY823" s="289"/>
    </row>
    <row r="824" spans="1:51" ht="13.5" customHeight="1">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c r="AA824" s="289"/>
      <c r="AB824" s="289"/>
      <c r="AC824" s="289"/>
      <c r="AD824" s="289"/>
      <c r="AE824" s="289"/>
      <c r="AF824" s="289"/>
      <c r="AG824" s="289"/>
      <c r="AH824" s="289"/>
      <c r="AI824" s="289"/>
      <c r="AJ824" s="289"/>
      <c r="AK824" s="289"/>
      <c r="AL824" s="289"/>
      <c r="AM824" s="289"/>
      <c r="AN824" s="289"/>
      <c r="AO824" s="289"/>
      <c r="AP824" s="289"/>
      <c r="AQ824" s="289"/>
      <c r="AR824" s="289"/>
      <c r="AS824" s="289"/>
      <c r="AT824" s="289"/>
      <c r="AU824" s="289"/>
      <c r="AV824" s="289"/>
      <c r="AW824" s="289"/>
      <c r="AX824" s="289"/>
      <c r="AY824" s="289"/>
    </row>
    <row r="825" spans="1:51" ht="13.5" customHeight="1">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c r="AA825" s="289"/>
      <c r="AB825" s="289"/>
      <c r="AC825" s="289"/>
      <c r="AD825" s="289"/>
      <c r="AE825" s="289"/>
      <c r="AF825" s="289"/>
      <c r="AG825" s="289"/>
      <c r="AH825" s="289"/>
      <c r="AI825" s="289"/>
      <c r="AJ825" s="289"/>
      <c r="AK825" s="289"/>
      <c r="AL825" s="289"/>
      <c r="AM825" s="289"/>
      <c r="AN825" s="289"/>
      <c r="AO825" s="289"/>
      <c r="AP825" s="289"/>
      <c r="AQ825" s="289"/>
      <c r="AR825" s="289"/>
      <c r="AS825" s="289"/>
      <c r="AT825" s="289"/>
      <c r="AU825" s="289"/>
      <c r="AV825" s="289"/>
      <c r="AW825" s="289"/>
      <c r="AX825" s="289"/>
      <c r="AY825" s="289"/>
    </row>
    <row r="826" spans="1:51" ht="13.5" customHeight="1">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c r="AA826" s="289"/>
      <c r="AB826" s="289"/>
      <c r="AC826" s="289"/>
      <c r="AD826" s="289"/>
      <c r="AE826" s="289"/>
      <c r="AF826" s="289"/>
      <c r="AG826" s="289"/>
      <c r="AH826" s="289"/>
      <c r="AI826" s="289"/>
      <c r="AJ826" s="289"/>
      <c r="AK826" s="289"/>
      <c r="AL826" s="289"/>
      <c r="AM826" s="289"/>
      <c r="AN826" s="289"/>
      <c r="AO826" s="289"/>
      <c r="AP826" s="289"/>
      <c r="AQ826" s="289"/>
      <c r="AR826" s="289"/>
      <c r="AS826" s="289"/>
      <c r="AT826" s="289"/>
      <c r="AU826" s="289"/>
      <c r="AV826" s="289"/>
      <c r="AW826" s="289"/>
      <c r="AX826" s="289"/>
      <c r="AY826" s="289"/>
    </row>
    <row r="827" spans="1:51" ht="13.5" customHeight="1">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c r="AA827" s="289"/>
      <c r="AB827" s="289"/>
      <c r="AC827" s="289"/>
      <c r="AD827" s="289"/>
      <c r="AE827" s="289"/>
      <c r="AF827" s="289"/>
      <c r="AG827" s="289"/>
      <c r="AH827" s="289"/>
      <c r="AI827" s="289"/>
      <c r="AJ827" s="289"/>
      <c r="AK827" s="289"/>
      <c r="AL827" s="289"/>
      <c r="AM827" s="289"/>
      <c r="AN827" s="289"/>
      <c r="AO827" s="289"/>
      <c r="AP827" s="289"/>
      <c r="AQ827" s="289"/>
      <c r="AR827" s="289"/>
      <c r="AS827" s="289"/>
      <c r="AT827" s="289"/>
      <c r="AU827" s="289"/>
      <c r="AV827" s="289"/>
      <c r="AW827" s="289"/>
      <c r="AX827" s="289"/>
      <c r="AY827" s="289"/>
    </row>
    <row r="828" spans="1:51" ht="13.5" customHeight="1">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c r="AA828" s="289"/>
      <c r="AB828" s="289"/>
      <c r="AC828" s="289"/>
      <c r="AD828" s="289"/>
      <c r="AE828" s="289"/>
      <c r="AF828" s="289"/>
      <c r="AG828" s="289"/>
      <c r="AH828" s="289"/>
      <c r="AI828" s="289"/>
      <c r="AJ828" s="289"/>
      <c r="AK828" s="289"/>
      <c r="AL828" s="289"/>
      <c r="AM828" s="289"/>
      <c r="AN828" s="289"/>
      <c r="AO828" s="289"/>
      <c r="AP828" s="289"/>
      <c r="AQ828" s="289"/>
      <c r="AR828" s="289"/>
      <c r="AS828" s="289"/>
      <c r="AT828" s="289"/>
      <c r="AU828" s="289"/>
      <c r="AV828" s="289"/>
      <c r="AW828" s="289"/>
      <c r="AX828" s="289"/>
      <c r="AY828" s="289"/>
    </row>
    <row r="829" spans="1:51" ht="13.5" customHeight="1">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c r="AA829" s="289"/>
      <c r="AB829" s="289"/>
      <c r="AC829" s="289"/>
      <c r="AD829" s="289"/>
      <c r="AE829" s="289"/>
      <c r="AF829" s="289"/>
      <c r="AG829" s="289"/>
      <c r="AH829" s="289"/>
      <c r="AI829" s="289"/>
      <c r="AJ829" s="289"/>
      <c r="AK829" s="289"/>
      <c r="AL829" s="289"/>
      <c r="AM829" s="289"/>
      <c r="AN829" s="289"/>
      <c r="AO829" s="289"/>
      <c r="AP829" s="289"/>
      <c r="AQ829" s="289"/>
      <c r="AR829" s="289"/>
      <c r="AS829" s="289"/>
      <c r="AT829" s="289"/>
      <c r="AU829" s="289"/>
      <c r="AV829" s="289"/>
      <c r="AW829" s="289"/>
      <c r="AX829" s="289"/>
      <c r="AY829" s="289"/>
    </row>
    <row r="830" spans="1:51" ht="13.5" customHeight="1">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c r="AA830" s="289"/>
      <c r="AB830" s="289"/>
      <c r="AC830" s="289"/>
      <c r="AD830" s="289"/>
      <c r="AE830" s="289"/>
      <c r="AF830" s="289"/>
      <c r="AG830" s="289"/>
      <c r="AH830" s="289"/>
      <c r="AI830" s="289"/>
      <c r="AJ830" s="289"/>
      <c r="AK830" s="289"/>
      <c r="AL830" s="289"/>
      <c r="AM830" s="289"/>
      <c r="AN830" s="289"/>
      <c r="AO830" s="289"/>
      <c r="AP830" s="289"/>
      <c r="AQ830" s="289"/>
      <c r="AR830" s="289"/>
      <c r="AS830" s="289"/>
      <c r="AT830" s="289"/>
      <c r="AU830" s="289"/>
      <c r="AV830" s="289"/>
      <c r="AW830" s="289"/>
      <c r="AX830" s="289"/>
      <c r="AY830" s="289"/>
    </row>
    <row r="831" spans="1:51" ht="13.5" customHeight="1">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c r="AA831" s="289"/>
      <c r="AB831" s="289"/>
      <c r="AC831" s="289"/>
      <c r="AD831" s="289"/>
      <c r="AE831" s="289"/>
      <c r="AF831" s="289"/>
      <c r="AG831" s="289"/>
      <c r="AH831" s="289"/>
      <c r="AI831" s="289"/>
      <c r="AJ831" s="289"/>
      <c r="AK831" s="289"/>
      <c r="AL831" s="289"/>
      <c r="AM831" s="289"/>
      <c r="AN831" s="289"/>
      <c r="AO831" s="289"/>
      <c r="AP831" s="289"/>
      <c r="AQ831" s="289"/>
      <c r="AR831" s="289"/>
      <c r="AS831" s="289"/>
      <c r="AT831" s="289"/>
      <c r="AU831" s="289"/>
      <c r="AV831" s="289"/>
      <c r="AW831" s="289"/>
      <c r="AX831" s="289"/>
      <c r="AY831" s="289"/>
    </row>
    <row r="832" spans="1:51" ht="13.5" customHeight="1">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c r="AA832" s="289"/>
      <c r="AB832" s="289"/>
      <c r="AC832" s="289"/>
      <c r="AD832" s="289"/>
      <c r="AE832" s="289"/>
      <c r="AF832" s="289"/>
      <c r="AG832" s="289"/>
      <c r="AH832" s="289"/>
      <c r="AI832" s="289"/>
      <c r="AJ832" s="289"/>
      <c r="AK832" s="289"/>
      <c r="AL832" s="289"/>
      <c r="AM832" s="289"/>
      <c r="AN832" s="289"/>
      <c r="AO832" s="289"/>
      <c r="AP832" s="289"/>
      <c r="AQ832" s="289"/>
      <c r="AR832" s="289"/>
      <c r="AS832" s="289"/>
      <c r="AT832" s="289"/>
      <c r="AU832" s="289"/>
      <c r="AV832" s="289"/>
      <c r="AW832" s="289"/>
      <c r="AX832" s="289"/>
      <c r="AY832" s="289"/>
    </row>
    <row r="833" spans="1:51" ht="13.5" customHeight="1">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c r="AA833" s="289"/>
      <c r="AB833" s="289"/>
      <c r="AC833" s="289"/>
      <c r="AD833" s="289"/>
      <c r="AE833" s="289"/>
      <c r="AF833" s="289"/>
      <c r="AG833" s="289"/>
      <c r="AH833" s="289"/>
      <c r="AI833" s="289"/>
      <c r="AJ833" s="289"/>
      <c r="AK833" s="289"/>
      <c r="AL833" s="289"/>
      <c r="AM833" s="289"/>
      <c r="AN833" s="289"/>
      <c r="AO833" s="289"/>
      <c r="AP833" s="289"/>
      <c r="AQ833" s="289"/>
      <c r="AR833" s="289"/>
      <c r="AS833" s="289"/>
      <c r="AT833" s="289"/>
      <c r="AU833" s="289"/>
      <c r="AV833" s="289"/>
      <c r="AW833" s="289"/>
      <c r="AX833" s="289"/>
      <c r="AY833" s="289"/>
    </row>
    <row r="834" spans="1:51" ht="13.5" customHeight="1">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c r="AA834" s="289"/>
      <c r="AB834" s="289"/>
      <c r="AC834" s="289"/>
      <c r="AD834" s="289"/>
      <c r="AE834" s="289"/>
      <c r="AF834" s="289"/>
      <c r="AG834" s="289"/>
      <c r="AH834" s="289"/>
      <c r="AI834" s="289"/>
      <c r="AJ834" s="289"/>
      <c r="AK834" s="289"/>
      <c r="AL834" s="289"/>
      <c r="AM834" s="289"/>
      <c r="AN834" s="289"/>
      <c r="AO834" s="289"/>
      <c r="AP834" s="289"/>
      <c r="AQ834" s="289"/>
      <c r="AR834" s="289"/>
      <c r="AS834" s="289"/>
      <c r="AT834" s="289"/>
      <c r="AU834" s="289"/>
      <c r="AV834" s="289"/>
      <c r="AW834" s="289"/>
      <c r="AX834" s="289"/>
      <c r="AY834" s="289"/>
    </row>
    <row r="835" spans="1:51" ht="13.5" customHeight="1">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c r="AA835" s="289"/>
      <c r="AB835" s="289"/>
      <c r="AC835" s="289"/>
      <c r="AD835" s="289"/>
      <c r="AE835" s="289"/>
      <c r="AF835" s="289"/>
      <c r="AG835" s="289"/>
      <c r="AH835" s="289"/>
      <c r="AI835" s="289"/>
      <c r="AJ835" s="289"/>
      <c r="AK835" s="289"/>
      <c r="AL835" s="289"/>
      <c r="AM835" s="289"/>
      <c r="AN835" s="289"/>
      <c r="AO835" s="289"/>
      <c r="AP835" s="289"/>
      <c r="AQ835" s="289"/>
      <c r="AR835" s="289"/>
      <c r="AS835" s="289"/>
      <c r="AT835" s="289"/>
      <c r="AU835" s="289"/>
      <c r="AV835" s="289"/>
      <c r="AW835" s="289"/>
      <c r="AX835" s="289"/>
      <c r="AY835" s="289"/>
    </row>
    <row r="836" spans="1:51" ht="13.5" customHeight="1">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c r="AA836" s="289"/>
      <c r="AB836" s="289"/>
      <c r="AC836" s="289"/>
      <c r="AD836" s="289"/>
      <c r="AE836" s="289"/>
      <c r="AF836" s="289"/>
      <c r="AG836" s="289"/>
      <c r="AH836" s="289"/>
      <c r="AI836" s="289"/>
      <c r="AJ836" s="289"/>
      <c r="AK836" s="289"/>
      <c r="AL836" s="289"/>
      <c r="AM836" s="289"/>
      <c r="AN836" s="289"/>
      <c r="AO836" s="289"/>
      <c r="AP836" s="289"/>
      <c r="AQ836" s="289"/>
      <c r="AR836" s="289"/>
      <c r="AS836" s="289"/>
      <c r="AT836" s="289"/>
      <c r="AU836" s="289"/>
      <c r="AV836" s="289"/>
      <c r="AW836" s="289"/>
      <c r="AX836" s="289"/>
      <c r="AY836" s="289"/>
    </row>
    <row r="837" spans="1:51" ht="13.5" customHeight="1">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c r="AA837" s="289"/>
      <c r="AB837" s="289"/>
      <c r="AC837" s="289"/>
      <c r="AD837" s="289"/>
      <c r="AE837" s="289"/>
      <c r="AF837" s="289"/>
      <c r="AG837" s="289"/>
      <c r="AH837" s="289"/>
      <c r="AI837" s="289"/>
      <c r="AJ837" s="289"/>
      <c r="AK837" s="289"/>
      <c r="AL837" s="289"/>
      <c r="AM837" s="289"/>
      <c r="AN837" s="289"/>
      <c r="AO837" s="289"/>
      <c r="AP837" s="289"/>
      <c r="AQ837" s="289"/>
      <c r="AR837" s="289"/>
      <c r="AS837" s="289"/>
      <c r="AT837" s="289"/>
      <c r="AU837" s="289"/>
      <c r="AV837" s="289"/>
      <c r="AW837" s="289"/>
      <c r="AX837" s="289"/>
      <c r="AY837" s="289"/>
    </row>
    <row r="838" spans="1:51" ht="13.5" customHeight="1">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c r="AA838" s="289"/>
      <c r="AB838" s="289"/>
      <c r="AC838" s="289"/>
      <c r="AD838" s="289"/>
      <c r="AE838" s="289"/>
      <c r="AF838" s="289"/>
      <c r="AG838" s="289"/>
      <c r="AH838" s="289"/>
      <c r="AI838" s="289"/>
      <c r="AJ838" s="289"/>
      <c r="AK838" s="289"/>
      <c r="AL838" s="289"/>
      <c r="AM838" s="289"/>
      <c r="AN838" s="289"/>
      <c r="AO838" s="289"/>
      <c r="AP838" s="289"/>
      <c r="AQ838" s="289"/>
      <c r="AR838" s="289"/>
      <c r="AS838" s="289"/>
      <c r="AT838" s="289"/>
      <c r="AU838" s="289"/>
      <c r="AV838" s="289"/>
      <c r="AW838" s="289"/>
      <c r="AX838" s="289"/>
      <c r="AY838" s="289"/>
    </row>
    <row r="839" spans="1:51" ht="13.5" customHeight="1">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c r="AA839" s="289"/>
      <c r="AB839" s="289"/>
      <c r="AC839" s="289"/>
      <c r="AD839" s="289"/>
      <c r="AE839" s="289"/>
      <c r="AF839" s="289"/>
      <c r="AG839" s="289"/>
      <c r="AH839" s="289"/>
      <c r="AI839" s="289"/>
      <c r="AJ839" s="289"/>
      <c r="AK839" s="289"/>
      <c r="AL839" s="289"/>
      <c r="AM839" s="289"/>
      <c r="AN839" s="289"/>
      <c r="AO839" s="289"/>
      <c r="AP839" s="289"/>
      <c r="AQ839" s="289"/>
      <c r="AR839" s="289"/>
      <c r="AS839" s="289"/>
      <c r="AT839" s="289"/>
      <c r="AU839" s="289"/>
      <c r="AV839" s="289"/>
      <c r="AW839" s="289"/>
      <c r="AX839" s="289"/>
      <c r="AY839" s="289"/>
    </row>
    <row r="840" spans="1:51" ht="13.5" customHeight="1">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c r="AA840" s="289"/>
      <c r="AB840" s="289"/>
      <c r="AC840" s="289"/>
      <c r="AD840" s="289"/>
      <c r="AE840" s="289"/>
      <c r="AF840" s="289"/>
      <c r="AG840" s="289"/>
      <c r="AH840" s="289"/>
      <c r="AI840" s="289"/>
      <c r="AJ840" s="289"/>
      <c r="AK840" s="289"/>
      <c r="AL840" s="289"/>
      <c r="AM840" s="289"/>
      <c r="AN840" s="289"/>
      <c r="AO840" s="289"/>
      <c r="AP840" s="289"/>
      <c r="AQ840" s="289"/>
      <c r="AR840" s="289"/>
      <c r="AS840" s="289"/>
      <c r="AT840" s="289"/>
      <c r="AU840" s="289"/>
      <c r="AV840" s="289"/>
      <c r="AW840" s="289"/>
      <c r="AX840" s="289"/>
      <c r="AY840" s="289"/>
    </row>
    <row r="841" spans="1:51" ht="13.5" customHeight="1">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c r="AA841" s="289"/>
      <c r="AB841" s="289"/>
      <c r="AC841" s="289"/>
      <c r="AD841" s="289"/>
      <c r="AE841" s="289"/>
      <c r="AF841" s="289"/>
      <c r="AG841" s="289"/>
      <c r="AH841" s="289"/>
      <c r="AI841" s="289"/>
      <c r="AJ841" s="289"/>
      <c r="AK841" s="289"/>
      <c r="AL841" s="289"/>
      <c r="AM841" s="289"/>
      <c r="AN841" s="289"/>
      <c r="AO841" s="289"/>
      <c r="AP841" s="289"/>
      <c r="AQ841" s="289"/>
      <c r="AR841" s="289"/>
      <c r="AS841" s="289"/>
      <c r="AT841" s="289"/>
      <c r="AU841" s="289"/>
      <c r="AV841" s="289"/>
      <c r="AW841" s="289"/>
      <c r="AX841" s="289"/>
      <c r="AY841" s="289"/>
    </row>
    <row r="842" spans="1:51" ht="13.5" customHeight="1">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c r="AA842" s="289"/>
      <c r="AB842" s="289"/>
      <c r="AC842" s="289"/>
      <c r="AD842" s="289"/>
      <c r="AE842" s="289"/>
      <c r="AF842" s="289"/>
      <c r="AG842" s="289"/>
      <c r="AH842" s="289"/>
      <c r="AI842" s="289"/>
      <c r="AJ842" s="289"/>
      <c r="AK842" s="289"/>
      <c r="AL842" s="289"/>
      <c r="AM842" s="289"/>
      <c r="AN842" s="289"/>
      <c r="AO842" s="289"/>
      <c r="AP842" s="289"/>
      <c r="AQ842" s="289"/>
      <c r="AR842" s="289"/>
      <c r="AS842" s="289"/>
      <c r="AT842" s="289"/>
      <c r="AU842" s="289"/>
      <c r="AV842" s="289"/>
      <c r="AW842" s="289"/>
      <c r="AX842" s="289"/>
      <c r="AY842" s="289"/>
    </row>
    <row r="843" spans="1:51" ht="13.5" customHeight="1">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c r="AA843" s="289"/>
      <c r="AB843" s="289"/>
      <c r="AC843" s="289"/>
      <c r="AD843" s="289"/>
      <c r="AE843" s="289"/>
      <c r="AF843" s="289"/>
      <c r="AG843" s="289"/>
      <c r="AH843" s="289"/>
      <c r="AI843" s="289"/>
      <c r="AJ843" s="289"/>
      <c r="AK843" s="289"/>
      <c r="AL843" s="289"/>
      <c r="AM843" s="289"/>
      <c r="AN843" s="289"/>
      <c r="AO843" s="289"/>
      <c r="AP843" s="289"/>
      <c r="AQ843" s="289"/>
      <c r="AR843" s="289"/>
      <c r="AS843" s="289"/>
      <c r="AT843" s="289"/>
      <c r="AU843" s="289"/>
      <c r="AV843" s="289"/>
      <c r="AW843" s="289"/>
      <c r="AX843" s="289"/>
      <c r="AY843" s="289"/>
    </row>
    <row r="844" spans="1:51" ht="13.5" customHeight="1">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c r="AA844" s="289"/>
      <c r="AB844" s="289"/>
      <c r="AC844" s="289"/>
      <c r="AD844" s="289"/>
      <c r="AE844" s="289"/>
      <c r="AF844" s="289"/>
      <c r="AG844" s="289"/>
      <c r="AH844" s="289"/>
      <c r="AI844" s="289"/>
      <c r="AJ844" s="289"/>
      <c r="AK844" s="289"/>
      <c r="AL844" s="289"/>
      <c r="AM844" s="289"/>
      <c r="AN844" s="289"/>
      <c r="AO844" s="289"/>
      <c r="AP844" s="289"/>
      <c r="AQ844" s="289"/>
      <c r="AR844" s="289"/>
      <c r="AS844" s="289"/>
      <c r="AT844" s="289"/>
      <c r="AU844" s="289"/>
      <c r="AV844" s="289"/>
      <c r="AW844" s="289"/>
      <c r="AX844" s="289"/>
      <c r="AY844" s="289"/>
    </row>
    <row r="845" spans="1:51" ht="13.5" customHeight="1">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c r="AA845" s="289"/>
      <c r="AB845" s="289"/>
      <c r="AC845" s="289"/>
      <c r="AD845" s="289"/>
      <c r="AE845" s="289"/>
      <c r="AF845" s="289"/>
      <c r="AG845" s="289"/>
      <c r="AH845" s="289"/>
      <c r="AI845" s="289"/>
      <c r="AJ845" s="289"/>
      <c r="AK845" s="289"/>
      <c r="AL845" s="289"/>
      <c r="AM845" s="289"/>
      <c r="AN845" s="289"/>
      <c r="AO845" s="289"/>
      <c r="AP845" s="289"/>
      <c r="AQ845" s="289"/>
      <c r="AR845" s="289"/>
      <c r="AS845" s="289"/>
      <c r="AT845" s="289"/>
      <c r="AU845" s="289"/>
      <c r="AV845" s="289"/>
      <c r="AW845" s="289"/>
      <c r="AX845" s="289"/>
      <c r="AY845" s="289"/>
    </row>
    <row r="846" spans="1:51" ht="13.5" customHeight="1">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c r="AA846" s="289"/>
      <c r="AB846" s="289"/>
      <c r="AC846" s="289"/>
      <c r="AD846" s="289"/>
      <c r="AE846" s="289"/>
      <c r="AF846" s="289"/>
      <c r="AG846" s="289"/>
      <c r="AH846" s="289"/>
      <c r="AI846" s="289"/>
      <c r="AJ846" s="289"/>
      <c r="AK846" s="289"/>
      <c r="AL846" s="289"/>
      <c r="AM846" s="289"/>
      <c r="AN846" s="289"/>
      <c r="AO846" s="289"/>
      <c r="AP846" s="289"/>
      <c r="AQ846" s="289"/>
      <c r="AR846" s="289"/>
      <c r="AS846" s="289"/>
      <c r="AT846" s="289"/>
      <c r="AU846" s="289"/>
      <c r="AV846" s="289"/>
      <c r="AW846" s="289"/>
      <c r="AX846" s="289"/>
      <c r="AY846" s="289"/>
    </row>
    <row r="847" spans="1:51" ht="13.5" customHeight="1">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c r="AA847" s="289"/>
      <c r="AB847" s="289"/>
      <c r="AC847" s="289"/>
      <c r="AD847" s="289"/>
      <c r="AE847" s="289"/>
      <c r="AF847" s="289"/>
      <c r="AG847" s="289"/>
      <c r="AH847" s="289"/>
      <c r="AI847" s="289"/>
      <c r="AJ847" s="289"/>
      <c r="AK847" s="289"/>
      <c r="AL847" s="289"/>
      <c r="AM847" s="289"/>
      <c r="AN847" s="289"/>
      <c r="AO847" s="289"/>
      <c r="AP847" s="289"/>
      <c r="AQ847" s="289"/>
      <c r="AR847" s="289"/>
      <c r="AS847" s="289"/>
      <c r="AT847" s="289"/>
      <c r="AU847" s="289"/>
      <c r="AV847" s="289"/>
      <c r="AW847" s="289"/>
      <c r="AX847" s="289"/>
      <c r="AY847" s="289"/>
    </row>
    <row r="848" spans="1:51" ht="13.5" customHeight="1">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c r="AA848" s="289"/>
      <c r="AB848" s="289"/>
      <c r="AC848" s="289"/>
      <c r="AD848" s="289"/>
      <c r="AE848" s="289"/>
      <c r="AF848" s="289"/>
      <c r="AG848" s="289"/>
      <c r="AH848" s="289"/>
      <c r="AI848" s="289"/>
      <c r="AJ848" s="289"/>
      <c r="AK848" s="289"/>
      <c r="AL848" s="289"/>
      <c r="AM848" s="289"/>
      <c r="AN848" s="289"/>
      <c r="AO848" s="289"/>
      <c r="AP848" s="289"/>
      <c r="AQ848" s="289"/>
      <c r="AR848" s="289"/>
      <c r="AS848" s="289"/>
      <c r="AT848" s="289"/>
      <c r="AU848" s="289"/>
      <c r="AV848" s="289"/>
      <c r="AW848" s="289"/>
      <c r="AX848" s="289"/>
      <c r="AY848" s="289"/>
    </row>
    <row r="849" spans="1:51" ht="13.5" customHeight="1">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c r="AA849" s="289"/>
      <c r="AB849" s="289"/>
      <c r="AC849" s="289"/>
      <c r="AD849" s="289"/>
      <c r="AE849" s="289"/>
      <c r="AF849" s="289"/>
      <c r="AG849" s="289"/>
      <c r="AH849" s="289"/>
      <c r="AI849" s="289"/>
      <c r="AJ849" s="289"/>
      <c r="AK849" s="289"/>
      <c r="AL849" s="289"/>
      <c r="AM849" s="289"/>
      <c r="AN849" s="289"/>
      <c r="AO849" s="289"/>
      <c r="AP849" s="289"/>
      <c r="AQ849" s="289"/>
      <c r="AR849" s="289"/>
      <c r="AS849" s="289"/>
      <c r="AT849" s="289"/>
      <c r="AU849" s="289"/>
      <c r="AV849" s="289"/>
      <c r="AW849" s="289"/>
      <c r="AX849" s="289"/>
      <c r="AY849" s="289"/>
    </row>
    <row r="850" spans="1:51" ht="13.5" customHeight="1">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c r="AA850" s="289"/>
      <c r="AB850" s="289"/>
      <c r="AC850" s="289"/>
      <c r="AD850" s="289"/>
      <c r="AE850" s="289"/>
      <c r="AF850" s="289"/>
      <c r="AG850" s="289"/>
      <c r="AH850" s="289"/>
      <c r="AI850" s="289"/>
      <c r="AJ850" s="289"/>
      <c r="AK850" s="289"/>
      <c r="AL850" s="289"/>
      <c r="AM850" s="289"/>
      <c r="AN850" s="289"/>
      <c r="AO850" s="289"/>
      <c r="AP850" s="289"/>
      <c r="AQ850" s="289"/>
      <c r="AR850" s="289"/>
      <c r="AS850" s="289"/>
      <c r="AT850" s="289"/>
      <c r="AU850" s="289"/>
      <c r="AV850" s="289"/>
      <c r="AW850" s="289"/>
      <c r="AX850" s="289"/>
      <c r="AY850" s="289"/>
    </row>
    <row r="851" spans="1:51" ht="13.5" customHeight="1">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c r="AA851" s="289"/>
      <c r="AB851" s="289"/>
      <c r="AC851" s="289"/>
      <c r="AD851" s="289"/>
      <c r="AE851" s="289"/>
      <c r="AF851" s="289"/>
      <c r="AG851" s="289"/>
      <c r="AH851" s="289"/>
      <c r="AI851" s="289"/>
      <c r="AJ851" s="289"/>
      <c r="AK851" s="289"/>
      <c r="AL851" s="289"/>
      <c r="AM851" s="289"/>
      <c r="AN851" s="289"/>
      <c r="AO851" s="289"/>
      <c r="AP851" s="289"/>
      <c r="AQ851" s="289"/>
      <c r="AR851" s="289"/>
      <c r="AS851" s="289"/>
      <c r="AT851" s="289"/>
      <c r="AU851" s="289"/>
      <c r="AV851" s="289"/>
      <c r="AW851" s="289"/>
      <c r="AX851" s="289"/>
      <c r="AY851" s="289"/>
    </row>
    <row r="852" spans="1:51" ht="13.5" customHeight="1">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c r="AA852" s="289"/>
      <c r="AB852" s="289"/>
      <c r="AC852" s="289"/>
      <c r="AD852" s="289"/>
      <c r="AE852" s="289"/>
      <c r="AF852" s="289"/>
      <c r="AG852" s="289"/>
      <c r="AH852" s="289"/>
      <c r="AI852" s="289"/>
      <c r="AJ852" s="289"/>
      <c r="AK852" s="289"/>
      <c r="AL852" s="289"/>
      <c r="AM852" s="289"/>
      <c r="AN852" s="289"/>
      <c r="AO852" s="289"/>
      <c r="AP852" s="289"/>
      <c r="AQ852" s="289"/>
      <c r="AR852" s="289"/>
      <c r="AS852" s="289"/>
      <c r="AT852" s="289"/>
      <c r="AU852" s="289"/>
      <c r="AV852" s="289"/>
      <c r="AW852" s="289"/>
      <c r="AX852" s="289"/>
      <c r="AY852" s="289"/>
    </row>
    <row r="853" spans="1:51" ht="13.5" customHeight="1">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c r="AA853" s="289"/>
      <c r="AB853" s="289"/>
      <c r="AC853" s="289"/>
      <c r="AD853" s="289"/>
      <c r="AE853" s="289"/>
      <c r="AF853" s="289"/>
      <c r="AG853" s="289"/>
      <c r="AH853" s="289"/>
      <c r="AI853" s="289"/>
      <c r="AJ853" s="289"/>
      <c r="AK853" s="289"/>
      <c r="AL853" s="289"/>
      <c r="AM853" s="289"/>
      <c r="AN853" s="289"/>
      <c r="AO853" s="289"/>
      <c r="AP853" s="289"/>
      <c r="AQ853" s="289"/>
      <c r="AR853" s="289"/>
      <c r="AS853" s="289"/>
      <c r="AT853" s="289"/>
      <c r="AU853" s="289"/>
      <c r="AV853" s="289"/>
      <c r="AW853" s="289"/>
      <c r="AX853" s="289"/>
      <c r="AY853" s="289"/>
    </row>
    <row r="854" spans="1:51" ht="13.5" customHeight="1">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c r="AA854" s="289"/>
      <c r="AB854" s="289"/>
      <c r="AC854" s="289"/>
      <c r="AD854" s="289"/>
      <c r="AE854" s="289"/>
      <c r="AF854" s="289"/>
      <c r="AG854" s="289"/>
      <c r="AH854" s="289"/>
      <c r="AI854" s="289"/>
      <c r="AJ854" s="289"/>
      <c r="AK854" s="289"/>
      <c r="AL854" s="289"/>
      <c r="AM854" s="289"/>
      <c r="AN854" s="289"/>
      <c r="AO854" s="289"/>
      <c r="AP854" s="289"/>
      <c r="AQ854" s="289"/>
      <c r="AR854" s="289"/>
      <c r="AS854" s="289"/>
      <c r="AT854" s="289"/>
      <c r="AU854" s="289"/>
      <c r="AV854" s="289"/>
      <c r="AW854" s="289"/>
      <c r="AX854" s="289"/>
      <c r="AY854" s="289"/>
    </row>
    <row r="855" spans="1:51" ht="13.5" customHeight="1">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c r="AA855" s="289"/>
      <c r="AB855" s="289"/>
      <c r="AC855" s="289"/>
      <c r="AD855" s="289"/>
      <c r="AE855" s="289"/>
      <c r="AF855" s="289"/>
      <c r="AG855" s="289"/>
      <c r="AH855" s="289"/>
      <c r="AI855" s="289"/>
      <c r="AJ855" s="289"/>
      <c r="AK855" s="289"/>
      <c r="AL855" s="289"/>
      <c r="AM855" s="289"/>
      <c r="AN855" s="289"/>
      <c r="AO855" s="289"/>
      <c r="AP855" s="289"/>
      <c r="AQ855" s="289"/>
      <c r="AR855" s="289"/>
      <c r="AS855" s="289"/>
      <c r="AT855" s="289"/>
      <c r="AU855" s="289"/>
      <c r="AV855" s="289"/>
      <c r="AW855" s="289"/>
      <c r="AX855" s="289"/>
      <c r="AY855" s="289"/>
    </row>
    <row r="856" spans="1:51" ht="13.5" customHeight="1">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c r="AA856" s="289"/>
      <c r="AB856" s="289"/>
      <c r="AC856" s="289"/>
      <c r="AD856" s="289"/>
      <c r="AE856" s="289"/>
      <c r="AF856" s="289"/>
      <c r="AG856" s="289"/>
      <c r="AH856" s="289"/>
      <c r="AI856" s="289"/>
      <c r="AJ856" s="289"/>
      <c r="AK856" s="289"/>
      <c r="AL856" s="289"/>
      <c r="AM856" s="289"/>
      <c r="AN856" s="289"/>
      <c r="AO856" s="289"/>
      <c r="AP856" s="289"/>
      <c r="AQ856" s="289"/>
      <c r="AR856" s="289"/>
      <c r="AS856" s="289"/>
      <c r="AT856" s="289"/>
      <c r="AU856" s="289"/>
      <c r="AV856" s="289"/>
      <c r="AW856" s="289"/>
      <c r="AX856" s="289"/>
      <c r="AY856" s="289"/>
    </row>
    <row r="857" spans="1:51" ht="13.5" customHeight="1">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c r="AA857" s="289"/>
      <c r="AB857" s="289"/>
      <c r="AC857" s="289"/>
      <c r="AD857" s="289"/>
      <c r="AE857" s="289"/>
      <c r="AF857" s="289"/>
      <c r="AG857" s="289"/>
      <c r="AH857" s="289"/>
      <c r="AI857" s="289"/>
      <c r="AJ857" s="289"/>
      <c r="AK857" s="289"/>
      <c r="AL857" s="289"/>
      <c r="AM857" s="289"/>
      <c r="AN857" s="289"/>
      <c r="AO857" s="289"/>
      <c r="AP857" s="289"/>
      <c r="AQ857" s="289"/>
      <c r="AR857" s="289"/>
      <c r="AS857" s="289"/>
      <c r="AT857" s="289"/>
      <c r="AU857" s="289"/>
      <c r="AV857" s="289"/>
      <c r="AW857" s="289"/>
      <c r="AX857" s="289"/>
      <c r="AY857" s="289"/>
    </row>
    <row r="858" spans="1:51" ht="13.5" customHeight="1">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c r="AA858" s="289"/>
      <c r="AB858" s="289"/>
      <c r="AC858" s="289"/>
      <c r="AD858" s="289"/>
      <c r="AE858" s="289"/>
      <c r="AF858" s="289"/>
      <c r="AG858" s="289"/>
      <c r="AH858" s="289"/>
      <c r="AI858" s="289"/>
      <c r="AJ858" s="289"/>
      <c r="AK858" s="289"/>
      <c r="AL858" s="289"/>
      <c r="AM858" s="289"/>
      <c r="AN858" s="289"/>
      <c r="AO858" s="289"/>
      <c r="AP858" s="289"/>
      <c r="AQ858" s="289"/>
      <c r="AR858" s="289"/>
      <c r="AS858" s="289"/>
      <c r="AT858" s="289"/>
      <c r="AU858" s="289"/>
      <c r="AV858" s="289"/>
      <c r="AW858" s="289"/>
      <c r="AX858" s="289"/>
      <c r="AY858" s="289"/>
    </row>
    <row r="859" spans="1:51" ht="13.5" customHeight="1">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c r="AA859" s="289"/>
      <c r="AB859" s="289"/>
      <c r="AC859" s="289"/>
      <c r="AD859" s="289"/>
      <c r="AE859" s="289"/>
      <c r="AF859" s="289"/>
      <c r="AG859" s="289"/>
      <c r="AH859" s="289"/>
      <c r="AI859" s="289"/>
      <c r="AJ859" s="289"/>
      <c r="AK859" s="289"/>
      <c r="AL859" s="289"/>
      <c r="AM859" s="289"/>
      <c r="AN859" s="289"/>
      <c r="AO859" s="289"/>
      <c r="AP859" s="289"/>
      <c r="AQ859" s="289"/>
      <c r="AR859" s="289"/>
      <c r="AS859" s="289"/>
      <c r="AT859" s="289"/>
      <c r="AU859" s="289"/>
      <c r="AV859" s="289"/>
      <c r="AW859" s="289"/>
      <c r="AX859" s="289"/>
      <c r="AY859" s="289"/>
    </row>
    <row r="860" spans="1:51" ht="13.5" customHeight="1">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c r="AA860" s="289"/>
      <c r="AB860" s="289"/>
      <c r="AC860" s="289"/>
      <c r="AD860" s="289"/>
      <c r="AE860" s="289"/>
      <c r="AF860" s="289"/>
      <c r="AG860" s="289"/>
      <c r="AH860" s="289"/>
      <c r="AI860" s="289"/>
      <c r="AJ860" s="289"/>
      <c r="AK860" s="289"/>
      <c r="AL860" s="289"/>
      <c r="AM860" s="289"/>
      <c r="AN860" s="289"/>
      <c r="AO860" s="289"/>
      <c r="AP860" s="289"/>
      <c r="AQ860" s="289"/>
      <c r="AR860" s="289"/>
      <c r="AS860" s="289"/>
      <c r="AT860" s="289"/>
      <c r="AU860" s="289"/>
      <c r="AV860" s="289"/>
      <c r="AW860" s="289"/>
      <c r="AX860" s="289"/>
      <c r="AY860" s="289"/>
    </row>
    <row r="861" spans="1:51" ht="13.5" customHeight="1">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c r="AA861" s="289"/>
      <c r="AB861" s="289"/>
      <c r="AC861" s="289"/>
      <c r="AD861" s="289"/>
      <c r="AE861" s="289"/>
      <c r="AF861" s="289"/>
      <c r="AG861" s="289"/>
      <c r="AH861" s="289"/>
      <c r="AI861" s="289"/>
      <c r="AJ861" s="289"/>
      <c r="AK861" s="289"/>
      <c r="AL861" s="289"/>
      <c r="AM861" s="289"/>
      <c r="AN861" s="289"/>
      <c r="AO861" s="289"/>
      <c r="AP861" s="289"/>
      <c r="AQ861" s="289"/>
      <c r="AR861" s="289"/>
      <c r="AS861" s="289"/>
      <c r="AT861" s="289"/>
      <c r="AU861" s="289"/>
      <c r="AV861" s="289"/>
      <c r="AW861" s="289"/>
      <c r="AX861" s="289"/>
      <c r="AY861" s="289"/>
    </row>
    <row r="862" spans="1:51" ht="13.5" customHeight="1">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c r="AA862" s="289"/>
      <c r="AB862" s="289"/>
      <c r="AC862" s="289"/>
      <c r="AD862" s="289"/>
      <c r="AE862" s="289"/>
      <c r="AF862" s="289"/>
      <c r="AG862" s="289"/>
      <c r="AH862" s="289"/>
      <c r="AI862" s="289"/>
      <c r="AJ862" s="289"/>
      <c r="AK862" s="289"/>
      <c r="AL862" s="289"/>
      <c r="AM862" s="289"/>
      <c r="AN862" s="289"/>
      <c r="AO862" s="289"/>
      <c r="AP862" s="289"/>
      <c r="AQ862" s="289"/>
      <c r="AR862" s="289"/>
      <c r="AS862" s="289"/>
      <c r="AT862" s="289"/>
      <c r="AU862" s="289"/>
      <c r="AV862" s="289"/>
      <c r="AW862" s="289"/>
      <c r="AX862" s="289"/>
      <c r="AY862" s="289"/>
    </row>
    <row r="863" spans="1:51" ht="13.5" customHeight="1">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c r="AA863" s="289"/>
      <c r="AB863" s="289"/>
      <c r="AC863" s="289"/>
      <c r="AD863" s="289"/>
      <c r="AE863" s="289"/>
      <c r="AF863" s="289"/>
      <c r="AG863" s="289"/>
      <c r="AH863" s="289"/>
      <c r="AI863" s="289"/>
      <c r="AJ863" s="289"/>
      <c r="AK863" s="289"/>
      <c r="AL863" s="289"/>
      <c r="AM863" s="289"/>
      <c r="AN863" s="289"/>
      <c r="AO863" s="289"/>
      <c r="AP863" s="289"/>
      <c r="AQ863" s="289"/>
      <c r="AR863" s="289"/>
      <c r="AS863" s="289"/>
      <c r="AT863" s="289"/>
      <c r="AU863" s="289"/>
      <c r="AV863" s="289"/>
      <c r="AW863" s="289"/>
      <c r="AX863" s="289"/>
      <c r="AY863" s="289"/>
    </row>
    <row r="864" spans="1:51" ht="13.5" customHeight="1">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c r="AA864" s="289"/>
      <c r="AB864" s="289"/>
      <c r="AC864" s="289"/>
      <c r="AD864" s="289"/>
      <c r="AE864" s="289"/>
      <c r="AF864" s="289"/>
      <c r="AG864" s="289"/>
      <c r="AH864" s="289"/>
      <c r="AI864" s="289"/>
      <c r="AJ864" s="289"/>
      <c r="AK864" s="289"/>
      <c r="AL864" s="289"/>
      <c r="AM864" s="289"/>
      <c r="AN864" s="289"/>
      <c r="AO864" s="289"/>
      <c r="AP864" s="289"/>
      <c r="AQ864" s="289"/>
      <c r="AR864" s="289"/>
      <c r="AS864" s="289"/>
      <c r="AT864" s="289"/>
      <c r="AU864" s="289"/>
      <c r="AV864" s="289"/>
      <c r="AW864" s="289"/>
      <c r="AX864" s="289"/>
      <c r="AY864" s="289"/>
    </row>
    <row r="865" spans="1:51" ht="13.5" customHeight="1">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c r="AA865" s="289"/>
      <c r="AB865" s="289"/>
      <c r="AC865" s="289"/>
      <c r="AD865" s="289"/>
      <c r="AE865" s="289"/>
      <c r="AF865" s="289"/>
      <c r="AG865" s="289"/>
      <c r="AH865" s="289"/>
      <c r="AI865" s="289"/>
      <c r="AJ865" s="289"/>
      <c r="AK865" s="289"/>
      <c r="AL865" s="289"/>
      <c r="AM865" s="289"/>
      <c r="AN865" s="289"/>
      <c r="AO865" s="289"/>
      <c r="AP865" s="289"/>
      <c r="AQ865" s="289"/>
      <c r="AR865" s="289"/>
      <c r="AS865" s="289"/>
      <c r="AT865" s="289"/>
      <c r="AU865" s="289"/>
      <c r="AV865" s="289"/>
      <c r="AW865" s="289"/>
      <c r="AX865" s="289"/>
      <c r="AY865" s="289"/>
    </row>
    <row r="866" spans="1:51" ht="13.5" customHeight="1">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c r="AA866" s="289"/>
      <c r="AB866" s="289"/>
      <c r="AC866" s="289"/>
      <c r="AD866" s="289"/>
      <c r="AE866" s="289"/>
      <c r="AF866" s="289"/>
      <c r="AG866" s="289"/>
      <c r="AH866" s="289"/>
      <c r="AI866" s="289"/>
      <c r="AJ866" s="289"/>
      <c r="AK866" s="289"/>
      <c r="AL866" s="289"/>
      <c r="AM866" s="289"/>
      <c r="AN866" s="289"/>
      <c r="AO866" s="289"/>
      <c r="AP866" s="289"/>
      <c r="AQ866" s="289"/>
      <c r="AR866" s="289"/>
      <c r="AS866" s="289"/>
      <c r="AT866" s="289"/>
      <c r="AU866" s="289"/>
      <c r="AV866" s="289"/>
      <c r="AW866" s="289"/>
      <c r="AX866" s="289"/>
      <c r="AY866" s="289"/>
    </row>
    <row r="867" spans="1:51" ht="13.5" customHeight="1">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c r="AA867" s="289"/>
      <c r="AB867" s="289"/>
      <c r="AC867" s="289"/>
      <c r="AD867" s="289"/>
      <c r="AE867" s="289"/>
      <c r="AF867" s="289"/>
      <c r="AG867" s="289"/>
      <c r="AH867" s="289"/>
      <c r="AI867" s="289"/>
      <c r="AJ867" s="289"/>
      <c r="AK867" s="289"/>
      <c r="AL867" s="289"/>
      <c r="AM867" s="289"/>
      <c r="AN867" s="289"/>
      <c r="AO867" s="289"/>
      <c r="AP867" s="289"/>
      <c r="AQ867" s="289"/>
      <c r="AR867" s="289"/>
      <c r="AS867" s="289"/>
      <c r="AT867" s="289"/>
      <c r="AU867" s="289"/>
      <c r="AV867" s="289"/>
      <c r="AW867" s="289"/>
      <c r="AX867" s="289"/>
      <c r="AY867" s="289"/>
    </row>
    <row r="868" spans="1:51" ht="13.5" customHeight="1">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c r="AA868" s="289"/>
      <c r="AB868" s="289"/>
      <c r="AC868" s="289"/>
      <c r="AD868" s="289"/>
      <c r="AE868" s="289"/>
      <c r="AF868" s="289"/>
      <c r="AG868" s="289"/>
      <c r="AH868" s="289"/>
      <c r="AI868" s="289"/>
      <c r="AJ868" s="289"/>
      <c r="AK868" s="289"/>
      <c r="AL868" s="289"/>
      <c r="AM868" s="289"/>
      <c r="AN868" s="289"/>
      <c r="AO868" s="289"/>
      <c r="AP868" s="289"/>
      <c r="AQ868" s="289"/>
      <c r="AR868" s="289"/>
      <c r="AS868" s="289"/>
      <c r="AT868" s="289"/>
      <c r="AU868" s="289"/>
      <c r="AV868" s="289"/>
      <c r="AW868" s="289"/>
      <c r="AX868" s="289"/>
      <c r="AY868" s="289"/>
    </row>
    <row r="869" spans="1:51" ht="13.5" customHeight="1">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c r="AA869" s="289"/>
      <c r="AB869" s="289"/>
      <c r="AC869" s="289"/>
      <c r="AD869" s="289"/>
      <c r="AE869" s="289"/>
      <c r="AF869" s="289"/>
      <c r="AG869" s="289"/>
      <c r="AH869" s="289"/>
      <c r="AI869" s="289"/>
      <c r="AJ869" s="289"/>
      <c r="AK869" s="289"/>
      <c r="AL869" s="289"/>
      <c r="AM869" s="289"/>
      <c r="AN869" s="289"/>
      <c r="AO869" s="289"/>
      <c r="AP869" s="289"/>
      <c r="AQ869" s="289"/>
      <c r="AR869" s="289"/>
      <c r="AS869" s="289"/>
      <c r="AT869" s="289"/>
      <c r="AU869" s="289"/>
      <c r="AV869" s="289"/>
      <c r="AW869" s="289"/>
      <c r="AX869" s="289"/>
      <c r="AY869" s="289"/>
    </row>
    <row r="870" spans="1:51" ht="13.5" customHeight="1">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c r="AA870" s="289"/>
      <c r="AB870" s="289"/>
      <c r="AC870" s="289"/>
      <c r="AD870" s="289"/>
      <c r="AE870" s="289"/>
      <c r="AF870" s="289"/>
      <c r="AG870" s="289"/>
      <c r="AH870" s="289"/>
      <c r="AI870" s="289"/>
      <c r="AJ870" s="289"/>
      <c r="AK870" s="289"/>
      <c r="AL870" s="289"/>
      <c r="AM870" s="289"/>
      <c r="AN870" s="289"/>
      <c r="AO870" s="289"/>
      <c r="AP870" s="289"/>
      <c r="AQ870" s="289"/>
      <c r="AR870" s="289"/>
      <c r="AS870" s="289"/>
      <c r="AT870" s="289"/>
      <c r="AU870" s="289"/>
      <c r="AV870" s="289"/>
      <c r="AW870" s="289"/>
      <c r="AX870" s="289"/>
      <c r="AY870" s="289"/>
    </row>
    <row r="871" spans="1:51" ht="13.5" customHeight="1">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c r="AA871" s="289"/>
      <c r="AB871" s="289"/>
      <c r="AC871" s="289"/>
      <c r="AD871" s="289"/>
      <c r="AE871" s="289"/>
      <c r="AF871" s="289"/>
      <c r="AG871" s="289"/>
      <c r="AH871" s="289"/>
      <c r="AI871" s="289"/>
      <c r="AJ871" s="289"/>
      <c r="AK871" s="289"/>
      <c r="AL871" s="289"/>
      <c r="AM871" s="289"/>
      <c r="AN871" s="289"/>
      <c r="AO871" s="289"/>
      <c r="AP871" s="289"/>
      <c r="AQ871" s="289"/>
      <c r="AR871" s="289"/>
      <c r="AS871" s="289"/>
      <c r="AT871" s="289"/>
      <c r="AU871" s="289"/>
      <c r="AV871" s="289"/>
      <c r="AW871" s="289"/>
      <c r="AX871" s="289"/>
      <c r="AY871" s="289"/>
    </row>
    <row r="872" spans="1:51" ht="13.5" customHeight="1">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c r="AA872" s="289"/>
      <c r="AB872" s="289"/>
      <c r="AC872" s="289"/>
      <c r="AD872" s="289"/>
      <c r="AE872" s="289"/>
      <c r="AF872" s="289"/>
      <c r="AG872" s="289"/>
      <c r="AH872" s="289"/>
      <c r="AI872" s="289"/>
      <c r="AJ872" s="289"/>
      <c r="AK872" s="289"/>
      <c r="AL872" s="289"/>
      <c r="AM872" s="289"/>
      <c r="AN872" s="289"/>
      <c r="AO872" s="289"/>
      <c r="AP872" s="289"/>
      <c r="AQ872" s="289"/>
      <c r="AR872" s="289"/>
      <c r="AS872" s="289"/>
      <c r="AT872" s="289"/>
      <c r="AU872" s="289"/>
      <c r="AV872" s="289"/>
      <c r="AW872" s="289"/>
      <c r="AX872" s="289"/>
      <c r="AY872" s="289"/>
    </row>
    <row r="873" spans="1:51" ht="13.5" customHeight="1">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c r="AA873" s="289"/>
      <c r="AB873" s="289"/>
      <c r="AC873" s="289"/>
      <c r="AD873" s="289"/>
      <c r="AE873" s="289"/>
      <c r="AF873" s="289"/>
      <c r="AG873" s="289"/>
      <c r="AH873" s="289"/>
      <c r="AI873" s="289"/>
      <c r="AJ873" s="289"/>
      <c r="AK873" s="289"/>
      <c r="AL873" s="289"/>
      <c r="AM873" s="289"/>
      <c r="AN873" s="289"/>
      <c r="AO873" s="289"/>
      <c r="AP873" s="289"/>
      <c r="AQ873" s="289"/>
      <c r="AR873" s="289"/>
      <c r="AS873" s="289"/>
      <c r="AT873" s="289"/>
      <c r="AU873" s="289"/>
      <c r="AV873" s="289"/>
      <c r="AW873" s="289"/>
      <c r="AX873" s="289"/>
      <c r="AY873" s="289"/>
    </row>
    <row r="874" spans="1:51" ht="13.5" customHeight="1">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c r="AA874" s="289"/>
      <c r="AB874" s="289"/>
      <c r="AC874" s="289"/>
      <c r="AD874" s="289"/>
      <c r="AE874" s="289"/>
      <c r="AF874" s="289"/>
      <c r="AG874" s="289"/>
      <c r="AH874" s="289"/>
      <c r="AI874" s="289"/>
      <c r="AJ874" s="289"/>
      <c r="AK874" s="289"/>
      <c r="AL874" s="289"/>
      <c r="AM874" s="289"/>
      <c r="AN874" s="289"/>
      <c r="AO874" s="289"/>
      <c r="AP874" s="289"/>
      <c r="AQ874" s="289"/>
      <c r="AR874" s="289"/>
      <c r="AS874" s="289"/>
      <c r="AT874" s="289"/>
      <c r="AU874" s="289"/>
      <c r="AV874" s="289"/>
      <c r="AW874" s="289"/>
      <c r="AX874" s="289"/>
      <c r="AY874" s="289"/>
    </row>
    <row r="875" spans="1:51" ht="13.5" customHeight="1">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c r="AA875" s="289"/>
      <c r="AB875" s="289"/>
      <c r="AC875" s="289"/>
      <c r="AD875" s="289"/>
      <c r="AE875" s="289"/>
      <c r="AF875" s="289"/>
      <c r="AG875" s="289"/>
      <c r="AH875" s="289"/>
      <c r="AI875" s="289"/>
      <c r="AJ875" s="289"/>
      <c r="AK875" s="289"/>
      <c r="AL875" s="289"/>
      <c r="AM875" s="289"/>
      <c r="AN875" s="289"/>
      <c r="AO875" s="289"/>
      <c r="AP875" s="289"/>
      <c r="AQ875" s="289"/>
      <c r="AR875" s="289"/>
      <c r="AS875" s="289"/>
      <c r="AT875" s="289"/>
      <c r="AU875" s="289"/>
      <c r="AV875" s="289"/>
      <c r="AW875" s="289"/>
      <c r="AX875" s="289"/>
      <c r="AY875" s="289"/>
    </row>
    <row r="876" spans="1:51" ht="13.5" customHeight="1">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c r="AA876" s="289"/>
      <c r="AB876" s="289"/>
      <c r="AC876" s="289"/>
      <c r="AD876" s="289"/>
      <c r="AE876" s="289"/>
      <c r="AF876" s="289"/>
      <c r="AG876" s="289"/>
      <c r="AH876" s="289"/>
      <c r="AI876" s="289"/>
      <c r="AJ876" s="289"/>
      <c r="AK876" s="289"/>
      <c r="AL876" s="289"/>
      <c r="AM876" s="289"/>
      <c r="AN876" s="289"/>
      <c r="AO876" s="289"/>
      <c r="AP876" s="289"/>
      <c r="AQ876" s="289"/>
      <c r="AR876" s="289"/>
      <c r="AS876" s="289"/>
      <c r="AT876" s="289"/>
      <c r="AU876" s="289"/>
      <c r="AV876" s="289"/>
      <c r="AW876" s="289"/>
      <c r="AX876" s="289"/>
      <c r="AY876" s="289"/>
    </row>
    <row r="877" spans="1:51" ht="13.5" customHeight="1">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c r="AA877" s="289"/>
      <c r="AB877" s="289"/>
      <c r="AC877" s="289"/>
      <c r="AD877" s="289"/>
      <c r="AE877" s="289"/>
      <c r="AF877" s="289"/>
      <c r="AG877" s="289"/>
      <c r="AH877" s="289"/>
      <c r="AI877" s="289"/>
      <c r="AJ877" s="289"/>
      <c r="AK877" s="289"/>
      <c r="AL877" s="289"/>
      <c r="AM877" s="289"/>
      <c r="AN877" s="289"/>
      <c r="AO877" s="289"/>
      <c r="AP877" s="289"/>
      <c r="AQ877" s="289"/>
      <c r="AR877" s="289"/>
      <c r="AS877" s="289"/>
      <c r="AT877" s="289"/>
      <c r="AU877" s="289"/>
      <c r="AV877" s="289"/>
      <c r="AW877" s="289"/>
      <c r="AX877" s="289"/>
      <c r="AY877" s="289"/>
    </row>
    <row r="878" spans="1:51" ht="13.5" customHeight="1">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c r="AA878" s="289"/>
      <c r="AB878" s="289"/>
      <c r="AC878" s="289"/>
      <c r="AD878" s="289"/>
      <c r="AE878" s="289"/>
      <c r="AF878" s="289"/>
      <c r="AG878" s="289"/>
      <c r="AH878" s="289"/>
      <c r="AI878" s="289"/>
      <c r="AJ878" s="289"/>
      <c r="AK878" s="289"/>
      <c r="AL878" s="289"/>
      <c r="AM878" s="289"/>
      <c r="AN878" s="289"/>
      <c r="AO878" s="289"/>
      <c r="AP878" s="289"/>
      <c r="AQ878" s="289"/>
      <c r="AR878" s="289"/>
      <c r="AS878" s="289"/>
      <c r="AT878" s="289"/>
      <c r="AU878" s="289"/>
      <c r="AV878" s="289"/>
      <c r="AW878" s="289"/>
      <c r="AX878" s="289"/>
      <c r="AY878" s="289"/>
    </row>
    <row r="879" spans="1:51" ht="13.5" customHeight="1">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c r="AA879" s="289"/>
      <c r="AB879" s="289"/>
      <c r="AC879" s="289"/>
      <c r="AD879" s="289"/>
      <c r="AE879" s="289"/>
      <c r="AF879" s="289"/>
      <c r="AG879" s="289"/>
      <c r="AH879" s="289"/>
      <c r="AI879" s="289"/>
      <c r="AJ879" s="289"/>
      <c r="AK879" s="289"/>
      <c r="AL879" s="289"/>
      <c r="AM879" s="289"/>
      <c r="AN879" s="289"/>
      <c r="AO879" s="289"/>
      <c r="AP879" s="289"/>
      <c r="AQ879" s="289"/>
      <c r="AR879" s="289"/>
      <c r="AS879" s="289"/>
      <c r="AT879" s="289"/>
      <c r="AU879" s="289"/>
      <c r="AV879" s="289"/>
      <c r="AW879" s="289"/>
      <c r="AX879" s="289"/>
      <c r="AY879" s="289"/>
    </row>
    <row r="880" spans="1:51" ht="13.5" customHeight="1">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c r="AA880" s="289"/>
      <c r="AB880" s="289"/>
      <c r="AC880" s="289"/>
      <c r="AD880" s="289"/>
      <c r="AE880" s="289"/>
      <c r="AF880" s="289"/>
      <c r="AG880" s="289"/>
      <c r="AH880" s="289"/>
      <c r="AI880" s="289"/>
      <c r="AJ880" s="289"/>
      <c r="AK880" s="289"/>
      <c r="AL880" s="289"/>
      <c r="AM880" s="289"/>
      <c r="AN880" s="289"/>
      <c r="AO880" s="289"/>
      <c r="AP880" s="289"/>
      <c r="AQ880" s="289"/>
      <c r="AR880" s="289"/>
      <c r="AS880" s="289"/>
      <c r="AT880" s="289"/>
      <c r="AU880" s="289"/>
      <c r="AV880" s="289"/>
      <c r="AW880" s="289"/>
      <c r="AX880" s="289"/>
      <c r="AY880" s="289"/>
    </row>
    <row r="881" spans="1:51" ht="13.5" customHeight="1">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c r="AA881" s="289"/>
      <c r="AB881" s="289"/>
      <c r="AC881" s="289"/>
      <c r="AD881" s="289"/>
      <c r="AE881" s="289"/>
      <c r="AF881" s="289"/>
      <c r="AG881" s="289"/>
      <c r="AH881" s="289"/>
      <c r="AI881" s="289"/>
      <c r="AJ881" s="289"/>
      <c r="AK881" s="289"/>
      <c r="AL881" s="289"/>
      <c r="AM881" s="289"/>
      <c r="AN881" s="289"/>
      <c r="AO881" s="289"/>
      <c r="AP881" s="289"/>
      <c r="AQ881" s="289"/>
      <c r="AR881" s="289"/>
      <c r="AS881" s="289"/>
      <c r="AT881" s="289"/>
      <c r="AU881" s="289"/>
      <c r="AV881" s="289"/>
      <c r="AW881" s="289"/>
      <c r="AX881" s="289"/>
      <c r="AY881" s="289"/>
    </row>
    <row r="882" spans="1:51" ht="13.5" customHeight="1">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c r="AA882" s="289"/>
      <c r="AB882" s="289"/>
      <c r="AC882" s="289"/>
      <c r="AD882" s="289"/>
      <c r="AE882" s="289"/>
      <c r="AF882" s="289"/>
      <c r="AG882" s="289"/>
      <c r="AH882" s="289"/>
      <c r="AI882" s="289"/>
      <c r="AJ882" s="289"/>
      <c r="AK882" s="289"/>
      <c r="AL882" s="289"/>
      <c r="AM882" s="289"/>
      <c r="AN882" s="289"/>
      <c r="AO882" s="289"/>
      <c r="AP882" s="289"/>
      <c r="AQ882" s="289"/>
      <c r="AR882" s="289"/>
      <c r="AS882" s="289"/>
      <c r="AT882" s="289"/>
      <c r="AU882" s="289"/>
      <c r="AV882" s="289"/>
      <c r="AW882" s="289"/>
      <c r="AX882" s="289"/>
      <c r="AY882" s="289"/>
    </row>
    <row r="883" spans="1:51" ht="13.5" customHeight="1">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c r="AA883" s="289"/>
      <c r="AB883" s="289"/>
      <c r="AC883" s="289"/>
      <c r="AD883" s="289"/>
      <c r="AE883" s="289"/>
      <c r="AF883" s="289"/>
      <c r="AG883" s="289"/>
      <c r="AH883" s="289"/>
      <c r="AI883" s="289"/>
      <c r="AJ883" s="289"/>
      <c r="AK883" s="289"/>
      <c r="AL883" s="289"/>
      <c r="AM883" s="289"/>
      <c r="AN883" s="289"/>
      <c r="AO883" s="289"/>
      <c r="AP883" s="289"/>
      <c r="AQ883" s="289"/>
      <c r="AR883" s="289"/>
      <c r="AS883" s="289"/>
      <c r="AT883" s="289"/>
      <c r="AU883" s="289"/>
      <c r="AV883" s="289"/>
      <c r="AW883" s="289"/>
      <c r="AX883" s="289"/>
      <c r="AY883" s="289"/>
    </row>
    <row r="884" spans="1:51" ht="13.5" customHeight="1">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c r="AA884" s="289"/>
      <c r="AB884" s="289"/>
      <c r="AC884" s="289"/>
      <c r="AD884" s="289"/>
      <c r="AE884" s="289"/>
      <c r="AF884" s="289"/>
      <c r="AG884" s="289"/>
      <c r="AH884" s="289"/>
      <c r="AI884" s="289"/>
      <c r="AJ884" s="289"/>
      <c r="AK884" s="289"/>
      <c r="AL884" s="289"/>
      <c r="AM884" s="289"/>
      <c r="AN884" s="289"/>
      <c r="AO884" s="289"/>
      <c r="AP884" s="289"/>
      <c r="AQ884" s="289"/>
      <c r="AR884" s="289"/>
      <c r="AS884" s="289"/>
      <c r="AT884" s="289"/>
      <c r="AU884" s="289"/>
      <c r="AV884" s="289"/>
      <c r="AW884" s="289"/>
      <c r="AX884" s="289"/>
      <c r="AY884" s="289"/>
    </row>
    <row r="885" spans="1:51" ht="13.5" customHeight="1">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c r="AA885" s="289"/>
      <c r="AB885" s="289"/>
      <c r="AC885" s="289"/>
      <c r="AD885" s="289"/>
      <c r="AE885" s="289"/>
      <c r="AF885" s="289"/>
      <c r="AG885" s="289"/>
      <c r="AH885" s="289"/>
      <c r="AI885" s="289"/>
      <c r="AJ885" s="289"/>
      <c r="AK885" s="289"/>
      <c r="AL885" s="289"/>
      <c r="AM885" s="289"/>
      <c r="AN885" s="289"/>
      <c r="AO885" s="289"/>
      <c r="AP885" s="289"/>
      <c r="AQ885" s="289"/>
      <c r="AR885" s="289"/>
      <c r="AS885" s="289"/>
      <c r="AT885" s="289"/>
      <c r="AU885" s="289"/>
      <c r="AV885" s="289"/>
      <c r="AW885" s="289"/>
      <c r="AX885" s="289"/>
      <c r="AY885" s="289"/>
    </row>
    <row r="886" spans="1:51" ht="13.5" customHeight="1">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c r="AA886" s="289"/>
      <c r="AB886" s="289"/>
      <c r="AC886" s="289"/>
      <c r="AD886" s="289"/>
      <c r="AE886" s="289"/>
      <c r="AF886" s="289"/>
      <c r="AG886" s="289"/>
      <c r="AH886" s="289"/>
      <c r="AI886" s="289"/>
      <c r="AJ886" s="289"/>
      <c r="AK886" s="289"/>
      <c r="AL886" s="289"/>
      <c r="AM886" s="289"/>
      <c r="AN886" s="289"/>
      <c r="AO886" s="289"/>
      <c r="AP886" s="289"/>
      <c r="AQ886" s="289"/>
      <c r="AR886" s="289"/>
      <c r="AS886" s="289"/>
      <c r="AT886" s="289"/>
      <c r="AU886" s="289"/>
      <c r="AV886" s="289"/>
      <c r="AW886" s="289"/>
      <c r="AX886" s="289"/>
      <c r="AY886" s="289"/>
    </row>
    <row r="887" spans="1:51" ht="13.5" customHeight="1">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c r="AA887" s="289"/>
      <c r="AB887" s="289"/>
      <c r="AC887" s="289"/>
      <c r="AD887" s="289"/>
      <c r="AE887" s="289"/>
      <c r="AF887" s="289"/>
      <c r="AG887" s="289"/>
      <c r="AH887" s="289"/>
      <c r="AI887" s="289"/>
      <c r="AJ887" s="289"/>
      <c r="AK887" s="289"/>
      <c r="AL887" s="289"/>
      <c r="AM887" s="289"/>
      <c r="AN887" s="289"/>
      <c r="AO887" s="289"/>
      <c r="AP887" s="289"/>
      <c r="AQ887" s="289"/>
      <c r="AR887" s="289"/>
      <c r="AS887" s="289"/>
      <c r="AT887" s="289"/>
      <c r="AU887" s="289"/>
      <c r="AV887" s="289"/>
      <c r="AW887" s="289"/>
      <c r="AX887" s="289"/>
      <c r="AY887" s="289"/>
    </row>
    <row r="888" spans="1:51" ht="13.5" customHeight="1">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c r="AA888" s="289"/>
      <c r="AB888" s="289"/>
      <c r="AC888" s="289"/>
      <c r="AD888" s="289"/>
      <c r="AE888" s="289"/>
      <c r="AF888" s="289"/>
      <c r="AG888" s="289"/>
      <c r="AH888" s="289"/>
      <c r="AI888" s="289"/>
      <c r="AJ888" s="289"/>
      <c r="AK888" s="289"/>
      <c r="AL888" s="289"/>
      <c r="AM888" s="289"/>
      <c r="AN888" s="289"/>
      <c r="AO888" s="289"/>
      <c r="AP888" s="289"/>
      <c r="AQ888" s="289"/>
      <c r="AR888" s="289"/>
      <c r="AS888" s="289"/>
      <c r="AT888" s="289"/>
      <c r="AU888" s="289"/>
      <c r="AV888" s="289"/>
      <c r="AW888" s="289"/>
      <c r="AX888" s="289"/>
      <c r="AY888" s="289"/>
    </row>
    <row r="889" spans="1:51" ht="13.5" customHeight="1">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c r="AA889" s="289"/>
      <c r="AB889" s="289"/>
      <c r="AC889" s="289"/>
      <c r="AD889" s="289"/>
      <c r="AE889" s="289"/>
      <c r="AF889" s="289"/>
      <c r="AG889" s="289"/>
      <c r="AH889" s="289"/>
      <c r="AI889" s="289"/>
      <c r="AJ889" s="289"/>
      <c r="AK889" s="289"/>
      <c r="AL889" s="289"/>
      <c r="AM889" s="289"/>
      <c r="AN889" s="289"/>
      <c r="AO889" s="289"/>
      <c r="AP889" s="289"/>
      <c r="AQ889" s="289"/>
      <c r="AR889" s="289"/>
      <c r="AS889" s="289"/>
      <c r="AT889" s="289"/>
      <c r="AU889" s="289"/>
      <c r="AV889" s="289"/>
      <c r="AW889" s="289"/>
      <c r="AX889" s="289"/>
      <c r="AY889" s="289"/>
    </row>
    <row r="890" spans="1:51" ht="13.5" customHeight="1">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c r="AA890" s="289"/>
      <c r="AB890" s="289"/>
      <c r="AC890" s="289"/>
      <c r="AD890" s="289"/>
      <c r="AE890" s="289"/>
      <c r="AF890" s="289"/>
      <c r="AG890" s="289"/>
      <c r="AH890" s="289"/>
      <c r="AI890" s="289"/>
      <c r="AJ890" s="289"/>
      <c r="AK890" s="289"/>
      <c r="AL890" s="289"/>
      <c r="AM890" s="289"/>
      <c r="AN890" s="289"/>
      <c r="AO890" s="289"/>
      <c r="AP890" s="289"/>
      <c r="AQ890" s="289"/>
      <c r="AR890" s="289"/>
      <c r="AS890" s="289"/>
      <c r="AT890" s="289"/>
      <c r="AU890" s="289"/>
      <c r="AV890" s="289"/>
      <c r="AW890" s="289"/>
      <c r="AX890" s="289"/>
      <c r="AY890" s="289"/>
    </row>
    <row r="891" spans="1:51" ht="13.5" customHeight="1">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c r="AA891" s="289"/>
      <c r="AB891" s="289"/>
      <c r="AC891" s="289"/>
      <c r="AD891" s="289"/>
      <c r="AE891" s="289"/>
      <c r="AF891" s="289"/>
      <c r="AG891" s="289"/>
      <c r="AH891" s="289"/>
      <c r="AI891" s="289"/>
      <c r="AJ891" s="289"/>
      <c r="AK891" s="289"/>
      <c r="AL891" s="289"/>
      <c r="AM891" s="289"/>
      <c r="AN891" s="289"/>
      <c r="AO891" s="289"/>
      <c r="AP891" s="289"/>
      <c r="AQ891" s="289"/>
      <c r="AR891" s="289"/>
      <c r="AS891" s="289"/>
      <c r="AT891" s="289"/>
      <c r="AU891" s="289"/>
      <c r="AV891" s="289"/>
      <c r="AW891" s="289"/>
      <c r="AX891" s="289"/>
      <c r="AY891" s="289"/>
    </row>
    <row r="892" spans="1:51" ht="13.5" customHeight="1">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c r="AA892" s="289"/>
      <c r="AB892" s="289"/>
      <c r="AC892" s="289"/>
      <c r="AD892" s="289"/>
      <c r="AE892" s="289"/>
      <c r="AF892" s="289"/>
      <c r="AG892" s="289"/>
      <c r="AH892" s="289"/>
      <c r="AI892" s="289"/>
      <c r="AJ892" s="289"/>
      <c r="AK892" s="289"/>
      <c r="AL892" s="289"/>
      <c r="AM892" s="289"/>
      <c r="AN892" s="289"/>
      <c r="AO892" s="289"/>
      <c r="AP892" s="289"/>
      <c r="AQ892" s="289"/>
      <c r="AR892" s="289"/>
      <c r="AS892" s="289"/>
      <c r="AT892" s="289"/>
      <c r="AU892" s="289"/>
      <c r="AV892" s="289"/>
      <c r="AW892" s="289"/>
      <c r="AX892" s="289"/>
      <c r="AY892" s="289"/>
    </row>
    <row r="893" spans="1:51" ht="13.5" customHeight="1">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c r="AA893" s="289"/>
      <c r="AB893" s="289"/>
      <c r="AC893" s="289"/>
      <c r="AD893" s="289"/>
      <c r="AE893" s="289"/>
      <c r="AF893" s="289"/>
      <c r="AG893" s="289"/>
      <c r="AH893" s="289"/>
      <c r="AI893" s="289"/>
      <c r="AJ893" s="289"/>
      <c r="AK893" s="289"/>
      <c r="AL893" s="289"/>
      <c r="AM893" s="289"/>
      <c r="AN893" s="289"/>
      <c r="AO893" s="289"/>
      <c r="AP893" s="289"/>
      <c r="AQ893" s="289"/>
      <c r="AR893" s="289"/>
      <c r="AS893" s="289"/>
      <c r="AT893" s="289"/>
      <c r="AU893" s="289"/>
      <c r="AV893" s="289"/>
      <c r="AW893" s="289"/>
      <c r="AX893" s="289"/>
      <c r="AY893" s="289"/>
    </row>
    <row r="894" spans="1:51" ht="13.5" customHeight="1">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c r="AA894" s="289"/>
      <c r="AB894" s="289"/>
      <c r="AC894" s="289"/>
      <c r="AD894" s="289"/>
      <c r="AE894" s="289"/>
      <c r="AF894" s="289"/>
      <c r="AG894" s="289"/>
      <c r="AH894" s="289"/>
      <c r="AI894" s="289"/>
      <c r="AJ894" s="289"/>
      <c r="AK894" s="289"/>
      <c r="AL894" s="289"/>
      <c r="AM894" s="289"/>
      <c r="AN894" s="289"/>
      <c r="AO894" s="289"/>
      <c r="AP894" s="289"/>
      <c r="AQ894" s="289"/>
      <c r="AR894" s="289"/>
      <c r="AS894" s="289"/>
      <c r="AT894" s="289"/>
      <c r="AU894" s="289"/>
      <c r="AV894" s="289"/>
      <c r="AW894" s="289"/>
      <c r="AX894" s="289"/>
      <c r="AY894" s="289"/>
    </row>
    <row r="895" spans="1:51" ht="13.5" customHeight="1">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c r="AA895" s="289"/>
      <c r="AB895" s="289"/>
      <c r="AC895" s="289"/>
      <c r="AD895" s="289"/>
      <c r="AE895" s="289"/>
      <c r="AF895" s="289"/>
      <c r="AG895" s="289"/>
      <c r="AH895" s="289"/>
      <c r="AI895" s="289"/>
      <c r="AJ895" s="289"/>
      <c r="AK895" s="289"/>
      <c r="AL895" s="289"/>
      <c r="AM895" s="289"/>
      <c r="AN895" s="289"/>
      <c r="AO895" s="289"/>
      <c r="AP895" s="289"/>
      <c r="AQ895" s="289"/>
      <c r="AR895" s="289"/>
      <c r="AS895" s="289"/>
      <c r="AT895" s="289"/>
      <c r="AU895" s="289"/>
      <c r="AV895" s="289"/>
      <c r="AW895" s="289"/>
      <c r="AX895" s="289"/>
      <c r="AY895" s="289"/>
    </row>
    <row r="896" spans="1:51" ht="13.5" customHeight="1">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c r="AA896" s="289"/>
      <c r="AB896" s="289"/>
      <c r="AC896" s="289"/>
      <c r="AD896" s="289"/>
      <c r="AE896" s="289"/>
      <c r="AF896" s="289"/>
      <c r="AG896" s="289"/>
      <c r="AH896" s="289"/>
      <c r="AI896" s="289"/>
      <c r="AJ896" s="289"/>
      <c r="AK896" s="289"/>
      <c r="AL896" s="289"/>
      <c r="AM896" s="289"/>
      <c r="AN896" s="289"/>
      <c r="AO896" s="289"/>
      <c r="AP896" s="289"/>
      <c r="AQ896" s="289"/>
      <c r="AR896" s="289"/>
      <c r="AS896" s="289"/>
      <c r="AT896" s="289"/>
      <c r="AU896" s="289"/>
      <c r="AV896" s="289"/>
      <c r="AW896" s="289"/>
      <c r="AX896" s="289"/>
      <c r="AY896" s="289"/>
    </row>
    <row r="897" spans="1:51" ht="13.5" customHeight="1">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c r="AA897" s="289"/>
      <c r="AB897" s="289"/>
      <c r="AC897" s="289"/>
      <c r="AD897" s="289"/>
      <c r="AE897" s="289"/>
      <c r="AF897" s="289"/>
      <c r="AG897" s="289"/>
      <c r="AH897" s="289"/>
      <c r="AI897" s="289"/>
      <c r="AJ897" s="289"/>
      <c r="AK897" s="289"/>
      <c r="AL897" s="289"/>
      <c r="AM897" s="289"/>
      <c r="AN897" s="289"/>
      <c r="AO897" s="289"/>
      <c r="AP897" s="289"/>
      <c r="AQ897" s="289"/>
      <c r="AR897" s="289"/>
      <c r="AS897" s="289"/>
      <c r="AT897" s="289"/>
      <c r="AU897" s="289"/>
      <c r="AV897" s="289"/>
      <c r="AW897" s="289"/>
      <c r="AX897" s="289"/>
      <c r="AY897" s="289"/>
    </row>
    <row r="898" spans="1:51" ht="13.5" customHeight="1">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c r="AA898" s="289"/>
      <c r="AB898" s="289"/>
      <c r="AC898" s="289"/>
      <c r="AD898" s="289"/>
      <c r="AE898" s="289"/>
      <c r="AF898" s="289"/>
      <c r="AG898" s="289"/>
      <c r="AH898" s="289"/>
      <c r="AI898" s="289"/>
      <c r="AJ898" s="289"/>
      <c r="AK898" s="289"/>
      <c r="AL898" s="289"/>
      <c r="AM898" s="289"/>
      <c r="AN898" s="289"/>
      <c r="AO898" s="289"/>
      <c r="AP898" s="289"/>
      <c r="AQ898" s="289"/>
      <c r="AR898" s="289"/>
      <c r="AS898" s="289"/>
      <c r="AT898" s="289"/>
      <c r="AU898" s="289"/>
      <c r="AV898" s="289"/>
      <c r="AW898" s="289"/>
      <c r="AX898" s="289"/>
      <c r="AY898" s="289"/>
    </row>
    <row r="899" spans="1:51" ht="13.5" customHeight="1">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c r="AA899" s="289"/>
      <c r="AB899" s="289"/>
      <c r="AC899" s="289"/>
      <c r="AD899" s="289"/>
      <c r="AE899" s="289"/>
      <c r="AF899" s="289"/>
      <c r="AG899" s="289"/>
      <c r="AH899" s="289"/>
      <c r="AI899" s="289"/>
      <c r="AJ899" s="289"/>
      <c r="AK899" s="289"/>
      <c r="AL899" s="289"/>
      <c r="AM899" s="289"/>
      <c r="AN899" s="289"/>
      <c r="AO899" s="289"/>
      <c r="AP899" s="289"/>
      <c r="AQ899" s="289"/>
      <c r="AR899" s="289"/>
      <c r="AS899" s="289"/>
      <c r="AT899" s="289"/>
      <c r="AU899" s="289"/>
      <c r="AV899" s="289"/>
      <c r="AW899" s="289"/>
      <c r="AX899" s="289"/>
      <c r="AY899" s="289"/>
    </row>
    <row r="900" spans="1:51" ht="13.5" customHeight="1">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c r="AA900" s="289"/>
      <c r="AB900" s="289"/>
      <c r="AC900" s="289"/>
      <c r="AD900" s="289"/>
      <c r="AE900" s="289"/>
      <c r="AF900" s="289"/>
      <c r="AG900" s="289"/>
      <c r="AH900" s="289"/>
      <c r="AI900" s="289"/>
      <c r="AJ900" s="289"/>
      <c r="AK900" s="289"/>
      <c r="AL900" s="289"/>
      <c r="AM900" s="289"/>
      <c r="AN900" s="289"/>
      <c r="AO900" s="289"/>
      <c r="AP900" s="289"/>
      <c r="AQ900" s="289"/>
      <c r="AR900" s="289"/>
      <c r="AS900" s="289"/>
      <c r="AT900" s="289"/>
      <c r="AU900" s="289"/>
      <c r="AV900" s="289"/>
      <c r="AW900" s="289"/>
      <c r="AX900" s="289"/>
      <c r="AY900" s="289"/>
    </row>
    <row r="901" spans="1:51" ht="13.5" customHeight="1">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c r="AA901" s="289"/>
      <c r="AB901" s="289"/>
      <c r="AC901" s="289"/>
      <c r="AD901" s="289"/>
      <c r="AE901" s="289"/>
      <c r="AF901" s="289"/>
      <c r="AG901" s="289"/>
      <c r="AH901" s="289"/>
      <c r="AI901" s="289"/>
      <c r="AJ901" s="289"/>
      <c r="AK901" s="289"/>
      <c r="AL901" s="289"/>
      <c r="AM901" s="289"/>
      <c r="AN901" s="289"/>
      <c r="AO901" s="289"/>
      <c r="AP901" s="289"/>
      <c r="AQ901" s="289"/>
      <c r="AR901" s="289"/>
      <c r="AS901" s="289"/>
      <c r="AT901" s="289"/>
      <c r="AU901" s="289"/>
      <c r="AV901" s="289"/>
      <c r="AW901" s="289"/>
      <c r="AX901" s="289"/>
      <c r="AY901" s="289"/>
    </row>
    <row r="902" spans="1:51" ht="13.5" customHeight="1">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c r="AA902" s="289"/>
      <c r="AB902" s="289"/>
      <c r="AC902" s="289"/>
      <c r="AD902" s="289"/>
      <c r="AE902" s="289"/>
      <c r="AF902" s="289"/>
      <c r="AG902" s="289"/>
      <c r="AH902" s="289"/>
      <c r="AI902" s="289"/>
      <c r="AJ902" s="289"/>
      <c r="AK902" s="289"/>
      <c r="AL902" s="289"/>
      <c r="AM902" s="289"/>
      <c r="AN902" s="289"/>
      <c r="AO902" s="289"/>
      <c r="AP902" s="289"/>
      <c r="AQ902" s="289"/>
      <c r="AR902" s="289"/>
      <c r="AS902" s="289"/>
      <c r="AT902" s="289"/>
      <c r="AU902" s="289"/>
      <c r="AV902" s="289"/>
      <c r="AW902" s="289"/>
      <c r="AX902" s="289"/>
      <c r="AY902" s="289"/>
    </row>
    <row r="903" spans="1:51" ht="13.5" customHeight="1">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c r="AA903" s="289"/>
      <c r="AB903" s="289"/>
      <c r="AC903" s="289"/>
      <c r="AD903" s="289"/>
      <c r="AE903" s="289"/>
      <c r="AF903" s="289"/>
      <c r="AG903" s="289"/>
      <c r="AH903" s="289"/>
      <c r="AI903" s="289"/>
      <c r="AJ903" s="289"/>
      <c r="AK903" s="289"/>
      <c r="AL903" s="289"/>
      <c r="AM903" s="289"/>
      <c r="AN903" s="289"/>
      <c r="AO903" s="289"/>
      <c r="AP903" s="289"/>
      <c r="AQ903" s="289"/>
      <c r="AR903" s="289"/>
      <c r="AS903" s="289"/>
      <c r="AT903" s="289"/>
      <c r="AU903" s="289"/>
      <c r="AV903" s="289"/>
      <c r="AW903" s="289"/>
      <c r="AX903" s="289"/>
      <c r="AY903" s="289"/>
    </row>
    <row r="904" spans="1:51" ht="13.5" customHeight="1">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c r="AA904" s="289"/>
      <c r="AB904" s="289"/>
      <c r="AC904" s="289"/>
      <c r="AD904" s="289"/>
      <c r="AE904" s="289"/>
      <c r="AF904" s="289"/>
      <c r="AG904" s="289"/>
      <c r="AH904" s="289"/>
      <c r="AI904" s="289"/>
      <c r="AJ904" s="289"/>
      <c r="AK904" s="289"/>
      <c r="AL904" s="289"/>
      <c r="AM904" s="289"/>
      <c r="AN904" s="289"/>
      <c r="AO904" s="289"/>
      <c r="AP904" s="289"/>
      <c r="AQ904" s="289"/>
      <c r="AR904" s="289"/>
      <c r="AS904" s="289"/>
      <c r="AT904" s="289"/>
      <c r="AU904" s="289"/>
      <c r="AV904" s="289"/>
      <c r="AW904" s="289"/>
      <c r="AX904" s="289"/>
      <c r="AY904" s="289"/>
    </row>
    <row r="905" spans="1:51" ht="13.5" customHeight="1">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c r="AA905" s="289"/>
      <c r="AB905" s="289"/>
      <c r="AC905" s="289"/>
      <c r="AD905" s="289"/>
      <c r="AE905" s="289"/>
      <c r="AF905" s="289"/>
      <c r="AG905" s="289"/>
      <c r="AH905" s="289"/>
      <c r="AI905" s="289"/>
      <c r="AJ905" s="289"/>
      <c r="AK905" s="289"/>
      <c r="AL905" s="289"/>
      <c r="AM905" s="289"/>
      <c r="AN905" s="289"/>
      <c r="AO905" s="289"/>
      <c r="AP905" s="289"/>
      <c r="AQ905" s="289"/>
      <c r="AR905" s="289"/>
      <c r="AS905" s="289"/>
      <c r="AT905" s="289"/>
      <c r="AU905" s="289"/>
      <c r="AV905" s="289"/>
      <c r="AW905" s="289"/>
      <c r="AX905" s="289"/>
      <c r="AY905" s="289"/>
    </row>
    <row r="906" spans="1:51" ht="13.5" customHeight="1">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c r="AA906" s="289"/>
      <c r="AB906" s="289"/>
      <c r="AC906" s="289"/>
      <c r="AD906" s="289"/>
      <c r="AE906" s="289"/>
      <c r="AF906" s="289"/>
      <c r="AG906" s="289"/>
      <c r="AH906" s="289"/>
      <c r="AI906" s="289"/>
      <c r="AJ906" s="289"/>
      <c r="AK906" s="289"/>
      <c r="AL906" s="289"/>
      <c r="AM906" s="289"/>
      <c r="AN906" s="289"/>
      <c r="AO906" s="289"/>
      <c r="AP906" s="289"/>
      <c r="AQ906" s="289"/>
      <c r="AR906" s="289"/>
      <c r="AS906" s="289"/>
      <c r="AT906" s="289"/>
      <c r="AU906" s="289"/>
      <c r="AV906" s="289"/>
      <c r="AW906" s="289"/>
      <c r="AX906" s="289"/>
      <c r="AY906" s="289"/>
    </row>
    <row r="907" spans="1:51" ht="13.5" customHeight="1">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c r="AA907" s="289"/>
      <c r="AB907" s="289"/>
      <c r="AC907" s="289"/>
      <c r="AD907" s="289"/>
      <c r="AE907" s="289"/>
      <c r="AF907" s="289"/>
      <c r="AG907" s="289"/>
      <c r="AH907" s="289"/>
      <c r="AI907" s="289"/>
      <c r="AJ907" s="289"/>
      <c r="AK907" s="289"/>
      <c r="AL907" s="289"/>
      <c r="AM907" s="289"/>
      <c r="AN907" s="289"/>
      <c r="AO907" s="289"/>
      <c r="AP907" s="289"/>
      <c r="AQ907" s="289"/>
      <c r="AR907" s="289"/>
      <c r="AS907" s="289"/>
      <c r="AT907" s="289"/>
      <c r="AU907" s="289"/>
      <c r="AV907" s="289"/>
      <c r="AW907" s="289"/>
      <c r="AX907" s="289"/>
      <c r="AY907" s="289"/>
    </row>
    <row r="908" spans="1:51" ht="13.5" customHeight="1">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c r="AA908" s="289"/>
      <c r="AB908" s="289"/>
      <c r="AC908" s="289"/>
      <c r="AD908" s="289"/>
      <c r="AE908" s="289"/>
      <c r="AF908" s="289"/>
      <c r="AG908" s="289"/>
      <c r="AH908" s="289"/>
      <c r="AI908" s="289"/>
      <c r="AJ908" s="289"/>
      <c r="AK908" s="289"/>
      <c r="AL908" s="289"/>
      <c r="AM908" s="289"/>
      <c r="AN908" s="289"/>
      <c r="AO908" s="289"/>
      <c r="AP908" s="289"/>
      <c r="AQ908" s="289"/>
      <c r="AR908" s="289"/>
      <c r="AS908" s="289"/>
      <c r="AT908" s="289"/>
      <c r="AU908" s="289"/>
      <c r="AV908" s="289"/>
      <c r="AW908" s="289"/>
      <c r="AX908" s="289"/>
      <c r="AY908" s="289"/>
    </row>
    <row r="909" spans="1:51" ht="13.5" customHeight="1">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c r="AA909" s="289"/>
      <c r="AB909" s="289"/>
      <c r="AC909" s="289"/>
      <c r="AD909" s="289"/>
      <c r="AE909" s="289"/>
      <c r="AF909" s="289"/>
      <c r="AG909" s="289"/>
      <c r="AH909" s="289"/>
      <c r="AI909" s="289"/>
      <c r="AJ909" s="289"/>
      <c r="AK909" s="289"/>
      <c r="AL909" s="289"/>
      <c r="AM909" s="289"/>
      <c r="AN909" s="289"/>
      <c r="AO909" s="289"/>
      <c r="AP909" s="289"/>
      <c r="AQ909" s="289"/>
      <c r="AR909" s="289"/>
      <c r="AS909" s="289"/>
      <c r="AT909" s="289"/>
      <c r="AU909" s="289"/>
      <c r="AV909" s="289"/>
      <c r="AW909" s="289"/>
      <c r="AX909" s="289"/>
      <c r="AY909" s="289"/>
    </row>
    <row r="910" spans="1:51" ht="13.5" customHeight="1">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c r="AA910" s="289"/>
      <c r="AB910" s="289"/>
      <c r="AC910" s="289"/>
      <c r="AD910" s="289"/>
      <c r="AE910" s="289"/>
      <c r="AF910" s="289"/>
      <c r="AG910" s="289"/>
      <c r="AH910" s="289"/>
      <c r="AI910" s="289"/>
      <c r="AJ910" s="289"/>
      <c r="AK910" s="289"/>
      <c r="AL910" s="289"/>
      <c r="AM910" s="289"/>
      <c r="AN910" s="289"/>
      <c r="AO910" s="289"/>
      <c r="AP910" s="289"/>
      <c r="AQ910" s="289"/>
      <c r="AR910" s="289"/>
      <c r="AS910" s="289"/>
      <c r="AT910" s="289"/>
      <c r="AU910" s="289"/>
      <c r="AV910" s="289"/>
      <c r="AW910" s="289"/>
      <c r="AX910" s="289"/>
      <c r="AY910" s="289"/>
    </row>
    <row r="911" spans="1:51" ht="13.5" customHeight="1">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c r="AA911" s="289"/>
      <c r="AB911" s="289"/>
      <c r="AC911" s="289"/>
      <c r="AD911" s="289"/>
      <c r="AE911" s="289"/>
      <c r="AF911" s="289"/>
      <c r="AG911" s="289"/>
      <c r="AH911" s="289"/>
      <c r="AI911" s="289"/>
      <c r="AJ911" s="289"/>
      <c r="AK911" s="289"/>
      <c r="AL911" s="289"/>
      <c r="AM911" s="289"/>
      <c r="AN911" s="289"/>
      <c r="AO911" s="289"/>
      <c r="AP911" s="289"/>
      <c r="AQ911" s="289"/>
      <c r="AR911" s="289"/>
      <c r="AS911" s="289"/>
      <c r="AT911" s="289"/>
      <c r="AU911" s="289"/>
      <c r="AV911" s="289"/>
      <c r="AW911" s="289"/>
      <c r="AX911" s="289"/>
      <c r="AY911" s="289"/>
    </row>
    <row r="912" spans="1:51" ht="13.5" customHeight="1">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c r="AA912" s="289"/>
      <c r="AB912" s="289"/>
      <c r="AC912" s="289"/>
      <c r="AD912" s="289"/>
      <c r="AE912" s="289"/>
      <c r="AF912" s="289"/>
      <c r="AG912" s="289"/>
      <c r="AH912" s="289"/>
      <c r="AI912" s="289"/>
      <c r="AJ912" s="289"/>
      <c r="AK912" s="289"/>
      <c r="AL912" s="289"/>
      <c r="AM912" s="289"/>
      <c r="AN912" s="289"/>
      <c r="AO912" s="289"/>
      <c r="AP912" s="289"/>
      <c r="AQ912" s="289"/>
      <c r="AR912" s="289"/>
      <c r="AS912" s="289"/>
      <c r="AT912" s="289"/>
      <c r="AU912" s="289"/>
      <c r="AV912" s="289"/>
      <c r="AW912" s="289"/>
      <c r="AX912" s="289"/>
      <c r="AY912" s="289"/>
    </row>
    <row r="913" spans="1:51" ht="13.5" customHeight="1">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c r="AA913" s="289"/>
      <c r="AB913" s="289"/>
      <c r="AC913" s="289"/>
      <c r="AD913" s="289"/>
      <c r="AE913" s="289"/>
      <c r="AF913" s="289"/>
      <c r="AG913" s="289"/>
      <c r="AH913" s="289"/>
      <c r="AI913" s="289"/>
      <c r="AJ913" s="289"/>
      <c r="AK913" s="289"/>
      <c r="AL913" s="289"/>
      <c r="AM913" s="289"/>
      <c r="AN913" s="289"/>
      <c r="AO913" s="289"/>
      <c r="AP913" s="289"/>
      <c r="AQ913" s="289"/>
      <c r="AR913" s="289"/>
      <c r="AS913" s="289"/>
      <c r="AT913" s="289"/>
      <c r="AU913" s="289"/>
      <c r="AV913" s="289"/>
      <c r="AW913" s="289"/>
      <c r="AX913" s="289"/>
      <c r="AY913" s="289"/>
    </row>
    <row r="914" spans="1:51" ht="13.5" customHeight="1">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c r="AA914" s="289"/>
      <c r="AB914" s="289"/>
      <c r="AC914" s="289"/>
      <c r="AD914" s="289"/>
      <c r="AE914" s="289"/>
      <c r="AF914" s="289"/>
      <c r="AG914" s="289"/>
      <c r="AH914" s="289"/>
      <c r="AI914" s="289"/>
      <c r="AJ914" s="289"/>
      <c r="AK914" s="289"/>
      <c r="AL914" s="289"/>
      <c r="AM914" s="289"/>
      <c r="AN914" s="289"/>
      <c r="AO914" s="289"/>
      <c r="AP914" s="289"/>
      <c r="AQ914" s="289"/>
      <c r="AR914" s="289"/>
      <c r="AS914" s="289"/>
      <c r="AT914" s="289"/>
      <c r="AU914" s="289"/>
      <c r="AV914" s="289"/>
      <c r="AW914" s="289"/>
      <c r="AX914" s="289"/>
      <c r="AY914" s="289"/>
    </row>
    <row r="915" spans="1:51" ht="13.5" customHeight="1">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c r="AA915" s="289"/>
      <c r="AB915" s="289"/>
      <c r="AC915" s="289"/>
      <c r="AD915" s="289"/>
      <c r="AE915" s="289"/>
      <c r="AF915" s="289"/>
      <c r="AG915" s="289"/>
      <c r="AH915" s="289"/>
      <c r="AI915" s="289"/>
      <c r="AJ915" s="289"/>
      <c r="AK915" s="289"/>
      <c r="AL915" s="289"/>
      <c r="AM915" s="289"/>
      <c r="AN915" s="289"/>
      <c r="AO915" s="289"/>
      <c r="AP915" s="289"/>
      <c r="AQ915" s="289"/>
      <c r="AR915" s="289"/>
      <c r="AS915" s="289"/>
      <c r="AT915" s="289"/>
      <c r="AU915" s="289"/>
      <c r="AV915" s="289"/>
      <c r="AW915" s="289"/>
      <c r="AX915" s="289"/>
      <c r="AY915" s="289"/>
    </row>
    <row r="916" spans="1:51" ht="13.5" customHeight="1">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c r="AA916" s="289"/>
      <c r="AB916" s="289"/>
      <c r="AC916" s="289"/>
      <c r="AD916" s="289"/>
      <c r="AE916" s="289"/>
      <c r="AF916" s="289"/>
      <c r="AG916" s="289"/>
      <c r="AH916" s="289"/>
      <c r="AI916" s="289"/>
      <c r="AJ916" s="289"/>
      <c r="AK916" s="289"/>
      <c r="AL916" s="289"/>
      <c r="AM916" s="289"/>
      <c r="AN916" s="289"/>
      <c r="AO916" s="289"/>
      <c r="AP916" s="289"/>
      <c r="AQ916" s="289"/>
      <c r="AR916" s="289"/>
      <c r="AS916" s="289"/>
      <c r="AT916" s="289"/>
      <c r="AU916" s="289"/>
      <c r="AV916" s="289"/>
      <c r="AW916" s="289"/>
      <c r="AX916" s="289"/>
      <c r="AY916" s="289"/>
    </row>
    <row r="917" spans="1:51" ht="13.5" customHeight="1">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c r="AA917" s="289"/>
      <c r="AB917" s="289"/>
      <c r="AC917" s="289"/>
      <c r="AD917" s="289"/>
      <c r="AE917" s="289"/>
      <c r="AF917" s="289"/>
      <c r="AG917" s="289"/>
      <c r="AH917" s="289"/>
      <c r="AI917" s="289"/>
      <c r="AJ917" s="289"/>
      <c r="AK917" s="289"/>
      <c r="AL917" s="289"/>
      <c r="AM917" s="289"/>
      <c r="AN917" s="289"/>
      <c r="AO917" s="289"/>
      <c r="AP917" s="289"/>
      <c r="AQ917" s="289"/>
      <c r="AR917" s="289"/>
      <c r="AS917" s="289"/>
      <c r="AT917" s="289"/>
      <c r="AU917" s="289"/>
      <c r="AV917" s="289"/>
      <c r="AW917" s="289"/>
      <c r="AX917" s="289"/>
      <c r="AY917" s="289"/>
    </row>
    <row r="918" spans="1:51" ht="13.5" customHeight="1">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c r="AA918" s="289"/>
      <c r="AB918" s="289"/>
      <c r="AC918" s="289"/>
      <c r="AD918" s="289"/>
      <c r="AE918" s="289"/>
      <c r="AF918" s="289"/>
      <c r="AG918" s="289"/>
      <c r="AH918" s="289"/>
      <c r="AI918" s="289"/>
      <c r="AJ918" s="289"/>
      <c r="AK918" s="289"/>
      <c r="AL918" s="289"/>
      <c r="AM918" s="289"/>
      <c r="AN918" s="289"/>
      <c r="AO918" s="289"/>
      <c r="AP918" s="289"/>
      <c r="AQ918" s="289"/>
      <c r="AR918" s="289"/>
      <c r="AS918" s="289"/>
      <c r="AT918" s="289"/>
      <c r="AU918" s="289"/>
      <c r="AV918" s="289"/>
      <c r="AW918" s="289"/>
      <c r="AX918" s="289"/>
      <c r="AY918" s="289"/>
    </row>
    <row r="919" spans="1:51" ht="13.5" customHeight="1">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c r="AA919" s="289"/>
      <c r="AB919" s="289"/>
      <c r="AC919" s="289"/>
      <c r="AD919" s="289"/>
      <c r="AE919" s="289"/>
      <c r="AF919" s="289"/>
      <c r="AG919" s="289"/>
      <c r="AH919" s="289"/>
      <c r="AI919" s="289"/>
      <c r="AJ919" s="289"/>
      <c r="AK919" s="289"/>
      <c r="AL919" s="289"/>
      <c r="AM919" s="289"/>
      <c r="AN919" s="289"/>
      <c r="AO919" s="289"/>
      <c r="AP919" s="289"/>
      <c r="AQ919" s="289"/>
      <c r="AR919" s="289"/>
      <c r="AS919" s="289"/>
      <c r="AT919" s="289"/>
      <c r="AU919" s="289"/>
      <c r="AV919" s="289"/>
      <c r="AW919" s="289"/>
      <c r="AX919" s="289"/>
      <c r="AY919" s="289"/>
    </row>
    <row r="920" spans="1:51" ht="13.5" customHeight="1">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c r="AA920" s="289"/>
      <c r="AB920" s="289"/>
      <c r="AC920" s="289"/>
      <c r="AD920" s="289"/>
      <c r="AE920" s="289"/>
      <c r="AF920" s="289"/>
      <c r="AG920" s="289"/>
      <c r="AH920" s="289"/>
      <c r="AI920" s="289"/>
      <c r="AJ920" s="289"/>
      <c r="AK920" s="289"/>
      <c r="AL920" s="289"/>
      <c r="AM920" s="289"/>
      <c r="AN920" s="289"/>
      <c r="AO920" s="289"/>
      <c r="AP920" s="289"/>
      <c r="AQ920" s="289"/>
      <c r="AR920" s="289"/>
      <c r="AS920" s="289"/>
      <c r="AT920" s="289"/>
      <c r="AU920" s="289"/>
      <c r="AV920" s="289"/>
      <c r="AW920" s="289"/>
      <c r="AX920" s="289"/>
      <c r="AY920" s="289"/>
    </row>
    <row r="921" spans="1:51" ht="13.5" customHeight="1">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c r="AA921" s="289"/>
      <c r="AB921" s="289"/>
      <c r="AC921" s="289"/>
      <c r="AD921" s="289"/>
      <c r="AE921" s="289"/>
      <c r="AF921" s="289"/>
      <c r="AG921" s="289"/>
      <c r="AH921" s="289"/>
      <c r="AI921" s="289"/>
      <c r="AJ921" s="289"/>
      <c r="AK921" s="289"/>
      <c r="AL921" s="289"/>
      <c r="AM921" s="289"/>
      <c r="AN921" s="289"/>
      <c r="AO921" s="289"/>
      <c r="AP921" s="289"/>
      <c r="AQ921" s="289"/>
      <c r="AR921" s="289"/>
      <c r="AS921" s="289"/>
      <c r="AT921" s="289"/>
      <c r="AU921" s="289"/>
      <c r="AV921" s="289"/>
      <c r="AW921" s="289"/>
      <c r="AX921" s="289"/>
      <c r="AY921" s="289"/>
    </row>
    <row r="922" spans="1:51" ht="13.5" customHeight="1">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c r="AA922" s="289"/>
      <c r="AB922" s="289"/>
      <c r="AC922" s="289"/>
      <c r="AD922" s="289"/>
      <c r="AE922" s="289"/>
      <c r="AF922" s="289"/>
      <c r="AG922" s="289"/>
      <c r="AH922" s="289"/>
      <c r="AI922" s="289"/>
      <c r="AJ922" s="289"/>
      <c r="AK922" s="289"/>
      <c r="AL922" s="289"/>
      <c r="AM922" s="289"/>
      <c r="AN922" s="289"/>
      <c r="AO922" s="289"/>
      <c r="AP922" s="289"/>
      <c r="AQ922" s="289"/>
      <c r="AR922" s="289"/>
      <c r="AS922" s="289"/>
      <c r="AT922" s="289"/>
      <c r="AU922" s="289"/>
      <c r="AV922" s="289"/>
      <c r="AW922" s="289"/>
      <c r="AX922" s="289"/>
      <c r="AY922" s="289"/>
    </row>
    <row r="923" spans="1:51" ht="13.5" customHeight="1">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c r="AA923" s="289"/>
      <c r="AB923" s="289"/>
      <c r="AC923" s="289"/>
      <c r="AD923" s="289"/>
      <c r="AE923" s="289"/>
      <c r="AF923" s="289"/>
      <c r="AG923" s="289"/>
      <c r="AH923" s="289"/>
      <c r="AI923" s="289"/>
      <c r="AJ923" s="289"/>
      <c r="AK923" s="289"/>
      <c r="AL923" s="289"/>
      <c r="AM923" s="289"/>
      <c r="AN923" s="289"/>
      <c r="AO923" s="289"/>
      <c r="AP923" s="289"/>
      <c r="AQ923" s="289"/>
      <c r="AR923" s="289"/>
      <c r="AS923" s="289"/>
      <c r="AT923" s="289"/>
      <c r="AU923" s="289"/>
      <c r="AV923" s="289"/>
      <c r="AW923" s="289"/>
      <c r="AX923" s="289"/>
      <c r="AY923" s="289"/>
    </row>
    <row r="924" spans="1:51" ht="13.5" customHeight="1">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c r="AA924" s="289"/>
      <c r="AB924" s="289"/>
      <c r="AC924" s="289"/>
      <c r="AD924" s="289"/>
      <c r="AE924" s="289"/>
      <c r="AF924" s="289"/>
      <c r="AG924" s="289"/>
      <c r="AH924" s="289"/>
      <c r="AI924" s="289"/>
      <c r="AJ924" s="289"/>
      <c r="AK924" s="289"/>
      <c r="AL924" s="289"/>
      <c r="AM924" s="289"/>
      <c r="AN924" s="289"/>
      <c r="AO924" s="289"/>
      <c r="AP924" s="289"/>
      <c r="AQ924" s="289"/>
      <c r="AR924" s="289"/>
      <c r="AS924" s="289"/>
      <c r="AT924" s="289"/>
      <c r="AU924" s="289"/>
      <c r="AV924" s="289"/>
      <c r="AW924" s="289"/>
      <c r="AX924" s="289"/>
      <c r="AY924" s="289"/>
    </row>
    <row r="925" spans="1:51" ht="13.5" customHeight="1">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c r="AA925" s="289"/>
      <c r="AB925" s="289"/>
      <c r="AC925" s="289"/>
      <c r="AD925" s="289"/>
      <c r="AE925" s="289"/>
      <c r="AF925" s="289"/>
      <c r="AG925" s="289"/>
      <c r="AH925" s="289"/>
      <c r="AI925" s="289"/>
      <c r="AJ925" s="289"/>
      <c r="AK925" s="289"/>
      <c r="AL925" s="289"/>
      <c r="AM925" s="289"/>
      <c r="AN925" s="289"/>
      <c r="AO925" s="289"/>
      <c r="AP925" s="289"/>
      <c r="AQ925" s="289"/>
      <c r="AR925" s="289"/>
      <c r="AS925" s="289"/>
      <c r="AT925" s="289"/>
      <c r="AU925" s="289"/>
      <c r="AV925" s="289"/>
      <c r="AW925" s="289"/>
      <c r="AX925" s="289"/>
      <c r="AY925" s="289"/>
    </row>
    <row r="926" spans="1:51" ht="13.5" customHeight="1">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c r="AA926" s="289"/>
      <c r="AB926" s="289"/>
      <c r="AC926" s="289"/>
      <c r="AD926" s="289"/>
      <c r="AE926" s="289"/>
      <c r="AF926" s="289"/>
      <c r="AG926" s="289"/>
      <c r="AH926" s="289"/>
      <c r="AI926" s="289"/>
      <c r="AJ926" s="289"/>
      <c r="AK926" s="289"/>
      <c r="AL926" s="289"/>
      <c r="AM926" s="289"/>
      <c r="AN926" s="289"/>
      <c r="AO926" s="289"/>
      <c r="AP926" s="289"/>
      <c r="AQ926" s="289"/>
      <c r="AR926" s="289"/>
      <c r="AS926" s="289"/>
      <c r="AT926" s="289"/>
      <c r="AU926" s="289"/>
      <c r="AV926" s="289"/>
      <c r="AW926" s="289"/>
      <c r="AX926" s="289"/>
      <c r="AY926" s="289"/>
    </row>
    <row r="927" spans="1:51" ht="13.5" customHeight="1">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c r="AA927" s="289"/>
      <c r="AB927" s="289"/>
      <c r="AC927" s="289"/>
      <c r="AD927" s="289"/>
      <c r="AE927" s="289"/>
      <c r="AF927" s="289"/>
      <c r="AG927" s="289"/>
      <c r="AH927" s="289"/>
      <c r="AI927" s="289"/>
      <c r="AJ927" s="289"/>
      <c r="AK927" s="289"/>
      <c r="AL927" s="289"/>
      <c r="AM927" s="289"/>
      <c r="AN927" s="289"/>
      <c r="AO927" s="289"/>
      <c r="AP927" s="289"/>
      <c r="AQ927" s="289"/>
      <c r="AR927" s="289"/>
      <c r="AS927" s="289"/>
      <c r="AT927" s="289"/>
      <c r="AU927" s="289"/>
      <c r="AV927" s="289"/>
      <c r="AW927" s="289"/>
      <c r="AX927" s="289"/>
      <c r="AY927" s="289"/>
    </row>
    <row r="928" spans="1:51" ht="13.5" customHeight="1">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c r="AA928" s="289"/>
      <c r="AB928" s="289"/>
      <c r="AC928" s="289"/>
      <c r="AD928" s="289"/>
      <c r="AE928" s="289"/>
      <c r="AF928" s="289"/>
      <c r="AG928" s="289"/>
      <c r="AH928" s="289"/>
      <c r="AI928" s="289"/>
      <c r="AJ928" s="289"/>
      <c r="AK928" s="289"/>
      <c r="AL928" s="289"/>
      <c r="AM928" s="289"/>
      <c r="AN928" s="289"/>
      <c r="AO928" s="289"/>
      <c r="AP928" s="289"/>
      <c r="AQ928" s="289"/>
      <c r="AR928" s="289"/>
      <c r="AS928" s="289"/>
      <c r="AT928" s="289"/>
      <c r="AU928" s="289"/>
      <c r="AV928" s="289"/>
      <c r="AW928" s="289"/>
      <c r="AX928" s="289"/>
      <c r="AY928" s="289"/>
    </row>
    <row r="929" spans="1:51" ht="13.5" customHeight="1">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c r="AA929" s="289"/>
      <c r="AB929" s="289"/>
      <c r="AC929" s="289"/>
      <c r="AD929" s="289"/>
      <c r="AE929" s="289"/>
      <c r="AF929" s="289"/>
      <c r="AG929" s="289"/>
      <c r="AH929" s="289"/>
      <c r="AI929" s="289"/>
      <c r="AJ929" s="289"/>
      <c r="AK929" s="289"/>
      <c r="AL929" s="289"/>
      <c r="AM929" s="289"/>
      <c r="AN929" s="289"/>
      <c r="AO929" s="289"/>
      <c r="AP929" s="289"/>
      <c r="AQ929" s="289"/>
      <c r="AR929" s="289"/>
      <c r="AS929" s="289"/>
      <c r="AT929" s="289"/>
      <c r="AU929" s="289"/>
      <c r="AV929" s="289"/>
      <c r="AW929" s="289"/>
      <c r="AX929" s="289"/>
      <c r="AY929" s="289"/>
    </row>
    <row r="930" spans="1:51" ht="13.5" customHeight="1">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c r="AA930" s="289"/>
      <c r="AB930" s="289"/>
      <c r="AC930" s="289"/>
      <c r="AD930" s="289"/>
      <c r="AE930" s="289"/>
      <c r="AF930" s="289"/>
      <c r="AG930" s="289"/>
      <c r="AH930" s="289"/>
      <c r="AI930" s="289"/>
      <c r="AJ930" s="289"/>
      <c r="AK930" s="289"/>
      <c r="AL930" s="289"/>
      <c r="AM930" s="289"/>
      <c r="AN930" s="289"/>
      <c r="AO930" s="289"/>
      <c r="AP930" s="289"/>
      <c r="AQ930" s="289"/>
      <c r="AR930" s="289"/>
      <c r="AS930" s="289"/>
      <c r="AT930" s="289"/>
      <c r="AU930" s="289"/>
      <c r="AV930" s="289"/>
      <c r="AW930" s="289"/>
      <c r="AX930" s="289"/>
      <c r="AY930" s="289"/>
    </row>
    <row r="931" spans="1:51" ht="13.5" customHeight="1">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c r="AA931" s="289"/>
      <c r="AB931" s="289"/>
      <c r="AC931" s="289"/>
      <c r="AD931" s="289"/>
      <c r="AE931" s="289"/>
      <c r="AF931" s="289"/>
      <c r="AG931" s="289"/>
      <c r="AH931" s="289"/>
      <c r="AI931" s="289"/>
      <c r="AJ931" s="289"/>
      <c r="AK931" s="289"/>
      <c r="AL931" s="289"/>
      <c r="AM931" s="289"/>
      <c r="AN931" s="289"/>
      <c r="AO931" s="289"/>
      <c r="AP931" s="289"/>
      <c r="AQ931" s="289"/>
      <c r="AR931" s="289"/>
      <c r="AS931" s="289"/>
      <c r="AT931" s="289"/>
      <c r="AU931" s="289"/>
      <c r="AV931" s="289"/>
      <c r="AW931" s="289"/>
      <c r="AX931" s="289"/>
      <c r="AY931" s="289"/>
    </row>
    <row r="932" spans="1:51" ht="13.5" customHeight="1">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c r="AA932" s="289"/>
      <c r="AB932" s="289"/>
      <c r="AC932" s="289"/>
      <c r="AD932" s="289"/>
      <c r="AE932" s="289"/>
      <c r="AF932" s="289"/>
      <c r="AG932" s="289"/>
      <c r="AH932" s="289"/>
      <c r="AI932" s="289"/>
      <c r="AJ932" s="289"/>
      <c r="AK932" s="289"/>
      <c r="AL932" s="289"/>
      <c r="AM932" s="289"/>
      <c r="AN932" s="289"/>
      <c r="AO932" s="289"/>
      <c r="AP932" s="289"/>
      <c r="AQ932" s="289"/>
      <c r="AR932" s="289"/>
      <c r="AS932" s="289"/>
      <c r="AT932" s="289"/>
      <c r="AU932" s="289"/>
      <c r="AV932" s="289"/>
      <c r="AW932" s="289"/>
      <c r="AX932" s="289"/>
      <c r="AY932" s="289"/>
    </row>
    <row r="933" spans="1:51" ht="13.5" customHeight="1">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c r="AA933" s="289"/>
      <c r="AB933" s="289"/>
      <c r="AC933" s="289"/>
      <c r="AD933" s="289"/>
      <c r="AE933" s="289"/>
      <c r="AF933" s="289"/>
      <c r="AG933" s="289"/>
      <c r="AH933" s="289"/>
      <c r="AI933" s="289"/>
      <c r="AJ933" s="289"/>
      <c r="AK933" s="289"/>
      <c r="AL933" s="289"/>
      <c r="AM933" s="289"/>
      <c r="AN933" s="289"/>
      <c r="AO933" s="289"/>
      <c r="AP933" s="289"/>
      <c r="AQ933" s="289"/>
      <c r="AR933" s="289"/>
      <c r="AS933" s="289"/>
      <c r="AT933" s="289"/>
      <c r="AU933" s="289"/>
      <c r="AV933" s="289"/>
      <c r="AW933" s="289"/>
      <c r="AX933" s="289"/>
      <c r="AY933" s="289"/>
    </row>
    <row r="934" spans="1:51" ht="13.5" customHeight="1">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c r="AA934" s="289"/>
      <c r="AB934" s="289"/>
      <c r="AC934" s="289"/>
      <c r="AD934" s="289"/>
      <c r="AE934" s="289"/>
      <c r="AF934" s="289"/>
      <c r="AG934" s="289"/>
      <c r="AH934" s="289"/>
      <c r="AI934" s="289"/>
      <c r="AJ934" s="289"/>
      <c r="AK934" s="289"/>
      <c r="AL934" s="289"/>
      <c r="AM934" s="289"/>
      <c r="AN934" s="289"/>
      <c r="AO934" s="289"/>
      <c r="AP934" s="289"/>
      <c r="AQ934" s="289"/>
      <c r="AR934" s="289"/>
      <c r="AS934" s="289"/>
      <c r="AT934" s="289"/>
      <c r="AU934" s="289"/>
      <c r="AV934" s="289"/>
      <c r="AW934" s="289"/>
      <c r="AX934" s="289"/>
      <c r="AY934" s="289"/>
    </row>
    <row r="935" spans="1:51" ht="13.5" customHeight="1">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c r="AA935" s="289"/>
      <c r="AB935" s="289"/>
      <c r="AC935" s="289"/>
      <c r="AD935" s="289"/>
      <c r="AE935" s="289"/>
      <c r="AF935" s="289"/>
      <c r="AG935" s="289"/>
      <c r="AH935" s="289"/>
      <c r="AI935" s="289"/>
      <c r="AJ935" s="289"/>
      <c r="AK935" s="289"/>
      <c r="AL935" s="289"/>
      <c r="AM935" s="289"/>
      <c r="AN935" s="289"/>
      <c r="AO935" s="289"/>
      <c r="AP935" s="289"/>
      <c r="AQ935" s="289"/>
      <c r="AR935" s="289"/>
      <c r="AS935" s="289"/>
      <c r="AT935" s="289"/>
      <c r="AU935" s="289"/>
      <c r="AV935" s="289"/>
      <c r="AW935" s="289"/>
      <c r="AX935" s="289"/>
      <c r="AY935" s="289"/>
    </row>
    <row r="936" spans="1:51" ht="13.5" customHeight="1">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c r="AA936" s="289"/>
      <c r="AB936" s="289"/>
      <c r="AC936" s="289"/>
      <c r="AD936" s="289"/>
      <c r="AE936" s="289"/>
      <c r="AF936" s="289"/>
      <c r="AG936" s="289"/>
      <c r="AH936" s="289"/>
      <c r="AI936" s="289"/>
      <c r="AJ936" s="289"/>
      <c r="AK936" s="289"/>
      <c r="AL936" s="289"/>
      <c r="AM936" s="289"/>
      <c r="AN936" s="289"/>
      <c r="AO936" s="289"/>
      <c r="AP936" s="289"/>
      <c r="AQ936" s="289"/>
      <c r="AR936" s="289"/>
      <c r="AS936" s="289"/>
      <c r="AT936" s="289"/>
      <c r="AU936" s="289"/>
      <c r="AV936" s="289"/>
      <c r="AW936" s="289"/>
      <c r="AX936" s="289"/>
      <c r="AY936" s="289"/>
    </row>
    <row r="937" spans="1:51" ht="13.5" customHeight="1">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c r="AA937" s="289"/>
      <c r="AB937" s="289"/>
      <c r="AC937" s="289"/>
      <c r="AD937" s="289"/>
      <c r="AE937" s="289"/>
      <c r="AF937" s="289"/>
      <c r="AG937" s="289"/>
      <c r="AH937" s="289"/>
      <c r="AI937" s="289"/>
      <c r="AJ937" s="289"/>
      <c r="AK937" s="289"/>
      <c r="AL937" s="289"/>
      <c r="AM937" s="289"/>
      <c r="AN937" s="289"/>
      <c r="AO937" s="289"/>
      <c r="AP937" s="289"/>
      <c r="AQ937" s="289"/>
      <c r="AR937" s="289"/>
      <c r="AS937" s="289"/>
      <c r="AT937" s="289"/>
      <c r="AU937" s="289"/>
      <c r="AV937" s="289"/>
      <c r="AW937" s="289"/>
      <c r="AX937" s="289"/>
      <c r="AY937" s="289"/>
    </row>
    <row r="938" spans="1:51" ht="13.5" customHeight="1">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c r="AA938" s="289"/>
      <c r="AB938" s="289"/>
      <c r="AC938" s="289"/>
      <c r="AD938" s="289"/>
      <c r="AE938" s="289"/>
      <c r="AF938" s="289"/>
      <c r="AG938" s="289"/>
      <c r="AH938" s="289"/>
      <c r="AI938" s="289"/>
      <c r="AJ938" s="289"/>
      <c r="AK938" s="289"/>
      <c r="AL938" s="289"/>
      <c r="AM938" s="289"/>
      <c r="AN938" s="289"/>
      <c r="AO938" s="289"/>
      <c r="AP938" s="289"/>
      <c r="AQ938" s="289"/>
      <c r="AR938" s="289"/>
      <c r="AS938" s="289"/>
      <c r="AT938" s="289"/>
      <c r="AU938" s="289"/>
      <c r="AV938" s="289"/>
      <c r="AW938" s="289"/>
      <c r="AX938" s="289"/>
      <c r="AY938" s="289"/>
    </row>
    <row r="939" spans="1:51" ht="13.5" customHeight="1">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c r="AA939" s="289"/>
      <c r="AB939" s="289"/>
      <c r="AC939" s="289"/>
      <c r="AD939" s="289"/>
      <c r="AE939" s="289"/>
      <c r="AF939" s="289"/>
      <c r="AG939" s="289"/>
      <c r="AH939" s="289"/>
      <c r="AI939" s="289"/>
      <c r="AJ939" s="289"/>
      <c r="AK939" s="289"/>
      <c r="AL939" s="289"/>
      <c r="AM939" s="289"/>
      <c r="AN939" s="289"/>
      <c r="AO939" s="289"/>
      <c r="AP939" s="289"/>
      <c r="AQ939" s="289"/>
      <c r="AR939" s="289"/>
      <c r="AS939" s="289"/>
      <c r="AT939" s="289"/>
      <c r="AU939" s="289"/>
      <c r="AV939" s="289"/>
      <c r="AW939" s="289"/>
      <c r="AX939" s="289"/>
      <c r="AY939" s="289"/>
    </row>
    <row r="940" spans="1:51" ht="13.5" customHeight="1">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c r="AA940" s="289"/>
      <c r="AB940" s="289"/>
      <c r="AC940" s="289"/>
      <c r="AD940" s="289"/>
      <c r="AE940" s="289"/>
      <c r="AF940" s="289"/>
      <c r="AG940" s="289"/>
      <c r="AH940" s="289"/>
      <c r="AI940" s="289"/>
      <c r="AJ940" s="289"/>
      <c r="AK940" s="289"/>
      <c r="AL940" s="289"/>
      <c r="AM940" s="289"/>
      <c r="AN940" s="289"/>
      <c r="AO940" s="289"/>
      <c r="AP940" s="289"/>
      <c r="AQ940" s="289"/>
      <c r="AR940" s="289"/>
      <c r="AS940" s="289"/>
      <c r="AT940" s="289"/>
      <c r="AU940" s="289"/>
      <c r="AV940" s="289"/>
      <c r="AW940" s="289"/>
      <c r="AX940" s="289"/>
      <c r="AY940" s="289"/>
    </row>
    <row r="941" spans="1:51" ht="13.5" customHeight="1">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c r="AA941" s="289"/>
      <c r="AB941" s="289"/>
      <c r="AC941" s="289"/>
      <c r="AD941" s="289"/>
      <c r="AE941" s="289"/>
      <c r="AF941" s="289"/>
      <c r="AG941" s="289"/>
      <c r="AH941" s="289"/>
      <c r="AI941" s="289"/>
      <c r="AJ941" s="289"/>
      <c r="AK941" s="289"/>
      <c r="AL941" s="289"/>
      <c r="AM941" s="289"/>
      <c r="AN941" s="289"/>
      <c r="AO941" s="289"/>
      <c r="AP941" s="289"/>
      <c r="AQ941" s="289"/>
      <c r="AR941" s="289"/>
      <c r="AS941" s="289"/>
      <c r="AT941" s="289"/>
      <c r="AU941" s="289"/>
      <c r="AV941" s="289"/>
      <c r="AW941" s="289"/>
      <c r="AX941" s="289"/>
      <c r="AY941" s="289"/>
    </row>
    <row r="942" spans="1:51" ht="13.5" customHeight="1">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c r="AA942" s="289"/>
      <c r="AB942" s="289"/>
      <c r="AC942" s="289"/>
      <c r="AD942" s="289"/>
      <c r="AE942" s="289"/>
      <c r="AF942" s="289"/>
      <c r="AG942" s="289"/>
      <c r="AH942" s="289"/>
      <c r="AI942" s="289"/>
      <c r="AJ942" s="289"/>
      <c r="AK942" s="289"/>
      <c r="AL942" s="289"/>
      <c r="AM942" s="289"/>
      <c r="AN942" s="289"/>
      <c r="AO942" s="289"/>
      <c r="AP942" s="289"/>
      <c r="AQ942" s="289"/>
      <c r="AR942" s="289"/>
      <c r="AS942" s="289"/>
      <c r="AT942" s="289"/>
      <c r="AU942" s="289"/>
      <c r="AV942" s="289"/>
      <c r="AW942" s="289"/>
      <c r="AX942" s="289"/>
      <c r="AY942" s="289"/>
    </row>
    <row r="943" spans="1:51" ht="13.5" customHeight="1">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c r="AA943" s="289"/>
      <c r="AB943" s="289"/>
      <c r="AC943" s="289"/>
      <c r="AD943" s="289"/>
      <c r="AE943" s="289"/>
      <c r="AF943" s="289"/>
      <c r="AG943" s="289"/>
      <c r="AH943" s="289"/>
      <c r="AI943" s="289"/>
      <c r="AJ943" s="289"/>
      <c r="AK943" s="289"/>
      <c r="AL943" s="289"/>
      <c r="AM943" s="289"/>
      <c r="AN943" s="289"/>
      <c r="AO943" s="289"/>
      <c r="AP943" s="289"/>
      <c r="AQ943" s="289"/>
      <c r="AR943" s="289"/>
      <c r="AS943" s="289"/>
      <c r="AT943" s="289"/>
      <c r="AU943" s="289"/>
      <c r="AV943" s="289"/>
      <c r="AW943" s="289"/>
      <c r="AX943" s="289"/>
      <c r="AY943" s="289"/>
    </row>
    <row r="944" spans="1:51" ht="13.5" customHeight="1">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c r="AA944" s="289"/>
      <c r="AB944" s="289"/>
      <c r="AC944" s="289"/>
      <c r="AD944" s="289"/>
      <c r="AE944" s="289"/>
      <c r="AF944" s="289"/>
      <c r="AG944" s="289"/>
      <c r="AH944" s="289"/>
      <c r="AI944" s="289"/>
      <c r="AJ944" s="289"/>
      <c r="AK944" s="289"/>
      <c r="AL944" s="289"/>
      <c r="AM944" s="289"/>
      <c r="AN944" s="289"/>
      <c r="AO944" s="289"/>
      <c r="AP944" s="289"/>
      <c r="AQ944" s="289"/>
      <c r="AR944" s="289"/>
      <c r="AS944" s="289"/>
      <c r="AT944" s="289"/>
      <c r="AU944" s="289"/>
      <c r="AV944" s="289"/>
      <c r="AW944" s="289"/>
      <c r="AX944" s="289"/>
      <c r="AY944" s="289"/>
    </row>
    <row r="945" spans="1:51" ht="13.5" customHeight="1">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c r="AA945" s="289"/>
      <c r="AB945" s="289"/>
      <c r="AC945" s="289"/>
      <c r="AD945" s="289"/>
      <c r="AE945" s="289"/>
      <c r="AF945" s="289"/>
      <c r="AG945" s="289"/>
      <c r="AH945" s="289"/>
      <c r="AI945" s="289"/>
      <c r="AJ945" s="289"/>
      <c r="AK945" s="289"/>
      <c r="AL945" s="289"/>
      <c r="AM945" s="289"/>
      <c r="AN945" s="289"/>
      <c r="AO945" s="289"/>
      <c r="AP945" s="289"/>
      <c r="AQ945" s="289"/>
      <c r="AR945" s="289"/>
      <c r="AS945" s="289"/>
      <c r="AT945" s="289"/>
      <c r="AU945" s="289"/>
      <c r="AV945" s="289"/>
      <c r="AW945" s="289"/>
      <c r="AX945" s="289"/>
      <c r="AY945" s="289"/>
    </row>
    <row r="946" spans="1:51" ht="13.5" customHeight="1">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c r="AA946" s="289"/>
      <c r="AB946" s="289"/>
      <c r="AC946" s="289"/>
      <c r="AD946" s="289"/>
      <c r="AE946" s="289"/>
      <c r="AF946" s="289"/>
      <c r="AG946" s="289"/>
      <c r="AH946" s="289"/>
      <c r="AI946" s="289"/>
      <c r="AJ946" s="289"/>
      <c r="AK946" s="289"/>
      <c r="AL946" s="289"/>
      <c r="AM946" s="289"/>
      <c r="AN946" s="289"/>
      <c r="AO946" s="289"/>
      <c r="AP946" s="289"/>
      <c r="AQ946" s="289"/>
      <c r="AR946" s="289"/>
      <c r="AS946" s="289"/>
      <c r="AT946" s="289"/>
      <c r="AU946" s="289"/>
      <c r="AV946" s="289"/>
      <c r="AW946" s="289"/>
      <c r="AX946" s="289"/>
      <c r="AY946" s="289"/>
    </row>
    <row r="947" spans="1:51" ht="13.5" customHeight="1">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c r="AA947" s="289"/>
      <c r="AB947" s="289"/>
      <c r="AC947" s="289"/>
      <c r="AD947" s="289"/>
      <c r="AE947" s="289"/>
      <c r="AF947" s="289"/>
      <c r="AG947" s="289"/>
      <c r="AH947" s="289"/>
      <c r="AI947" s="289"/>
      <c r="AJ947" s="289"/>
      <c r="AK947" s="289"/>
      <c r="AL947" s="289"/>
      <c r="AM947" s="289"/>
      <c r="AN947" s="289"/>
      <c r="AO947" s="289"/>
      <c r="AP947" s="289"/>
      <c r="AQ947" s="289"/>
      <c r="AR947" s="289"/>
      <c r="AS947" s="289"/>
      <c r="AT947" s="289"/>
      <c r="AU947" s="289"/>
      <c r="AV947" s="289"/>
      <c r="AW947" s="289"/>
      <c r="AX947" s="289"/>
      <c r="AY947" s="289"/>
    </row>
    <row r="948" spans="1:51" ht="13.5" customHeight="1">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c r="AA948" s="289"/>
      <c r="AB948" s="289"/>
      <c r="AC948" s="289"/>
      <c r="AD948" s="289"/>
      <c r="AE948" s="289"/>
      <c r="AF948" s="289"/>
      <c r="AG948" s="289"/>
      <c r="AH948" s="289"/>
      <c r="AI948" s="289"/>
      <c r="AJ948" s="289"/>
      <c r="AK948" s="289"/>
      <c r="AL948" s="289"/>
      <c r="AM948" s="289"/>
      <c r="AN948" s="289"/>
      <c r="AO948" s="289"/>
      <c r="AP948" s="289"/>
      <c r="AQ948" s="289"/>
      <c r="AR948" s="289"/>
      <c r="AS948" s="289"/>
      <c r="AT948" s="289"/>
      <c r="AU948" s="289"/>
      <c r="AV948" s="289"/>
      <c r="AW948" s="289"/>
      <c r="AX948" s="289"/>
      <c r="AY948" s="289"/>
    </row>
  </sheetData>
  <sheetProtection algorithmName="SHA-512" hashValue="WwC+lKfe1Sn4Y0OO2q9zjFXlsCq82kJ5bXLEhOLhhdUpQdOdePmpMLJrvGVVVwhoG1MzKGtBie6WZmqsVQvsjg==" saltValue="PMCSO9QwsVQ3/+Gz8oxW2g==" spinCount="100000" sheet="1" formatColumns="0" formatRows="0"/>
  <mergeCells count="10">
    <mergeCell ref="B2:V2"/>
    <mergeCell ref="B4:V5"/>
    <mergeCell ref="B7:V7"/>
    <mergeCell ref="F10:G10"/>
    <mergeCell ref="I10:J10"/>
    <mergeCell ref="B33:V33"/>
    <mergeCell ref="B43:J43"/>
    <mergeCell ref="B51:V51"/>
    <mergeCell ref="D15:D16"/>
    <mergeCell ref="B35:N35"/>
  </mergeCells>
  <phoneticPr fontId="18" type="noConversion"/>
  <pageMargins left="0.7" right="0.7" top="0.75" bottom="0.7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7848-52AC-44ED-A5E6-4D1CF3BA47DC}">
  <dimension ref="B1:AP57"/>
  <sheetViews>
    <sheetView showGridLines="0" zoomScale="70" zoomScaleNormal="70" workbookViewId="0"/>
  </sheetViews>
  <sheetFormatPr defaultColWidth="8.625" defaultRowHeight="14.1"/>
  <cols>
    <col min="1" max="1" width="1.875" style="208" customWidth="1"/>
    <col min="2" max="2" width="16.625" style="208" customWidth="1"/>
    <col min="3" max="3" width="16" style="208" bestFit="1" customWidth="1"/>
    <col min="4" max="4" width="14.375" style="208" customWidth="1"/>
    <col min="5" max="5" width="15.375" style="208" bestFit="1" customWidth="1"/>
    <col min="6" max="6" width="14.25" style="208" bestFit="1" customWidth="1"/>
    <col min="7" max="7" width="11.625" style="208" bestFit="1" customWidth="1"/>
    <col min="8" max="8" width="10.5" style="208" bestFit="1" customWidth="1"/>
    <col min="9" max="9" width="16.25" style="208" bestFit="1" customWidth="1"/>
    <col min="10" max="18" width="10.5" style="208" bestFit="1" customWidth="1"/>
    <col min="19" max="25" width="10.875" style="208" bestFit="1" customWidth="1"/>
    <col min="26" max="27" width="10.875" style="208" customWidth="1"/>
    <col min="28" max="42" width="4.875" style="208" bestFit="1" customWidth="1"/>
    <col min="43" max="16384" width="8.625" style="208"/>
  </cols>
  <sheetData>
    <row r="1" spans="2:41">
      <c r="D1" s="209" t="s">
        <v>192</v>
      </c>
    </row>
    <row r="2" spans="2:41" ht="36" customHeight="1">
      <c r="B2" s="386" t="s">
        <v>227</v>
      </c>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c r="AE2" s="386"/>
      <c r="AF2" s="386"/>
      <c r="AG2" s="386"/>
      <c r="AH2" s="386"/>
      <c r="AI2" s="386"/>
      <c r="AJ2" s="386"/>
      <c r="AK2" s="386"/>
      <c r="AL2" s="386"/>
      <c r="AM2" s="386"/>
      <c r="AN2" s="386"/>
      <c r="AO2" s="386"/>
    </row>
    <row r="4" spans="2:41">
      <c r="B4" s="416" t="s">
        <v>228</v>
      </c>
      <c r="C4" s="417"/>
      <c r="D4" s="417"/>
      <c r="E4" s="417"/>
      <c r="F4" s="417"/>
      <c r="G4" s="417"/>
      <c r="H4" s="417"/>
      <c r="I4" s="417"/>
      <c r="J4" s="417"/>
      <c r="K4" s="417"/>
      <c r="L4" s="417"/>
      <c r="M4" s="417"/>
      <c r="N4" s="417"/>
      <c r="O4" s="418"/>
    </row>
    <row r="5" spans="2:41">
      <c r="B5" s="419"/>
      <c r="C5" s="420"/>
      <c r="D5" s="420"/>
      <c r="E5" s="420"/>
      <c r="F5" s="420"/>
      <c r="G5" s="420"/>
      <c r="H5" s="420"/>
      <c r="I5" s="420"/>
      <c r="J5" s="420"/>
      <c r="K5" s="420"/>
      <c r="L5" s="420"/>
      <c r="M5" s="420"/>
      <c r="N5" s="420"/>
      <c r="O5" s="421"/>
    </row>
    <row r="6" spans="2:41">
      <c r="B6" s="419"/>
      <c r="C6" s="420"/>
      <c r="D6" s="420"/>
      <c r="E6" s="420"/>
      <c r="F6" s="420"/>
      <c r="G6" s="420"/>
      <c r="H6" s="420"/>
      <c r="I6" s="420"/>
      <c r="J6" s="420"/>
      <c r="K6" s="420"/>
      <c r="L6" s="420"/>
      <c r="M6" s="420"/>
      <c r="N6" s="420"/>
      <c r="O6" s="421"/>
    </row>
    <row r="7" spans="2:41">
      <c r="B7" s="422"/>
      <c r="C7" s="423"/>
      <c r="D7" s="423"/>
      <c r="E7" s="423"/>
      <c r="F7" s="423"/>
      <c r="G7" s="423"/>
      <c r="H7" s="423"/>
      <c r="I7" s="423"/>
      <c r="J7" s="423"/>
      <c r="K7" s="423"/>
      <c r="L7" s="423"/>
      <c r="M7" s="423"/>
      <c r="N7" s="423"/>
      <c r="O7" s="424"/>
    </row>
    <row r="9" spans="2:41">
      <c r="B9" s="427" t="s">
        <v>195</v>
      </c>
      <c r="C9" s="427"/>
      <c r="D9" s="427"/>
      <c r="E9" s="427"/>
      <c r="F9" s="427"/>
      <c r="G9" s="427"/>
      <c r="I9" s="425" t="s">
        <v>196</v>
      </c>
      <c r="J9" s="425"/>
      <c r="K9" s="425"/>
      <c r="L9" s="425"/>
      <c r="M9" s="425"/>
    </row>
    <row r="10" spans="2:41">
      <c r="B10" s="427"/>
      <c r="C10" s="427"/>
      <c r="D10" s="427"/>
      <c r="E10" s="427"/>
      <c r="F10" s="427"/>
      <c r="G10" s="427"/>
      <c r="I10" s="425"/>
      <c r="J10" s="425"/>
      <c r="K10" s="425"/>
      <c r="L10" s="425"/>
      <c r="M10" s="425"/>
    </row>
    <row r="11" spans="2:41" ht="14.45" thickBot="1">
      <c r="B11" s="428"/>
      <c r="C11" s="428"/>
      <c r="D11" s="428"/>
      <c r="E11" s="428"/>
      <c r="F11" s="428"/>
      <c r="G11" s="428"/>
      <c r="I11" s="426"/>
      <c r="J11" s="426"/>
      <c r="K11" s="426"/>
      <c r="L11" s="426"/>
      <c r="M11" s="426"/>
    </row>
    <row r="12" spans="2:41" ht="42.6" thickBot="1">
      <c r="B12" s="210" t="s">
        <v>197</v>
      </c>
      <c r="C12" s="373" t="s">
        <v>198</v>
      </c>
      <c r="D12" s="211" t="s">
        <v>199</v>
      </c>
      <c r="E12" s="373" t="s">
        <v>229</v>
      </c>
      <c r="F12" s="211" t="s">
        <v>201</v>
      </c>
      <c r="G12" s="212" t="s">
        <v>202</v>
      </c>
      <c r="I12" s="213" t="s">
        <v>203</v>
      </c>
      <c r="J12" s="214">
        <v>1</v>
      </c>
      <c r="K12" s="214">
        <v>2</v>
      </c>
      <c r="L12" s="214">
        <v>3</v>
      </c>
      <c r="M12" s="215">
        <v>4</v>
      </c>
    </row>
    <row r="13" spans="2:41">
      <c r="B13" s="216" t="str">
        <f>'1. Business Financials'!F27</f>
        <v/>
      </c>
      <c r="C13" s="217">
        <f>IFERROR((C47*$C$32+D47*$C$33+E47*$C$34+F47*$C$35+C49*$C$32+D49*$C$33+E49*$C$34+F49*$C$35)-(C53*$C$32+$C$33*D53+E53*$C$34+$C$35*F53),0)</f>
        <v>0</v>
      </c>
      <c r="D13" s="218">
        <f>SUM(C48,C52)*$C$32+SUM(D48,D52)*$C$33+SUM(E48,E52)*$C$34+SUM(F48,F52)*$C$35</f>
        <v>0</v>
      </c>
      <c r="E13" s="218">
        <f>(C53*$C$32+$C$33*D53+E53*$C$34+$C$35*F53)</f>
        <v>0</v>
      </c>
      <c r="F13" s="219">
        <f>(C47*$C$32+D47*$C$33+E47*$C$34+F47*$C$35)</f>
        <v>0</v>
      </c>
      <c r="G13" s="220">
        <f>SUM(C48,C49,C52)*$C$32+SUM(D48,D49,D52)*$C$33+SUM(E48,E49,E52)*$C$34+SUM(F48,F49,F52)*$C$35</f>
        <v>0</v>
      </c>
      <c r="I13" s="221">
        <v>0</v>
      </c>
      <c r="J13" s="222">
        <v>1</v>
      </c>
      <c r="K13" s="222">
        <v>1</v>
      </c>
      <c r="L13" s="222">
        <v>1</v>
      </c>
      <c r="M13" s="223">
        <v>1</v>
      </c>
      <c r="N13" s="224"/>
      <c r="O13" s="224"/>
      <c r="P13" s="224"/>
    </row>
    <row r="14" spans="2:41">
      <c r="B14" s="225" t="str">
        <f>'1. Business Financials'!G27</f>
        <v/>
      </c>
      <c r="C14" s="226">
        <f>IFERROR((C13+(1-$C$32)*C47+(1-$C$33)*D47+(1-$C$34)*E47+(1-$C$35)*F47+$C$32*G47+$C$33*H47+$C$34*I47+$C$35*J47+(1-$C$32)*C49+(1-$C$33)*D49+(1-$C$34)*E49+(1-$C$35)*F49+$C$32*G49+$C$33*H49+$C$34*I49+$C$35*J49)-((1-$C$32)*C53+(1-$C$33)*D53+(1-$C$34)*E53+(1-$C$35)*F53+$C$32*G53+$C$33*H53+$C$34*I53+$C$35*J53),0)</f>
        <v>0</v>
      </c>
      <c r="D14" s="227">
        <f>SUM(C48,C52)*(1-$C$32)+SUM(D48,D52)*(1-$C$33)+SUM(E48,E52)*(1-$C$34)+SUM(F48,F52)*(1-$C$35)+SUM(G48,G52)*$C$32+SUM(H48,H52)*$C$33+SUM(I48,I52)*$C$34+SUM(J48,J52)*$C$35</f>
        <v>0</v>
      </c>
      <c r="E14" s="227">
        <f>(1-$C$32)*C53+(1-$C$33)*D53+(1-$C$34)*E53+(1-$C$35)*F53+$C$32*G53+$C$33*H53+$C$34*I53+$C$35*J53</f>
        <v>0</v>
      </c>
      <c r="F14" s="228">
        <f>(1-$C$32)*C47+(1-$C$33)*D47+(1-$C$34)*E47+(1-$C$35)*F47+$C$32*G47+$C$33*H47+$C$34*I47+$C$35*J47</f>
        <v>0</v>
      </c>
      <c r="G14" s="229">
        <f>SUM(C48,C49,C52)*(1-$C$32)+SUM(D48,D49,D52)*(1-$C$33)+SUM(E48,E49,E52)*(1-$C$34)+SUM(F48,F49,F52)*(1-$C$35)+SUM(G48,G49,G52)*$C$32+SUM(H48,H49,H52)*$C$33+SUM(I48,I49,I52)*$C$34+SUM(J48,J49,J52)*$C$35</f>
        <v>0</v>
      </c>
      <c r="I14" s="230">
        <v>1</v>
      </c>
      <c r="J14" s="231">
        <v>0.33</v>
      </c>
      <c r="K14" s="231">
        <v>0</v>
      </c>
      <c r="L14" s="231">
        <v>0</v>
      </c>
      <c r="M14" s="232">
        <v>0</v>
      </c>
    </row>
    <row r="15" spans="2:41">
      <c r="B15" s="225" t="str">
        <f>'1. Business Financials'!H27</f>
        <v/>
      </c>
      <c r="C15" s="226">
        <f>IFERROR((C14+(1-$C$32)*G47+(1-$C$33)*H47+(1-$C$34)*I47+(1-$C$35)*J47+$C$32*K47+$C$33*L47+$C$34*M47+$C$35*N47+(1-$C$32)*G49+(1-$C$33)*H49+(1-$C$34)*I49+(1-$C$35)*J49+$C$32*K49+$C$33*L49+$C$34*M49+$C$35*N49)-((1-$C$32)*G53+(1-$C$33)*H53+(1-$C$34)*I53+(1-$C$35)*J53+$C$32*K53+$C$33*L53+$C$34*M53+$C$35*N53),0)</f>
        <v>0</v>
      </c>
      <c r="D15" s="227">
        <f>SUM(G48,G52)*(1-$C$32)+SUM(H48,H52)*(1-$C$33)+SUM(I48,I52)*(1-$C$34)+SUM(J48,J52)*(1-$C$35)+SUM(K48,K52)*$C$32+SUM(L48,L52)*$C$33+SUM(M48,M52)*$C$34+SUM(N48,N52)*$C$35</f>
        <v>0</v>
      </c>
      <c r="E15" s="227">
        <f>(1-$C$32)*G53+(1-$C$33)*H53+(1-$C$34)*I53+(1-$C$35)*J53+$C$32*K53+$C$33*L53+$C$34*M53+$C$35*N53</f>
        <v>0</v>
      </c>
      <c r="F15" s="233">
        <f>(1-$C$32)*G47+(1-$C$33)*H47+(1-$C$34)*I47+(1-$C$35)*J47+$C$32*K47+$C$33*L47+$C$34*M47+$C$35*N47</f>
        <v>0</v>
      </c>
      <c r="G15" s="229">
        <f>SUM(G48,G49,G52)*(1-$C$32)+SUM(H48,H49,H52)*(1-$C$33)+SUM(I48,I49,I52)*(1-$C$34)+SUM(J48,J49,J52)*(1-$C$35)+SUM(K48,K49,K52)*$C$32+SUM(L48,L49,L52)*$C$33+SUM(M48,M49,M52)*$C$34+SUM(N48,N49,N52)*$C$35</f>
        <v>0</v>
      </c>
      <c r="I15" s="230">
        <v>2</v>
      </c>
      <c r="J15" s="231">
        <v>0.67</v>
      </c>
      <c r="K15" s="231">
        <v>0</v>
      </c>
      <c r="L15" s="231">
        <v>0</v>
      </c>
      <c r="M15" s="232">
        <v>0</v>
      </c>
    </row>
    <row r="16" spans="2:41">
      <c r="B16" s="225" t="str">
        <f>'1. Business Financials'!I27</f>
        <v/>
      </c>
      <c r="C16" s="226">
        <f>IFERROR((C15+(1-$C$32)*K47+(1-$C$33)*L47+(1-$C$34)*M47+(1-$C$35)*N47+$C$32*O47+$C$33*P47+$C$34*Q47+$C$35*R47+(1-$C$32)*K49+(1-$C$33)*L49+(1-$C$34)*M49+(1-$C$35)*N49+$C$32*O49+$C$33*P49+$C$34*Q49+$C$35*R49)-((1-$C$32)*K53+(1-$C$33)*L53+(1-$C$34)*M53+(1-$C$35)*N53+$C$32*O53+$C$33*P53+$C$34*Q53+$C$35*R53),0)</f>
        <v>0</v>
      </c>
      <c r="D16" s="227">
        <f>SUM(K48,K52)*(1-$C$32)+SUM(L48,L52)*(1-$C$33)+SUM(M48,M52)*(1-$C$34)+SUM(N48,N52)*(1-$C$35)+SUM(O48,O52)*$C$32+SUM(P48,P52)*$C$33+SUM(Q48,Q52)*$C$34+SUM(R48,R52)*$C$35</f>
        <v>0</v>
      </c>
      <c r="E16" s="227">
        <f>(1-$C$32)*K53+(1-$C$33)*L53+(1-$C$34)*M53+(1-$C$35)*N53+$C$32*O53+$C$33*P53+$C$34*Q53+$C$35*R53</f>
        <v>0</v>
      </c>
      <c r="F16" s="233">
        <f>(1-$C$32)*K47+(1-$C$33)*L47+(1-$C$34)*M47+(1-$C$35)*N47+$C$32*O47+$C$33*P47+$C$34*Q47+$C$35*R47</f>
        <v>0</v>
      </c>
      <c r="G16" s="229">
        <f>SUM(K48,K49,K52)*(1-$C$32)+SUM(L48,L49,L52)*(1-$C$33)+SUM(M48,M49,M52)*(1-$C$34)+SUM(N48,N49,N52)*(1-$C$35)+SUM(O48,O49,O52)*$C$32+SUM(P48,P49,P52)*$C$33+SUM(Q48,Q49,Q52)*$C$34+SUM(R48,R49,R52)*$C$35</f>
        <v>0</v>
      </c>
      <c r="I16" s="230">
        <v>3</v>
      </c>
      <c r="J16" s="231">
        <v>1</v>
      </c>
      <c r="K16" s="231">
        <v>0</v>
      </c>
      <c r="L16" s="231">
        <v>0</v>
      </c>
      <c r="M16" s="234">
        <v>0</v>
      </c>
    </row>
    <row r="17" spans="2:13">
      <c r="B17" s="225" t="str">
        <f>'1. Business Financials'!J27</f>
        <v/>
      </c>
      <c r="C17" s="226">
        <f>IFERROR((C16+(1-$C$32)*O47+(1-$C$33)*P47+(1-$C$34)*Q47+(1-$C$35)*R47+$C$32*S47+$C$33*T47+$C$34*U47+$C$35*V47+(1-$C$32)*O49+(1-$C$33)*P49+(1-$C$34)*Q49+(1-$C$35)*R49+$C$32*S49+$C$33*T49+$C$34*U49+$C$35*V49)-((1-$C$32)*O53+(1-$C$33)*P53+(1-$C$34)*Q53+(1-$C$35)*R53+$C$32*S53+$C$33*T53+$C$34*U53+$C$35*V53),0)</f>
        <v>0</v>
      </c>
      <c r="D17" s="227">
        <f>SUM(O48,O52)*(1-$C$32)+SUM(P48,P52)*(1-$C$33)+SUM(Q48,Q52)*(1-$C$34)+SUM(R48,R52)*(1-$C$35)+SUM(S48,S52)*$C$32+SUM(T48,T52)*$C$33+SUM(U48,U52)*$C$34+SUM(V48,V52)*$C$35</f>
        <v>0</v>
      </c>
      <c r="E17" s="227">
        <f>(1-$C$32)*O53+(1-$C$33)*P53+(1-$C$34)*Q53+(1-$C$35)*R53+$C$32*S53+$C$33*T53+$C$34*U53+$C$35*V53</f>
        <v>0</v>
      </c>
      <c r="F17" s="233">
        <f>(1-$C$32)*O47+(1-$C$33)*P47+(1-$C$34)*Q47+(1-$C$35)*R47+$C$32*S47+$C$33*T47+$C$34*U47+$C$35*V47</f>
        <v>0</v>
      </c>
      <c r="G17" s="229">
        <f>SUM(O48,O49,O52)*(1-$C$32)+SUM(P48,P49,P52)*(1-$C$33)+SUM(Q48,Q49,Q52)*(1-$C$34)+SUM(R48,R49,R52)*(1-$C$35)+SUM(S48,S49,S52)*$C$32+SUM(T48,T49,T52)*$C$33+SUM(U48,U49,U52)*$C$34+SUM(V48,V49,V52)*$C$35</f>
        <v>0</v>
      </c>
      <c r="I17" s="230">
        <v>4</v>
      </c>
      <c r="J17" s="231">
        <v>1</v>
      </c>
      <c r="K17" s="231">
        <v>0.33</v>
      </c>
      <c r="L17" s="231">
        <v>0</v>
      </c>
      <c r="M17" s="234">
        <v>0</v>
      </c>
    </row>
    <row r="18" spans="2:13">
      <c r="B18" s="225" t="str">
        <f>'1. Business Financials'!K27</f>
        <v/>
      </c>
      <c r="C18" s="226">
        <f>IFERROR((C17+(1-$C$32)*S47+(1-$C$33)*T47+(1-$C$34)*U47+(1-$C$35)*V47+$C$32*W47+$C$33*X47+$C$34*Y47+$C$35*Z47)-((1-$C$32)*S53+(1-$C$33)*T53+(1-$C$34)*U53+(1-$C$35)*V53+$C$32*W53+$C$33*X53+$C$34*Y53+$C$35*Z53),0)</f>
        <v>0</v>
      </c>
      <c r="D18" s="227">
        <f>SUM(S48,S52)*(1-$C$32)+SUM(T48,T52)*(1-$C$33)+SUM(U48,U52)*(1-$C$34)+SUM(V48,V52)*(1-$C$35)+SUM(W48,W52)*$C$32+SUM(X48,X52)*$C$33+SUM(Y48,Y52)*$C$34+SUM(Z48,Z52)*$C$35</f>
        <v>0</v>
      </c>
      <c r="E18" s="227">
        <f>(1-$C$32)*S53+(1-$C$33)*T53+(1-$C$34)*U53+(1-$C$35)*V53+$C$32*W53+$C$33*X53+$C$34*Y53+$C$35*Z53</f>
        <v>0</v>
      </c>
      <c r="F18" s="233">
        <f>(1-$C$32)*S47+(1-$C$33)*T47+(1-$C$34)*U47+(1-$C$35)*V47+$C$32*W47+$C$33*X47+$C$34*Y47+$C$35*Z47</f>
        <v>0</v>
      </c>
      <c r="G18" s="229">
        <f>SUM(S48,S49,S52)*(1-$C$32)+SUM(T48,T49,T52)*(1-$C$33)+SUM(U48,U49,U52)*(1-$C$34)+SUM(V48,V49,V52)*(1-$C$35)+SUM(W48,W49,W52)*$C$32+SUM(X48,X49,X52)*$C$33+SUM(Y48,Y49,Y52)*$C$34+SUM(Z48,Z49,Z52)*$C$35</f>
        <v>0</v>
      </c>
      <c r="I18" s="230">
        <v>5</v>
      </c>
      <c r="J18" s="231">
        <v>1</v>
      </c>
      <c r="K18" s="231">
        <v>0.67</v>
      </c>
      <c r="L18" s="231">
        <v>0</v>
      </c>
      <c r="M18" s="234">
        <v>0</v>
      </c>
    </row>
    <row r="19" spans="2:13">
      <c r="B19" s="225" t="str">
        <f>'1. Business Financials'!L27</f>
        <v/>
      </c>
      <c r="C19" s="226">
        <f>IFERROR((C18+(1-$C$32)*W47+(1-$C$33)*X47+(1-$C$34)*Y47+(1-$C$35)*Z47+$C$32*AA47+$C$33*AB47+$C$34*AC47+$C$35*AD47+(1-$C$32)*W49+(1-$C$33)*X49+(1-$C$34)*Y49+(1-$C$35)*Z49+$C$32*AA49+$C$33*AB49+$C$34*AC49+$C$35*AD49)-((1-$C$32)*W53+(1-$C$33)*X53+(1-$C$34)*Y53+(1-$C$35)*Z53+$C$32*AA53+$C$33*AB53+$C$34*AC53+$C$35*AD53),0)</f>
        <v>0</v>
      </c>
      <c r="D19" s="227">
        <f>SUM(W48,W52)*(1-$C$32)+SUM(X48,X52)*(1-$C$33)+SUM(Y48,Y52)*(1-$C$34)+SUM(Z48,Z52)*(1-$C$35)+SUM(AA48,AA52)*$C$32+SUM(AB48,AB52)*$C$33+SUM(AC48,AC52)*$C$34+SUM(AD48,AD52)*$C$35</f>
        <v>0</v>
      </c>
      <c r="E19" s="227">
        <f>(1-$C$32)*W53+(1-$C$33)*X53+(1-$C$34)*Y53+(1-$C$35)*Z53+$C$32*AA53+$C$33*AB53+$C$34*AC53+$C$35*AD53</f>
        <v>0</v>
      </c>
      <c r="F19" s="233">
        <f>(1-$C$32)*W47+(1-$C$33)*X47+(1-$C$34)*Y47+(1-$C$35)*Z47+$C$32*AA47+$C$33*AB47+$C$34*AC47+$C$35*AD47</f>
        <v>0</v>
      </c>
      <c r="G19" s="229">
        <f>SUM(W48,W49,W52)*(1-$C$32)+SUM(X48,X49,X52)*(1-$C$33)+SUM(Y48,Y49,Y52)*(1-$C$34)+SUM(Z48,Z49,Z52)*(1-$C$35)+SUM(AA48,AA49,AA52)*$C$32+SUM(AB48,AB49,AB52)*$C$33+SUM(AC48,AC49,AC52)*$C$34+SUM(AD48,AD49,AD52)*$C$35</f>
        <v>0</v>
      </c>
      <c r="I19" s="230">
        <v>6</v>
      </c>
      <c r="J19" s="231">
        <v>1</v>
      </c>
      <c r="K19" s="231">
        <v>1</v>
      </c>
      <c r="L19" s="235">
        <v>0</v>
      </c>
      <c r="M19" s="234">
        <v>0</v>
      </c>
    </row>
    <row r="20" spans="2:13">
      <c r="B20" s="225" t="str">
        <f>'1. Business Financials'!M27</f>
        <v/>
      </c>
      <c r="C20" s="226">
        <f>IFERROR((C19+(1-$C$32)*AA47+(1-$C$33)*AB47+(1-$C$34)*AC47+(1-$C$35)*AD47+$C$32*AE47+$C$33*AF47+$C$34*AG47+$C$35*AH47+(1-$C$32)*AA49+(1-$C$33)*AB49+(1-$C$34)*AC49+(1-$C$35)*AD49+$C$32*AE49+$C$33*AF49+$C$34*AG49+$C$35*AH49)-((1-$C$32)*AA53+(1-$C$33)*AB53+(1-$C$34)*AC53+(1-$C$35)*AD53+$C$32*AE53+$C$33*AF53+$C$34*AG53+$C$35*AH53),0)</f>
        <v>0</v>
      </c>
      <c r="D20" s="227">
        <f>SUM(AA48,AA52)*(1-$C$32)+SUM(AB48,AB52)*(1-$C$33)+SUM(AC48,AC52)*(1-$C$34)+SUM(AD48,AD52)*(1-$C$35)+SUM(AE48,AE52)*$C$32+SUM(AF48,AF52)*$C$33+SUM(AG48,AG52)*$C$34+SUM(AH48,AH52)*$C$35</f>
        <v>0</v>
      </c>
      <c r="E20" s="227">
        <f>(1-$C$32)*AA53+(1-$C$33)*AB53+(1-$C$34)*AC53+(1-$C$35)*AD53+$C$32*AE53+$C$33*AF53+$C$34*AG53+$C$35*AH53</f>
        <v>0</v>
      </c>
      <c r="F20" s="233">
        <f>(1-$C$32)*AA47+(1-$C$33)*AB47+(1-$C$34)*AC47+(1-$C$35)*AD47+$C$32*AE47+$C$33*AF47+$C$34*AG47+$C$35*AH47</f>
        <v>0</v>
      </c>
      <c r="G20" s="229">
        <f>SUM(AA48,AA49,AA52)*(1-$C$32)+SUM(AB48,AB49,AB52)*(1-$C$33)+SUM(AC48,AC49,AC52)*(1-$C$34)+SUM(AD48,AD49,AD52)*(1-$C$35)+SUM(AE48,AE49,AE52)*$C$32+SUM(AF48,AF49,AF52)*$C$33+SUM(AG48,AG49,AG52)*$C$34+SUM(AH48,AH49,AH52)*$C$35</f>
        <v>0</v>
      </c>
      <c r="I20" s="230">
        <v>7</v>
      </c>
      <c r="J20" s="231">
        <v>1</v>
      </c>
      <c r="K20" s="231">
        <v>1</v>
      </c>
      <c r="L20" s="235">
        <v>0.33</v>
      </c>
      <c r="M20" s="234">
        <v>0</v>
      </c>
    </row>
    <row r="21" spans="2:13">
      <c r="B21" s="225" t="str">
        <f>'1. Business Financials'!N27</f>
        <v/>
      </c>
      <c r="C21" s="226">
        <f>IFERROR((C20+(1-$C$32)*AE47+(1-$C$33)*AF47+(1-$C$34)*AG47+(1-$C$35)*AH47+$C$32*AI47+$C$33*AJ47+$C$34*AK47+$C$35*AL47+(1-$C$32)*AE49+(1-$C$33)*AF49+(1-$C$34)*AG49+(1-$C$35)*AH49+$C$32*AI49+$C$33*AJ49+$C$34*AK49+$C$35*AL49)-((1-$C$32)*AE53+(1-$C$33)*AF53+(1-$C$34)*AG53+(1-$C$35)*AH53+$C$32*AI53+$C$33*AJ53+$C$34*AK53+$C$35*AL53),0)</f>
        <v>0</v>
      </c>
      <c r="D21" s="227">
        <f>SUM(AE48,AE52)*(1-$C$32)+SUM(AF48,AF52)*(1-$C$33)+SUM(AG48,AG52)*(1-$C$34)+SUM(AH48,AH52)*(1-$C$35)+SUM(AI48,AI52)*$C$32+SUM(AJ48,AJ52)*$C$33+SUM(AK48,AK52)*$C$34+SUM(AL48,AL52)*$C$35</f>
        <v>0</v>
      </c>
      <c r="E21" s="227">
        <f>(1-$C$32)*AE53+(1-$C$33)*AF53+(1-$C$34)*AG53+(1-$C$35)*AH53+$C$32*AI53+$C$33*AJ53+$C$34*AK53+$C$35*AL53</f>
        <v>0</v>
      </c>
      <c r="F21" s="233">
        <f>(1-$C$32)*AE47+(1-$C$33)*AF47+(1-$C$34)*AG47+(1-$C$35)*AH47+$C$32*AI47+$C$33*AJ47+$C$34*AK47+$C$35*AL47</f>
        <v>0</v>
      </c>
      <c r="G21" s="229">
        <f>SUM(AE48,AE49,AE52)*(1-$C$32)+SUM(AF48,AF49,AF52)*(1-$C$33)+SUM(AG48,AG49,AG52)*(1-$C$34)+SUM(AH48,AH49,AH52)*(1-$C$35)+SUM(AI48,AI49,AI52)*$C$32+SUM(AJ48,AJ49,AJ52)*$C$33+SUM(AK48,AK49,AK52)*$C$34+SUM(AL48,AL49,AL52)*$C$35</f>
        <v>0</v>
      </c>
      <c r="I21" s="230">
        <v>8</v>
      </c>
      <c r="J21" s="231">
        <v>1</v>
      </c>
      <c r="K21" s="231">
        <v>1</v>
      </c>
      <c r="L21" s="235">
        <v>0.67</v>
      </c>
      <c r="M21" s="234">
        <v>0</v>
      </c>
    </row>
    <row r="22" spans="2:13" ht="14.45" thickBot="1">
      <c r="B22" s="236" t="str">
        <f>'1. Business Financials'!O27</f>
        <v/>
      </c>
      <c r="C22" s="237">
        <f>IFERROR((C21+(1-$C$32)*AI47+(1-$C$33)*AJ47+(1-$C$34)*AK47+(1-$C$35)*AL47+$C$32*AM47+$C$33*AN47+$C$34*AO47+$C$35*OK47+(1-$C$32)*AI49+(1-$C$33)*AJ49+(1-$C$34)*AK49+(1-$C$35)*AL49+$C$32*AM49+$C$33*AN49+$C$34*AO49+$C$35*OK49)-((1-$C$32)*AI53+(1-$C$33)*AJ53+(1-$C$34)*AK53+(1-$C$35)*AL53+$C$32*AM53+$C$33*AN53+$C$34*AO53+$C$35*AP53),0)</f>
        <v>0</v>
      </c>
      <c r="D22" s="238">
        <f>SUM(AI48,AI52)*(1-$C$32)+SUM(AJ48,AJ52)*(1-$C$33)+SUM(AK48,AK52)*(1-$C$34)+SUM(AL48,AL52)*(1-$C$35)+SUM(AM48,AM52)*$C$32+SUM(AN48,AN52)*$C$33+SUM(AO48,AO52)*$C$34+SUM(AP48,AP52)*$C$35</f>
        <v>0</v>
      </c>
      <c r="E22" s="238">
        <f>(1-$C$32)*AI53+(1-$C$33)*AJ53+(1-$C$34)*AK53+(1-$C$35)*AL53+$C$32*AM53+$C$33*AN53+$C$34*AO53+$C$35*AP53</f>
        <v>0</v>
      </c>
      <c r="F22" s="239">
        <f>(1-$C$32)*AI47+(1-$C$33)*AJ47+(1-$C$34)*AK47+(1-$C$35)*AL47+$C$32*AM47+$C$33*AN47+$C$34*AO47+$C$35*AP47</f>
        <v>0</v>
      </c>
      <c r="G22" s="240">
        <f>SUM(AI48,AI49,AI52)*(1-$C$32)+SUM(AJ48,AJ49,AJ52)*(1-$C$33)+SUM(AK48,AK49,AK52)*(1-$C$34)+SUM(AL48,AL49,AL52)*(1-$C$35)+SUM(AM48,AM49,AM52)*$C$32+SUM(AN48,AN49,AN52)*$C$33+SUM(AO48,AO49,AO52)*$C$34+SUM(AP48,AP49,AP52)*$C$35</f>
        <v>0</v>
      </c>
      <c r="I22" s="230">
        <v>9</v>
      </c>
      <c r="J22" s="231">
        <v>1</v>
      </c>
      <c r="K22" s="235">
        <v>1</v>
      </c>
      <c r="L22" s="235">
        <v>1</v>
      </c>
      <c r="M22" s="234">
        <v>0</v>
      </c>
    </row>
    <row r="23" spans="2:13">
      <c r="G23" s="241"/>
      <c r="I23" s="230">
        <v>10</v>
      </c>
      <c r="J23" s="231">
        <v>1</v>
      </c>
      <c r="K23" s="235">
        <v>1</v>
      </c>
      <c r="L23" s="235">
        <v>1</v>
      </c>
      <c r="M23" s="234">
        <v>0.33</v>
      </c>
    </row>
    <row r="24" spans="2:13" ht="14.45" customHeight="1" thickBot="1">
      <c r="B24" s="425" t="s">
        <v>204</v>
      </c>
      <c r="C24" s="425"/>
      <c r="D24" s="425"/>
      <c r="E24" s="242"/>
      <c r="I24" s="243">
        <v>11</v>
      </c>
      <c r="J24" s="244">
        <v>1</v>
      </c>
      <c r="K24" s="245">
        <v>1</v>
      </c>
      <c r="L24" s="245">
        <v>1</v>
      </c>
      <c r="M24" s="246">
        <v>0.67</v>
      </c>
    </row>
    <row r="25" spans="2:13" ht="14.1" customHeight="1">
      <c r="B25" s="425"/>
      <c r="C25" s="425"/>
      <c r="D25" s="425"/>
      <c r="E25" s="242"/>
      <c r="I25" s="247"/>
      <c r="J25" s="248"/>
      <c r="K25" s="249"/>
      <c r="L25" s="249"/>
      <c r="M25" s="249"/>
    </row>
    <row r="26" spans="2:13" ht="14.1" customHeight="1">
      <c r="B26" s="425"/>
      <c r="C26" s="425"/>
      <c r="D26" s="425"/>
      <c r="E26" s="242"/>
      <c r="I26" s="247"/>
      <c r="J26" s="248"/>
      <c r="K26" s="249"/>
      <c r="L26" s="249"/>
      <c r="M26" s="249"/>
    </row>
    <row r="27" spans="2:13" ht="14.45" customHeight="1">
      <c r="B27" s="425"/>
      <c r="C27" s="425"/>
      <c r="D27" s="425"/>
      <c r="E27" s="242"/>
      <c r="I27" s="247"/>
      <c r="J27" s="248"/>
      <c r="K27" s="249"/>
      <c r="L27" s="249"/>
      <c r="M27" s="249"/>
    </row>
    <row r="28" spans="2:13" ht="14.45" thickBot="1">
      <c r="B28" s="426"/>
      <c r="C28" s="426"/>
      <c r="D28" s="426"/>
      <c r="E28" s="242"/>
      <c r="I28" s="247"/>
      <c r="J28" s="248"/>
      <c r="K28" s="249"/>
      <c r="L28" s="249"/>
      <c r="M28" s="249"/>
    </row>
    <row r="29" spans="2:13">
      <c r="B29" s="250" t="s">
        <v>205</v>
      </c>
      <c r="C29" s="251">
        <f>'1. Business Financials'!C21</f>
        <v>0</v>
      </c>
      <c r="D29" s="252"/>
    </row>
    <row r="30" spans="2:13">
      <c r="B30" s="253" t="s">
        <v>206</v>
      </c>
      <c r="C30" s="254">
        <f>IFERROR('1. Business Financials'!C19,0)</f>
        <v>0</v>
      </c>
      <c r="D30" s="255"/>
    </row>
    <row r="31" spans="2:13">
      <c r="B31" s="253" t="s">
        <v>207</v>
      </c>
      <c r="C31" s="256">
        <f>DATEDIF(C29,C30,"YM")</f>
        <v>0</v>
      </c>
      <c r="D31" s="257" t="s">
        <v>208</v>
      </c>
    </row>
    <row r="32" spans="2:13">
      <c r="B32" s="253" t="s">
        <v>209</v>
      </c>
      <c r="C32" s="258">
        <f>VLOOKUP($C$31,$I$13:$M$24,2,FALSE)</f>
        <v>1</v>
      </c>
      <c r="D32" s="255"/>
    </row>
    <row r="33" spans="2:42">
      <c r="B33" s="253" t="s">
        <v>210</v>
      </c>
      <c r="C33" s="258">
        <f>VLOOKUP($C$31,$I$13:$M$24,3,FALSE)</f>
        <v>1</v>
      </c>
      <c r="D33" s="255"/>
    </row>
    <row r="34" spans="2:42">
      <c r="B34" s="253" t="s">
        <v>211</v>
      </c>
      <c r="C34" s="258">
        <f>VLOOKUP($C$31,$I$13:$M$24,4,FALSE)</f>
        <v>1</v>
      </c>
      <c r="D34" s="255"/>
    </row>
    <row r="35" spans="2:42" ht="14.45" thickBot="1">
      <c r="B35" s="259" t="s">
        <v>212</v>
      </c>
      <c r="C35" s="260">
        <f>VLOOKUP($C$31,$I$13:$M$24,5,FALSE)</f>
        <v>1</v>
      </c>
      <c r="D35" s="261"/>
    </row>
    <row r="37" spans="2:42" ht="15" thickBot="1">
      <c r="B37" s="262" t="s">
        <v>213</v>
      </c>
    </row>
    <row r="38" spans="2:42" ht="14.45" thickBot="1">
      <c r="B38" s="210" t="s">
        <v>117</v>
      </c>
      <c r="C38" s="263">
        <v>1</v>
      </c>
      <c r="D38" s="263">
        <f>C38+1</f>
        <v>2</v>
      </c>
      <c r="E38" s="263">
        <f t="shared" ref="E38:AP38" si="0">D38+1</f>
        <v>3</v>
      </c>
      <c r="F38" s="263">
        <f t="shared" si="0"/>
        <v>4</v>
      </c>
      <c r="G38" s="263">
        <f t="shared" si="0"/>
        <v>5</v>
      </c>
      <c r="H38" s="263">
        <f t="shared" si="0"/>
        <v>6</v>
      </c>
      <c r="I38" s="263">
        <f t="shared" si="0"/>
        <v>7</v>
      </c>
      <c r="J38" s="263">
        <f t="shared" si="0"/>
        <v>8</v>
      </c>
      <c r="K38" s="263">
        <f t="shared" si="0"/>
        <v>9</v>
      </c>
      <c r="L38" s="263">
        <f t="shared" si="0"/>
        <v>10</v>
      </c>
      <c r="M38" s="263">
        <f t="shared" si="0"/>
        <v>11</v>
      </c>
      <c r="N38" s="263">
        <f t="shared" si="0"/>
        <v>12</v>
      </c>
      <c r="O38" s="263">
        <f t="shared" si="0"/>
        <v>13</v>
      </c>
      <c r="P38" s="263">
        <f t="shared" si="0"/>
        <v>14</v>
      </c>
      <c r="Q38" s="263">
        <f t="shared" si="0"/>
        <v>15</v>
      </c>
      <c r="R38" s="263">
        <f t="shared" si="0"/>
        <v>16</v>
      </c>
      <c r="S38" s="263">
        <f t="shared" si="0"/>
        <v>17</v>
      </c>
      <c r="T38" s="263">
        <f t="shared" si="0"/>
        <v>18</v>
      </c>
      <c r="U38" s="263">
        <f t="shared" si="0"/>
        <v>19</v>
      </c>
      <c r="V38" s="263">
        <f t="shared" si="0"/>
        <v>20</v>
      </c>
      <c r="W38" s="263">
        <f t="shared" si="0"/>
        <v>21</v>
      </c>
      <c r="X38" s="263">
        <f t="shared" si="0"/>
        <v>22</v>
      </c>
      <c r="Y38" s="263">
        <f t="shared" si="0"/>
        <v>23</v>
      </c>
      <c r="Z38" s="263">
        <f t="shared" si="0"/>
        <v>24</v>
      </c>
      <c r="AA38" s="263">
        <f t="shared" si="0"/>
        <v>25</v>
      </c>
      <c r="AB38" s="263">
        <f t="shared" si="0"/>
        <v>26</v>
      </c>
      <c r="AC38" s="263">
        <f t="shared" si="0"/>
        <v>27</v>
      </c>
      <c r="AD38" s="263">
        <f t="shared" si="0"/>
        <v>28</v>
      </c>
      <c r="AE38" s="263">
        <f t="shared" si="0"/>
        <v>29</v>
      </c>
      <c r="AF38" s="263">
        <f t="shared" si="0"/>
        <v>30</v>
      </c>
      <c r="AG38" s="263">
        <f t="shared" si="0"/>
        <v>31</v>
      </c>
      <c r="AH38" s="263">
        <f t="shared" si="0"/>
        <v>32</v>
      </c>
      <c r="AI38" s="263">
        <f t="shared" si="0"/>
        <v>33</v>
      </c>
      <c r="AJ38" s="263">
        <f t="shared" si="0"/>
        <v>34</v>
      </c>
      <c r="AK38" s="263">
        <f t="shared" si="0"/>
        <v>35</v>
      </c>
      <c r="AL38" s="263">
        <f t="shared" si="0"/>
        <v>36</v>
      </c>
      <c r="AM38" s="263">
        <f t="shared" si="0"/>
        <v>37</v>
      </c>
      <c r="AN38" s="263">
        <f t="shared" si="0"/>
        <v>38</v>
      </c>
      <c r="AO38" s="263">
        <f t="shared" si="0"/>
        <v>39</v>
      </c>
      <c r="AP38" s="264">
        <f t="shared" si="0"/>
        <v>40</v>
      </c>
    </row>
    <row r="39" spans="2:42" hidden="1">
      <c r="B39" s="216" t="s">
        <v>214</v>
      </c>
      <c r="C39" s="265">
        <f>'3. Repayment Calc Template'!G11</f>
        <v>0</v>
      </c>
      <c r="D39" s="265">
        <f>'3. Repayment Calc Template'!G12</f>
        <v>0</v>
      </c>
      <c r="E39" s="265">
        <f>'3. Repayment Calc Template'!G13</f>
        <v>0</v>
      </c>
      <c r="F39" s="265">
        <f>'3. Repayment Calc Template'!G14</f>
        <v>0</v>
      </c>
      <c r="G39" s="265">
        <f>'3. Repayment Calc Template'!G15</f>
        <v>0</v>
      </c>
      <c r="H39" s="265">
        <f>'3. Repayment Calc Template'!G16</f>
        <v>0</v>
      </c>
      <c r="I39" s="265">
        <f>'3. Repayment Calc Template'!G17</f>
        <v>0</v>
      </c>
      <c r="J39" s="265">
        <f>'3. Repayment Calc Template'!G18</f>
        <v>0</v>
      </c>
      <c r="K39" s="265">
        <f>'3. Repayment Calc Template'!G19</f>
        <v>0</v>
      </c>
      <c r="L39" s="265">
        <f>'3. Repayment Calc Template'!G20</f>
        <v>0</v>
      </c>
      <c r="M39" s="265">
        <f>'3. Repayment Calc Template'!G21</f>
        <v>0</v>
      </c>
      <c r="N39" s="265">
        <f>'3. Repayment Calc Template'!G22</f>
        <v>0</v>
      </c>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7"/>
    </row>
    <row r="40" spans="2:42" hidden="1">
      <c r="B40" s="225" t="s">
        <v>215</v>
      </c>
      <c r="C40" s="268">
        <f>(IFERROR(HLOOKUP('7. Reference Rate Calcs'!C38,'5. Reference Rate Template'!$C$37:$N$39,2,FALSE),HLOOKUP('7. Reference Rate Calcs'!C38,'5. Reference Rate Template'!$C$46:$K$48,2,FALSE)))</f>
        <v>0</v>
      </c>
      <c r="D40" s="268" t="e">
        <f>(IFERROR(HLOOKUP('7. Reference Rate Calcs'!D38,'5. Reference Rate Template'!$C$37:$N$39,2,FALSE),HLOOKUP('7. Reference Rate Calcs'!D38,'5. Reference Rate Template'!$C$46:$K$48,2,FALSE)))</f>
        <v>#N/A</v>
      </c>
      <c r="E40" s="268" t="e">
        <f>(IFERROR(HLOOKUP('7. Reference Rate Calcs'!E38,'5. Reference Rate Template'!$C$37:$N$39,2,FALSE),HLOOKUP('7. Reference Rate Calcs'!E38,'5. Reference Rate Template'!$C$46:$K$48,2,FALSE)))</f>
        <v>#N/A</v>
      </c>
      <c r="F40" s="268" t="e">
        <f>(IFERROR(HLOOKUP('7. Reference Rate Calcs'!F38,'5. Reference Rate Template'!$C$37:$N$39,2,FALSE),HLOOKUP('7. Reference Rate Calcs'!F38,'5. Reference Rate Template'!$C$46:$K$48,2,FALSE)))</f>
        <v>#N/A</v>
      </c>
      <c r="G40" s="268" t="e">
        <f>(IFERROR(HLOOKUP('7. Reference Rate Calcs'!G38,'5. Reference Rate Template'!$C$37:$N$39,2,FALSE),HLOOKUP('7. Reference Rate Calcs'!G38,'5. Reference Rate Template'!$C$46:$K$48,2,FALSE)))</f>
        <v>#N/A</v>
      </c>
      <c r="H40" s="268" t="e">
        <f>(IFERROR(HLOOKUP('7. Reference Rate Calcs'!H38,'5. Reference Rate Template'!$C$37:$N$39,2,FALSE),HLOOKUP('7. Reference Rate Calcs'!H38,'5. Reference Rate Template'!$C$46:$K$48,2,FALSE)))</f>
        <v>#N/A</v>
      </c>
      <c r="I40" s="268" t="e">
        <f>(IFERROR(HLOOKUP('7. Reference Rate Calcs'!I38,'5. Reference Rate Template'!$C$37:$N$39,2,FALSE),HLOOKUP('7. Reference Rate Calcs'!I38,'5. Reference Rate Template'!$C$46:$K$48,2,FALSE)))</f>
        <v>#N/A</v>
      </c>
      <c r="J40" s="268" t="e">
        <f>(IFERROR(HLOOKUP('7. Reference Rate Calcs'!J38,'5. Reference Rate Template'!$C$37:$N$39,2,FALSE),HLOOKUP('7. Reference Rate Calcs'!J38,'5. Reference Rate Template'!$C$46:$K$48,2,FALSE)))</f>
        <v>#N/A</v>
      </c>
      <c r="K40" s="268" t="e">
        <f>(IFERROR(HLOOKUP('7. Reference Rate Calcs'!K38,'5. Reference Rate Template'!$C$37:$N$39,2,FALSE),HLOOKUP('7. Reference Rate Calcs'!K38,'5. Reference Rate Template'!$C$46:$K$48,2,FALSE)))</f>
        <v>#N/A</v>
      </c>
      <c r="L40" s="268" t="e">
        <f>(IFERROR(HLOOKUP('7. Reference Rate Calcs'!L38,'5. Reference Rate Template'!$C$37:$N$39,2,FALSE),HLOOKUP('7. Reference Rate Calcs'!L38,'5. Reference Rate Template'!$C$46:$K$48,2,FALSE)))</f>
        <v>#N/A</v>
      </c>
      <c r="M40" s="268" t="e">
        <f>(IFERROR(HLOOKUP('7. Reference Rate Calcs'!M38,'5. Reference Rate Template'!$C$37:$N$39,2,FALSE),HLOOKUP('7. Reference Rate Calcs'!M38,'5. Reference Rate Template'!$C$46:$K$48,2,FALSE)))</f>
        <v>#N/A</v>
      </c>
      <c r="N40" s="268" t="e">
        <f>(IFERROR(HLOOKUP('7. Reference Rate Calcs'!N38,'5. Reference Rate Template'!$C$37:$N$39,2,FALSE),HLOOKUP('7. Reference Rate Calcs'!N38,'5. Reference Rate Template'!$C$46:$K$48,2,FALSE)))</f>
        <v>#N/A</v>
      </c>
      <c r="O40" s="268" t="e">
        <f>(IFERROR(HLOOKUP('7. Reference Rate Calcs'!O38,'5. Reference Rate Template'!$C$37:$N$39,2,FALSE),HLOOKUP('7. Reference Rate Calcs'!O38,'5. Reference Rate Template'!$C$46:$K$48,2,FALSE)))</f>
        <v>#N/A</v>
      </c>
      <c r="P40" s="268" t="e">
        <f>(IFERROR(HLOOKUP('7. Reference Rate Calcs'!P38,'5. Reference Rate Template'!$C$37:$N$39,2,FALSE),HLOOKUP('7. Reference Rate Calcs'!P38,'5. Reference Rate Template'!$C$46:$K$48,2,FALSE)))</f>
        <v>#N/A</v>
      </c>
      <c r="Q40" s="268" t="e">
        <f>(IFERROR(HLOOKUP('7. Reference Rate Calcs'!Q38,'5. Reference Rate Template'!$C$37:$N$39,2,FALSE),HLOOKUP('7. Reference Rate Calcs'!Q38,'5. Reference Rate Template'!$C$46:$K$48,2,FALSE)))</f>
        <v>#N/A</v>
      </c>
      <c r="R40" s="268" t="e">
        <f>(IFERROR(HLOOKUP('7. Reference Rate Calcs'!R38,'5. Reference Rate Template'!$C$37:$N$39,2,FALSE),HLOOKUP('7. Reference Rate Calcs'!R38,'5. Reference Rate Template'!$C$46:$K$48,2,FALSE)))</f>
        <v>#N/A</v>
      </c>
      <c r="S40" s="268" t="e">
        <f>(IFERROR(HLOOKUP('7. Reference Rate Calcs'!S38,'5. Reference Rate Template'!$C$37:$N$39,2,FALSE),HLOOKUP('7. Reference Rate Calcs'!S38,'5. Reference Rate Template'!$C$46:$K$48,2,FALSE)))</f>
        <v>#N/A</v>
      </c>
      <c r="T40" s="268" t="e">
        <f>(IFERROR(HLOOKUP('7. Reference Rate Calcs'!T38,'5. Reference Rate Template'!$C$37:$N$39,2,FALSE),HLOOKUP('7. Reference Rate Calcs'!T38,'5. Reference Rate Template'!$C$46:$K$48,2,FALSE)))</f>
        <v>#N/A</v>
      </c>
      <c r="U40" s="268" t="e">
        <f>(IFERROR(HLOOKUP('7. Reference Rate Calcs'!U38,'5. Reference Rate Template'!$C$37:$N$39,2,FALSE),HLOOKUP('7. Reference Rate Calcs'!U38,'5. Reference Rate Template'!$C$46:$K$48,2,FALSE)))</f>
        <v>#N/A</v>
      </c>
      <c r="V40" s="268" t="e">
        <f>(IFERROR(HLOOKUP('7. Reference Rate Calcs'!V38,'5. Reference Rate Template'!$C$37:$N$39,2,FALSE),HLOOKUP('7. Reference Rate Calcs'!V38,'5. Reference Rate Template'!$C$46:$K$48,2,FALSE)))</f>
        <v>#N/A</v>
      </c>
      <c r="W40" s="268" t="e">
        <f>(IFERROR(HLOOKUP('7. Reference Rate Calcs'!W38,'5. Reference Rate Template'!$C$37:$N$39,2,FALSE),HLOOKUP('7. Reference Rate Calcs'!W38,'5. Reference Rate Template'!$C$46:$K$48,2,FALSE)))</f>
        <v>#N/A</v>
      </c>
      <c r="X40" s="268" t="e">
        <f>(IFERROR(HLOOKUP('7. Reference Rate Calcs'!X38,'5. Reference Rate Template'!$C$37:$N$39,2,FALSE),HLOOKUP('7. Reference Rate Calcs'!X38,'5. Reference Rate Template'!$C$46:$K$48,2,FALSE)))</f>
        <v>#N/A</v>
      </c>
      <c r="Y40" s="268" t="e">
        <f>(IFERROR(HLOOKUP('7. Reference Rate Calcs'!Y38,'5. Reference Rate Template'!$C$37:$N$39,2,FALSE),HLOOKUP('7. Reference Rate Calcs'!Y38,'5. Reference Rate Template'!$C$46:$K$48,2,FALSE)))</f>
        <v>#N/A</v>
      </c>
      <c r="Z40" s="268" t="e">
        <f>(IFERROR(HLOOKUP('7. Reference Rate Calcs'!Z38,'5. Reference Rate Template'!$C$37:$N$39,2,FALSE),HLOOKUP('7. Reference Rate Calcs'!Z38,'5. Reference Rate Template'!$C$46:$K$48,2,FALSE)))</f>
        <v>#N/A</v>
      </c>
      <c r="AA40" s="268" t="e">
        <f>(IFERROR(HLOOKUP('7. Reference Rate Calcs'!AA38,'5. Reference Rate Template'!$C$37:$N$39,2,FALSE),HLOOKUP('7. Reference Rate Calcs'!AA38,'5. Reference Rate Template'!$C$46:$K$48,2,FALSE)))</f>
        <v>#N/A</v>
      </c>
      <c r="AB40" s="268" t="e">
        <f>(IFERROR(HLOOKUP('7. Reference Rate Calcs'!AB38,'5. Reference Rate Template'!$C$37:$N$39,2,FALSE),HLOOKUP('7. Reference Rate Calcs'!AB38,'5. Reference Rate Template'!$C$46:$K$48,2,FALSE)))</f>
        <v>#N/A</v>
      </c>
      <c r="AC40" s="268" t="e">
        <f>(IFERROR(HLOOKUP('7. Reference Rate Calcs'!AC38,'5. Reference Rate Template'!$C$37:$N$39,2,FALSE),HLOOKUP('7. Reference Rate Calcs'!AC38,'5. Reference Rate Template'!$C$46:$K$48,2,FALSE)))</f>
        <v>#N/A</v>
      </c>
      <c r="AD40" s="268" t="e">
        <f>(IFERROR(HLOOKUP('7. Reference Rate Calcs'!AD38,'5. Reference Rate Template'!$C$37:$N$39,2,FALSE),HLOOKUP('7. Reference Rate Calcs'!AD38,'5. Reference Rate Template'!$C$46:$K$48,2,FALSE)))</f>
        <v>#N/A</v>
      </c>
      <c r="AE40" s="268" t="e">
        <f>(IFERROR(HLOOKUP('7. Reference Rate Calcs'!AE38,'5. Reference Rate Template'!$C$37:$N$39,2,FALSE),HLOOKUP('7. Reference Rate Calcs'!AE38,'5. Reference Rate Template'!$C$46:$K$48,2,FALSE)))</f>
        <v>#N/A</v>
      </c>
      <c r="AF40" s="268" t="e">
        <f>(IFERROR(HLOOKUP('7. Reference Rate Calcs'!AF38,'5. Reference Rate Template'!$C$37:$N$39,2,FALSE),HLOOKUP('7. Reference Rate Calcs'!AF38,'5. Reference Rate Template'!$C$46:$K$48,2,FALSE)))</f>
        <v>#N/A</v>
      </c>
      <c r="AG40" s="268" t="e">
        <f>(IFERROR(HLOOKUP('7. Reference Rate Calcs'!AG38,'5. Reference Rate Template'!$C$37:$N$39,2,FALSE),HLOOKUP('7. Reference Rate Calcs'!AG38,'5. Reference Rate Template'!$C$46:$K$48,2,FALSE)))</f>
        <v>#N/A</v>
      </c>
      <c r="AH40" s="268" t="e">
        <f>(IFERROR(HLOOKUP('7. Reference Rate Calcs'!AH38,'5. Reference Rate Template'!$C$37:$N$39,2,FALSE),HLOOKUP('7. Reference Rate Calcs'!AH38,'5. Reference Rate Template'!$C$46:$K$48,2,FALSE)))</f>
        <v>#N/A</v>
      </c>
      <c r="AI40" s="268" t="e">
        <f>(IFERROR(HLOOKUP('7. Reference Rate Calcs'!AI38,'5. Reference Rate Template'!$C$37:$N$39,2,FALSE),HLOOKUP('7. Reference Rate Calcs'!AI38,'5. Reference Rate Template'!$C$46:$K$48,2,FALSE)))</f>
        <v>#N/A</v>
      </c>
      <c r="AJ40" s="268" t="e">
        <f>(IFERROR(HLOOKUP('7. Reference Rate Calcs'!AJ38,'5. Reference Rate Template'!$C$37:$N$39,2,FALSE),HLOOKUP('7. Reference Rate Calcs'!AJ38,'5. Reference Rate Template'!$C$46:$K$48,2,FALSE)))</f>
        <v>#N/A</v>
      </c>
      <c r="AK40" s="268" t="e">
        <f>(IFERROR(HLOOKUP('7. Reference Rate Calcs'!AK38,'5. Reference Rate Template'!$C$37:$N$39,2,FALSE),HLOOKUP('7. Reference Rate Calcs'!AK38,'5. Reference Rate Template'!$C$46:$K$48,2,FALSE)))</f>
        <v>#N/A</v>
      </c>
      <c r="AL40" s="268" t="e">
        <f>(IFERROR(HLOOKUP('7. Reference Rate Calcs'!AL38,'5. Reference Rate Template'!$C$37:$N$39,2,FALSE),HLOOKUP('7. Reference Rate Calcs'!AL38,'5. Reference Rate Template'!$C$46:$K$48,2,FALSE)))</f>
        <v>#N/A</v>
      </c>
      <c r="AM40" s="268" t="e">
        <f>(IFERROR(HLOOKUP('7. Reference Rate Calcs'!AM38,'5. Reference Rate Template'!$C$37:$N$39,2,FALSE),HLOOKUP('7. Reference Rate Calcs'!AM38,'5. Reference Rate Template'!$C$46:$K$48,2,FALSE)))</f>
        <v>#N/A</v>
      </c>
      <c r="AN40" s="268" t="e">
        <f>(IFERROR(HLOOKUP('7. Reference Rate Calcs'!AN38,'5. Reference Rate Template'!$C$37:$N$39,2,FALSE),HLOOKUP('7. Reference Rate Calcs'!AN38,'5. Reference Rate Template'!$C$46:$K$48,2,FALSE)))</f>
        <v>#N/A</v>
      </c>
      <c r="AO40" s="268" t="e">
        <f>(IFERROR(HLOOKUP('7. Reference Rate Calcs'!AO38,'5. Reference Rate Template'!$C$37:$N$39,2,FALSE),HLOOKUP('7. Reference Rate Calcs'!AO38,'5. Reference Rate Template'!$C$46:$K$48,2,FALSE)))</f>
        <v>#N/A</v>
      </c>
      <c r="AP40" s="268" t="e">
        <f>(IFERROR(HLOOKUP('7. Reference Rate Calcs'!AP38,'5. Reference Rate Template'!$C$37:$N$39,2,FALSE),HLOOKUP('7. Reference Rate Calcs'!AP38,'5. Reference Rate Template'!$C$46:$K$48,2,FALSE)))</f>
        <v>#N/A</v>
      </c>
    </row>
    <row r="41" spans="2:42" hidden="1">
      <c r="B41" s="225" t="s">
        <v>216</v>
      </c>
      <c r="C41" s="268">
        <f>IFERROR(HLOOKUP('7. Reference Rate Calcs'!C38,'5. Reference Rate Template'!$C$37:$N$39,3,FALSE),HLOOKUP('7. Reference Rate Calcs'!C38,'5. Reference Rate Template'!$C$46:$K$48,3,FALSE))</f>
        <v>0</v>
      </c>
      <c r="D41" s="268" t="e">
        <f>IFERROR(HLOOKUP('7. Reference Rate Calcs'!D38,'5. Reference Rate Template'!$C$37:$N$39,3,FALSE),HLOOKUP('7. Reference Rate Calcs'!D38,'5. Reference Rate Template'!$C$46:$K$48,3,FALSE))</f>
        <v>#N/A</v>
      </c>
      <c r="E41" s="268" t="e">
        <f>IFERROR(HLOOKUP('7. Reference Rate Calcs'!E38,'5. Reference Rate Template'!$C$37:$N$39,3,FALSE),HLOOKUP('7. Reference Rate Calcs'!E38,'5. Reference Rate Template'!$C$46:$K$48,3,FALSE))</f>
        <v>#N/A</v>
      </c>
      <c r="F41" s="268" t="e">
        <f>IFERROR(HLOOKUP('7. Reference Rate Calcs'!F38,'5. Reference Rate Template'!$C$37:$N$39,3,FALSE),HLOOKUP('7. Reference Rate Calcs'!F38,'5. Reference Rate Template'!$C$46:$K$48,3,FALSE))</f>
        <v>#N/A</v>
      </c>
      <c r="G41" s="268" t="e">
        <f>IFERROR(HLOOKUP('7. Reference Rate Calcs'!G38,'5. Reference Rate Template'!$C$37:$N$39,3,FALSE),HLOOKUP('7. Reference Rate Calcs'!G38,'5. Reference Rate Template'!$C$46:$K$48,3,FALSE))</f>
        <v>#N/A</v>
      </c>
      <c r="H41" s="268" t="e">
        <f>IFERROR(HLOOKUP('7. Reference Rate Calcs'!H38,'5. Reference Rate Template'!$C$37:$N$39,3,FALSE),HLOOKUP('7. Reference Rate Calcs'!H38,'5. Reference Rate Template'!$C$46:$K$48,3,FALSE))</f>
        <v>#N/A</v>
      </c>
      <c r="I41" s="268" t="e">
        <f>IFERROR(HLOOKUP('7. Reference Rate Calcs'!I38,'5. Reference Rate Template'!$C$37:$N$39,3,FALSE),HLOOKUP('7. Reference Rate Calcs'!I38,'5. Reference Rate Template'!$C$46:$K$48,3,FALSE))</f>
        <v>#N/A</v>
      </c>
      <c r="J41" s="268" t="e">
        <f>IFERROR(HLOOKUP('7. Reference Rate Calcs'!J38,'5. Reference Rate Template'!$C$37:$N$39,3,FALSE),HLOOKUP('7. Reference Rate Calcs'!J38,'5. Reference Rate Template'!$C$46:$K$48,3,FALSE))</f>
        <v>#N/A</v>
      </c>
      <c r="K41" s="268" t="e">
        <f>IFERROR(HLOOKUP('7. Reference Rate Calcs'!K38,'5. Reference Rate Template'!$C$37:$N$39,3,FALSE),HLOOKUP('7. Reference Rate Calcs'!K38,'5. Reference Rate Template'!$C$46:$K$48,3,FALSE))</f>
        <v>#N/A</v>
      </c>
      <c r="L41" s="268" t="e">
        <f>IFERROR(HLOOKUP('7. Reference Rate Calcs'!L38,'5. Reference Rate Template'!$C$37:$N$39,3,FALSE),HLOOKUP('7. Reference Rate Calcs'!L38,'5. Reference Rate Template'!$C$46:$K$48,3,FALSE))</f>
        <v>#N/A</v>
      </c>
      <c r="M41" s="268" t="e">
        <f>IFERROR(HLOOKUP('7. Reference Rate Calcs'!M38,'5. Reference Rate Template'!$C$37:$N$39,3,FALSE),HLOOKUP('7. Reference Rate Calcs'!M38,'5. Reference Rate Template'!$C$46:$K$48,3,FALSE))</f>
        <v>#N/A</v>
      </c>
      <c r="N41" s="268" t="e">
        <f>IFERROR(HLOOKUP('7. Reference Rate Calcs'!N38,'5. Reference Rate Template'!$C$37:$N$39,3,FALSE),HLOOKUP('7. Reference Rate Calcs'!N38,'5. Reference Rate Template'!$C$46:$K$48,3,FALSE))</f>
        <v>#N/A</v>
      </c>
      <c r="O41" s="268" t="e">
        <f>IFERROR(HLOOKUP('7. Reference Rate Calcs'!O38,'5. Reference Rate Template'!$C$37:$N$39,3,FALSE),HLOOKUP('7. Reference Rate Calcs'!O38,'5. Reference Rate Template'!$C$46:$K$48,3,FALSE))</f>
        <v>#N/A</v>
      </c>
      <c r="P41" s="268" t="e">
        <f>IFERROR(HLOOKUP('7. Reference Rate Calcs'!P38,'5. Reference Rate Template'!$C$37:$N$39,3,FALSE),HLOOKUP('7. Reference Rate Calcs'!P38,'5. Reference Rate Template'!$C$46:$K$48,3,FALSE))</f>
        <v>#N/A</v>
      </c>
      <c r="Q41" s="268" t="e">
        <f>IFERROR(HLOOKUP('7. Reference Rate Calcs'!Q38,'5. Reference Rate Template'!$C$37:$N$39,3,FALSE),HLOOKUP('7. Reference Rate Calcs'!Q38,'5. Reference Rate Template'!$C$46:$K$48,3,FALSE))</f>
        <v>#N/A</v>
      </c>
      <c r="R41" s="268" t="e">
        <f>IFERROR(HLOOKUP('7. Reference Rate Calcs'!R38,'5. Reference Rate Template'!$C$37:$N$39,3,FALSE),HLOOKUP('7. Reference Rate Calcs'!R38,'5. Reference Rate Template'!$C$46:$K$48,3,FALSE))</f>
        <v>#N/A</v>
      </c>
      <c r="S41" s="268" t="e">
        <f>IFERROR(HLOOKUP('7. Reference Rate Calcs'!S38,'5. Reference Rate Template'!$C$37:$N$39,3,FALSE),HLOOKUP('7. Reference Rate Calcs'!S38,'5. Reference Rate Template'!$C$46:$K$48,3,FALSE))</f>
        <v>#N/A</v>
      </c>
      <c r="T41" s="268" t="e">
        <f>IFERROR(HLOOKUP('7. Reference Rate Calcs'!T38,'5. Reference Rate Template'!$C$37:$N$39,3,FALSE),HLOOKUP('7. Reference Rate Calcs'!T38,'5. Reference Rate Template'!$C$46:$K$48,3,FALSE))</f>
        <v>#N/A</v>
      </c>
      <c r="U41" s="268" t="e">
        <f>IFERROR(HLOOKUP('7. Reference Rate Calcs'!U38,'5. Reference Rate Template'!$C$37:$N$39,3,FALSE),HLOOKUP('7. Reference Rate Calcs'!U38,'5. Reference Rate Template'!$C$46:$K$48,3,FALSE))</f>
        <v>#N/A</v>
      </c>
      <c r="V41" s="268" t="e">
        <f>IFERROR(HLOOKUP('7. Reference Rate Calcs'!V38,'5. Reference Rate Template'!$C$37:$N$39,3,FALSE),HLOOKUP('7. Reference Rate Calcs'!V38,'5. Reference Rate Template'!$C$46:$K$48,3,FALSE))</f>
        <v>#N/A</v>
      </c>
      <c r="W41" s="268" t="e">
        <f>IFERROR(HLOOKUP('7. Reference Rate Calcs'!W38,'5. Reference Rate Template'!$C$37:$N$39,3,FALSE),HLOOKUP('7. Reference Rate Calcs'!W38,'5. Reference Rate Template'!$C$46:$K$48,3,FALSE))</f>
        <v>#N/A</v>
      </c>
      <c r="X41" s="268" t="e">
        <f>IFERROR(HLOOKUP('7. Reference Rate Calcs'!X38,'5. Reference Rate Template'!$C$37:$N$39,3,FALSE),HLOOKUP('7. Reference Rate Calcs'!X38,'5. Reference Rate Template'!$C$46:$K$48,3,FALSE))</f>
        <v>#N/A</v>
      </c>
      <c r="Y41" s="268" t="e">
        <f>IFERROR(HLOOKUP('7. Reference Rate Calcs'!Y38,'5. Reference Rate Template'!$C$37:$N$39,3,FALSE),HLOOKUP('7. Reference Rate Calcs'!Y38,'5. Reference Rate Template'!$C$46:$K$48,3,FALSE))</f>
        <v>#N/A</v>
      </c>
      <c r="Z41" s="268" t="e">
        <f>IFERROR(HLOOKUP('7. Reference Rate Calcs'!Z38,'5. Reference Rate Template'!$C$37:$N$39,3,FALSE),HLOOKUP('7. Reference Rate Calcs'!Z38,'5. Reference Rate Template'!$C$46:$K$48,3,FALSE))</f>
        <v>#N/A</v>
      </c>
      <c r="AA41" s="268" t="e">
        <f>IFERROR(HLOOKUP('7. Reference Rate Calcs'!AA38,'5. Reference Rate Template'!$C$37:$N$39,3,FALSE),HLOOKUP('7. Reference Rate Calcs'!AA38,'5. Reference Rate Template'!$C$46:$K$48,3,FALSE))</f>
        <v>#N/A</v>
      </c>
      <c r="AB41" s="268" t="e">
        <f>IFERROR(HLOOKUP('7. Reference Rate Calcs'!AB38,'5. Reference Rate Template'!$C$37:$N$39,3,FALSE),HLOOKUP('7. Reference Rate Calcs'!AB38,'5. Reference Rate Template'!$C$46:$K$48,3,FALSE))</f>
        <v>#N/A</v>
      </c>
      <c r="AC41" s="268" t="e">
        <f>IFERROR(HLOOKUP('7. Reference Rate Calcs'!AC38,'5. Reference Rate Template'!$C$37:$N$39,3,FALSE),HLOOKUP('7. Reference Rate Calcs'!AC38,'5. Reference Rate Template'!$C$46:$K$48,3,FALSE))</f>
        <v>#N/A</v>
      </c>
      <c r="AD41" s="268" t="e">
        <f>IFERROR(HLOOKUP('7. Reference Rate Calcs'!AD38,'5. Reference Rate Template'!$C$37:$N$39,3,FALSE),HLOOKUP('7. Reference Rate Calcs'!AD38,'5. Reference Rate Template'!$C$46:$K$48,3,FALSE))</f>
        <v>#N/A</v>
      </c>
      <c r="AE41" s="268" t="e">
        <f>IFERROR(HLOOKUP('7. Reference Rate Calcs'!AE38,'5. Reference Rate Template'!$C$37:$N$39,3,FALSE),HLOOKUP('7. Reference Rate Calcs'!AE38,'5. Reference Rate Template'!$C$46:$K$48,3,FALSE))</f>
        <v>#N/A</v>
      </c>
      <c r="AF41" s="268" t="e">
        <f>IFERROR(HLOOKUP('7. Reference Rate Calcs'!AF38,'5. Reference Rate Template'!$C$37:$N$39,3,FALSE),HLOOKUP('7. Reference Rate Calcs'!AF38,'5. Reference Rate Template'!$C$46:$K$48,3,FALSE))</f>
        <v>#N/A</v>
      </c>
      <c r="AG41" s="268" t="e">
        <f>IFERROR(HLOOKUP('7. Reference Rate Calcs'!AG38,'5. Reference Rate Template'!$C$37:$N$39,3,FALSE),HLOOKUP('7. Reference Rate Calcs'!AG38,'5. Reference Rate Template'!$C$46:$K$48,3,FALSE))</f>
        <v>#N/A</v>
      </c>
      <c r="AH41" s="268" t="e">
        <f>IFERROR(HLOOKUP('7. Reference Rate Calcs'!AH38,'5. Reference Rate Template'!$C$37:$N$39,3,FALSE),HLOOKUP('7. Reference Rate Calcs'!AH38,'5. Reference Rate Template'!$C$46:$K$48,3,FALSE))</f>
        <v>#N/A</v>
      </c>
      <c r="AI41" s="268" t="e">
        <f>IFERROR(HLOOKUP('7. Reference Rate Calcs'!AI38,'5. Reference Rate Template'!$C$37:$N$39,3,FALSE),HLOOKUP('7. Reference Rate Calcs'!AI38,'5. Reference Rate Template'!$C$46:$K$48,3,FALSE))</f>
        <v>#N/A</v>
      </c>
      <c r="AJ41" s="268" t="e">
        <f>IFERROR(HLOOKUP('7. Reference Rate Calcs'!AJ38,'5. Reference Rate Template'!$C$37:$N$39,3,FALSE),HLOOKUP('7. Reference Rate Calcs'!AJ38,'5. Reference Rate Template'!$C$46:$K$48,3,FALSE))</f>
        <v>#N/A</v>
      </c>
      <c r="AK41" s="268" t="e">
        <f>IFERROR(HLOOKUP('7. Reference Rate Calcs'!AK38,'5. Reference Rate Template'!$C$37:$N$39,3,FALSE),HLOOKUP('7. Reference Rate Calcs'!AK38,'5. Reference Rate Template'!$C$46:$K$48,3,FALSE))</f>
        <v>#N/A</v>
      </c>
      <c r="AL41" s="268" t="e">
        <f>IFERROR(HLOOKUP('7. Reference Rate Calcs'!AL38,'5. Reference Rate Template'!$C$37:$N$39,3,FALSE),HLOOKUP('7. Reference Rate Calcs'!AL38,'5. Reference Rate Template'!$C$46:$K$48,3,FALSE))</f>
        <v>#N/A</v>
      </c>
      <c r="AM41" s="268" t="e">
        <f>IFERROR(HLOOKUP('7. Reference Rate Calcs'!AM38,'5. Reference Rate Template'!$C$37:$N$39,3,FALSE),HLOOKUP('7. Reference Rate Calcs'!AM38,'5. Reference Rate Template'!$C$46:$K$48,3,FALSE))</f>
        <v>#N/A</v>
      </c>
      <c r="AN41" s="268" t="e">
        <f>IFERROR(HLOOKUP('7. Reference Rate Calcs'!AN38,'5. Reference Rate Template'!$C$37:$N$39,3,FALSE),HLOOKUP('7. Reference Rate Calcs'!AN38,'5. Reference Rate Template'!$C$46:$K$48,3,FALSE))</f>
        <v>#N/A</v>
      </c>
      <c r="AO41" s="268" t="e">
        <f>IFERROR(HLOOKUP('7. Reference Rate Calcs'!AO38,'5. Reference Rate Template'!$C$37:$N$39,3,FALSE),HLOOKUP('7. Reference Rate Calcs'!AO38,'5. Reference Rate Template'!$C$46:$K$48,3,FALSE))</f>
        <v>#N/A</v>
      </c>
      <c r="AP41" s="268" t="e">
        <f>IFERROR(HLOOKUP('7. Reference Rate Calcs'!AP38,'5. Reference Rate Template'!$C$37:$N$39,3,FALSE),HLOOKUP('7. Reference Rate Calcs'!AP38,'5. Reference Rate Template'!$C$46:$K$48,3,FALSE))</f>
        <v>#N/A</v>
      </c>
    </row>
    <row r="42" spans="2:42" hidden="1">
      <c r="B42" s="225" t="s">
        <v>217</v>
      </c>
      <c r="C42" s="268">
        <f>IFERROR(HLOOKUP('7. Reference Rate Calcs'!C38,'5. Reference Rate Template'!$C$37:$N$41,4,FALSE),HLOOKUP('7. Reference Rate Calcs'!C38,'5. Reference Rate Template'!$C$46:$K$50,4,FALSE))</f>
        <v>0</v>
      </c>
      <c r="D42" s="268" t="e">
        <f>IFERROR(HLOOKUP('7. Reference Rate Calcs'!D38,'5. Reference Rate Template'!$C$37:$N$41,4,FALSE),HLOOKUP('7. Reference Rate Calcs'!D38,'5. Reference Rate Template'!$C$46:$K$50,4,FALSE))</f>
        <v>#N/A</v>
      </c>
      <c r="E42" s="268" t="e">
        <f>IFERROR(HLOOKUP('7. Reference Rate Calcs'!E38,'5. Reference Rate Template'!$C$37:$N$41,4,FALSE),HLOOKUP('7. Reference Rate Calcs'!E38,'5. Reference Rate Template'!$C$46:$K$50,4,FALSE))</f>
        <v>#N/A</v>
      </c>
      <c r="F42" s="268" t="e">
        <f>IFERROR(HLOOKUP('7. Reference Rate Calcs'!F38,'5. Reference Rate Template'!$C$37:$N$41,4,FALSE),HLOOKUP('7. Reference Rate Calcs'!F38,'5. Reference Rate Template'!$C$46:$K$50,4,FALSE))</f>
        <v>#N/A</v>
      </c>
      <c r="G42" s="268" t="e">
        <f>IFERROR(HLOOKUP('7. Reference Rate Calcs'!G38,'5. Reference Rate Template'!$C$37:$N$41,4,FALSE),HLOOKUP('7. Reference Rate Calcs'!G38,'5. Reference Rate Template'!$C$46:$K$50,4,FALSE))</f>
        <v>#N/A</v>
      </c>
      <c r="H42" s="268" t="e">
        <f>IFERROR(HLOOKUP('7. Reference Rate Calcs'!H38,'5. Reference Rate Template'!$C$37:$N$41,4,FALSE),HLOOKUP('7. Reference Rate Calcs'!H38,'5. Reference Rate Template'!$C$46:$K$50,4,FALSE))</f>
        <v>#N/A</v>
      </c>
      <c r="I42" s="268" t="e">
        <f>IFERROR(HLOOKUP('7. Reference Rate Calcs'!I38,'5. Reference Rate Template'!$C$37:$N$41,4,FALSE),HLOOKUP('7. Reference Rate Calcs'!I38,'5. Reference Rate Template'!$C$46:$K$50,4,FALSE))</f>
        <v>#N/A</v>
      </c>
      <c r="J42" s="268" t="e">
        <f>IFERROR(HLOOKUP('7. Reference Rate Calcs'!J38,'5. Reference Rate Template'!$C$37:$N$41,4,FALSE),HLOOKUP('7. Reference Rate Calcs'!J38,'5. Reference Rate Template'!$C$46:$K$50,4,FALSE))</f>
        <v>#N/A</v>
      </c>
      <c r="K42" s="268" t="e">
        <f>IFERROR(HLOOKUP('7. Reference Rate Calcs'!K38,'5. Reference Rate Template'!$C$37:$N$41,4,FALSE),HLOOKUP('7. Reference Rate Calcs'!K38,'5. Reference Rate Template'!$C$46:$K$50,4,FALSE))</f>
        <v>#N/A</v>
      </c>
      <c r="L42" s="268" t="e">
        <f>IFERROR(HLOOKUP('7. Reference Rate Calcs'!L38,'5. Reference Rate Template'!$C$37:$N$41,4,FALSE),HLOOKUP('7. Reference Rate Calcs'!L38,'5. Reference Rate Template'!$C$46:$K$50,4,FALSE))</f>
        <v>#N/A</v>
      </c>
      <c r="M42" s="268" t="e">
        <f>IFERROR(HLOOKUP('7. Reference Rate Calcs'!M38,'5. Reference Rate Template'!$C$37:$N$41,4,FALSE),HLOOKUP('7. Reference Rate Calcs'!M38,'5. Reference Rate Template'!$C$46:$K$50,4,FALSE))</f>
        <v>#N/A</v>
      </c>
      <c r="N42" s="268" t="e">
        <f>IFERROR(HLOOKUP('7. Reference Rate Calcs'!N38,'5. Reference Rate Template'!$C$37:$N$41,4,FALSE),HLOOKUP('7. Reference Rate Calcs'!N38,'5. Reference Rate Template'!$C$46:$K$50,4,FALSE))</f>
        <v>#N/A</v>
      </c>
      <c r="O42" s="268" t="e">
        <f>IFERROR(HLOOKUP('7. Reference Rate Calcs'!O38,'5. Reference Rate Template'!$C$37:$N$41,4,FALSE),HLOOKUP('7. Reference Rate Calcs'!O38,'5. Reference Rate Template'!$C$46:$K$50,4,FALSE))</f>
        <v>#N/A</v>
      </c>
      <c r="P42" s="268" t="e">
        <f>IFERROR(HLOOKUP('7. Reference Rate Calcs'!P38,'5. Reference Rate Template'!$C$37:$N$41,4,FALSE),HLOOKUP('7. Reference Rate Calcs'!P38,'5. Reference Rate Template'!$C$46:$K$50,4,FALSE))</f>
        <v>#N/A</v>
      </c>
      <c r="Q42" s="268" t="e">
        <f>IFERROR(HLOOKUP('7. Reference Rate Calcs'!Q38,'5. Reference Rate Template'!$C$37:$N$41,4,FALSE),HLOOKUP('7. Reference Rate Calcs'!Q38,'5. Reference Rate Template'!$C$46:$K$50,4,FALSE))</f>
        <v>#N/A</v>
      </c>
      <c r="R42" s="268" t="e">
        <f>IFERROR(HLOOKUP('7. Reference Rate Calcs'!R38,'5. Reference Rate Template'!$C$37:$N$41,4,FALSE),HLOOKUP('7. Reference Rate Calcs'!R38,'5. Reference Rate Template'!$C$46:$K$50,4,FALSE))</f>
        <v>#N/A</v>
      </c>
      <c r="S42" s="268" t="e">
        <f>IFERROR(HLOOKUP('7. Reference Rate Calcs'!S38,'5. Reference Rate Template'!$C$37:$N$41,4,FALSE),HLOOKUP('7. Reference Rate Calcs'!S38,'5. Reference Rate Template'!$C$46:$K$50,4,FALSE))</f>
        <v>#N/A</v>
      </c>
      <c r="T42" s="268" t="e">
        <f>IFERROR(HLOOKUP('7. Reference Rate Calcs'!T38,'5. Reference Rate Template'!$C$37:$N$41,4,FALSE),HLOOKUP('7. Reference Rate Calcs'!T38,'5. Reference Rate Template'!$C$46:$K$50,4,FALSE))</f>
        <v>#N/A</v>
      </c>
      <c r="U42" s="268" t="e">
        <f>IFERROR(HLOOKUP('7. Reference Rate Calcs'!U38,'5. Reference Rate Template'!$C$37:$N$41,4,FALSE),HLOOKUP('7. Reference Rate Calcs'!U38,'5. Reference Rate Template'!$C$46:$K$50,4,FALSE))</f>
        <v>#N/A</v>
      </c>
      <c r="V42" s="268" t="e">
        <f>IFERROR(HLOOKUP('7. Reference Rate Calcs'!V38,'5. Reference Rate Template'!$C$37:$N$41,4,FALSE),HLOOKUP('7. Reference Rate Calcs'!V38,'5. Reference Rate Template'!$C$46:$K$50,4,FALSE))</f>
        <v>#N/A</v>
      </c>
      <c r="W42" s="268" t="e">
        <f>IFERROR(HLOOKUP('7. Reference Rate Calcs'!W38,'5. Reference Rate Template'!$C$37:$N$41,4,FALSE),HLOOKUP('7. Reference Rate Calcs'!W38,'5. Reference Rate Template'!$C$46:$K$50,4,FALSE))</f>
        <v>#N/A</v>
      </c>
      <c r="X42" s="268" t="e">
        <f>IFERROR(HLOOKUP('7. Reference Rate Calcs'!X38,'5. Reference Rate Template'!$C$37:$N$41,4,FALSE),HLOOKUP('7. Reference Rate Calcs'!X38,'5. Reference Rate Template'!$C$46:$K$50,4,FALSE))</f>
        <v>#N/A</v>
      </c>
      <c r="Y42" s="268" t="e">
        <f>IFERROR(HLOOKUP('7. Reference Rate Calcs'!Y38,'5. Reference Rate Template'!$C$37:$N$41,4,FALSE),HLOOKUP('7. Reference Rate Calcs'!Y38,'5. Reference Rate Template'!$C$46:$K$50,4,FALSE))</f>
        <v>#N/A</v>
      </c>
      <c r="Z42" s="268" t="e">
        <f>IFERROR(HLOOKUP('7. Reference Rate Calcs'!Z38,'5. Reference Rate Template'!$C$37:$N$41,4,FALSE),HLOOKUP('7. Reference Rate Calcs'!Z38,'5. Reference Rate Template'!$C$46:$K$50,4,FALSE))</f>
        <v>#N/A</v>
      </c>
      <c r="AA42" s="268" t="e">
        <f>IFERROR(HLOOKUP('7. Reference Rate Calcs'!AA38,'5. Reference Rate Template'!$C$37:$N$41,4,FALSE),HLOOKUP('7. Reference Rate Calcs'!AA38,'5. Reference Rate Template'!$C$46:$K$50,4,FALSE))</f>
        <v>#N/A</v>
      </c>
      <c r="AB42" s="268" t="e">
        <f>IFERROR(HLOOKUP('7. Reference Rate Calcs'!AB38,'5. Reference Rate Template'!$C$37:$N$41,4,FALSE),HLOOKUP('7. Reference Rate Calcs'!AB38,'5. Reference Rate Template'!$C$46:$K$50,4,FALSE))</f>
        <v>#N/A</v>
      </c>
      <c r="AC42" s="268" t="e">
        <f>IFERROR(HLOOKUP('7. Reference Rate Calcs'!AC38,'5. Reference Rate Template'!$C$37:$N$41,4,FALSE),HLOOKUP('7. Reference Rate Calcs'!AC38,'5. Reference Rate Template'!$C$46:$K$50,4,FALSE))</f>
        <v>#N/A</v>
      </c>
      <c r="AD42" s="268" t="e">
        <f>IFERROR(HLOOKUP('7. Reference Rate Calcs'!AD38,'5. Reference Rate Template'!$C$37:$N$41,4,FALSE),HLOOKUP('7. Reference Rate Calcs'!AD38,'5. Reference Rate Template'!$C$46:$K$50,4,FALSE))</f>
        <v>#N/A</v>
      </c>
      <c r="AE42" s="268" t="e">
        <f>IFERROR(HLOOKUP('7. Reference Rate Calcs'!AE38,'5. Reference Rate Template'!$C$37:$N$41,4,FALSE),HLOOKUP('7. Reference Rate Calcs'!AE38,'5. Reference Rate Template'!$C$46:$K$50,4,FALSE))</f>
        <v>#N/A</v>
      </c>
      <c r="AF42" s="268" t="e">
        <f>IFERROR(HLOOKUP('7. Reference Rate Calcs'!AF38,'5. Reference Rate Template'!$C$37:$N$41,4,FALSE),HLOOKUP('7. Reference Rate Calcs'!AF38,'5. Reference Rate Template'!$C$46:$K$50,4,FALSE))</f>
        <v>#N/A</v>
      </c>
      <c r="AG42" s="268" t="e">
        <f>IFERROR(HLOOKUP('7. Reference Rate Calcs'!AG38,'5. Reference Rate Template'!$C$37:$N$41,4,FALSE),HLOOKUP('7. Reference Rate Calcs'!AG38,'5. Reference Rate Template'!$C$46:$K$50,4,FALSE))</f>
        <v>#N/A</v>
      </c>
      <c r="AH42" s="268" t="e">
        <f>IFERROR(HLOOKUP('7. Reference Rate Calcs'!AH38,'5. Reference Rate Template'!$C$37:$N$41,4,FALSE),HLOOKUP('7. Reference Rate Calcs'!AH38,'5. Reference Rate Template'!$C$46:$K$50,4,FALSE))</f>
        <v>#N/A</v>
      </c>
      <c r="AI42" s="268" t="e">
        <f>IFERROR(HLOOKUP('7. Reference Rate Calcs'!AI38,'5. Reference Rate Template'!$C$37:$N$41,4,FALSE),HLOOKUP('7. Reference Rate Calcs'!AI38,'5. Reference Rate Template'!$C$46:$K$50,4,FALSE))</f>
        <v>#N/A</v>
      </c>
      <c r="AJ42" s="268" t="e">
        <f>IFERROR(HLOOKUP('7. Reference Rate Calcs'!AJ38,'5. Reference Rate Template'!$C$37:$N$41,4,FALSE),HLOOKUP('7. Reference Rate Calcs'!AJ38,'5. Reference Rate Template'!$C$46:$K$50,4,FALSE))</f>
        <v>#N/A</v>
      </c>
      <c r="AK42" s="268" t="e">
        <f>IFERROR(HLOOKUP('7. Reference Rate Calcs'!AK38,'5. Reference Rate Template'!$C$37:$N$41,4,FALSE),HLOOKUP('7. Reference Rate Calcs'!AK38,'5. Reference Rate Template'!$C$46:$K$50,4,FALSE))</f>
        <v>#N/A</v>
      </c>
      <c r="AL42" s="268" t="e">
        <f>IFERROR(HLOOKUP('7. Reference Rate Calcs'!AL38,'5. Reference Rate Template'!$C$37:$N$41,4,FALSE),HLOOKUP('7. Reference Rate Calcs'!AL38,'5. Reference Rate Template'!$C$46:$K$50,4,FALSE))</f>
        <v>#N/A</v>
      </c>
      <c r="AM42" s="268" t="e">
        <f>IFERROR(HLOOKUP('7. Reference Rate Calcs'!AM38,'5. Reference Rate Template'!$C$37:$N$41,4,FALSE),HLOOKUP('7. Reference Rate Calcs'!AM38,'5. Reference Rate Template'!$C$46:$K$50,4,FALSE))</f>
        <v>#N/A</v>
      </c>
      <c r="AN42" s="268" t="e">
        <f>IFERROR(HLOOKUP('7. Reference Rate Calcs'!AN38,'5. Reference Rate Template'!$C$37:$N$41,4,FALSE),HLOOKUP('7. Reference Rate Calcs'!AN38,'5. Reference Rate Template'!$C$46:$K$50,4,FALSE))</f>
        <v>#N/A</v>
      </c>
      <c r="AO42" s="268" t="e">
        <f>IFERROR(HLOOKUP('7. Reference Rate Calcs'!AO38,'5. Reference Rate Template'!$C$37:$N$41,4,FALSE),HLOOKUP('7. Reference Rate Calcs'!AO38,'5. Reference Rate Template'!$C$46:$K$50,4,FALSE))</f>
        <v>#N/A</v>
      </c>
      <c r="AP42" s="268" t="e">
        <f>IFERROR(HLOOKUP('7. Reference Rate Calcs'!AP38,'5. Reference Rate Template'!$C$37:$N$41,4,FALSE),HLOOKUP('7. Reference Rate Calcs'!AP38,'5. Reference Rate Template'!$C$46:$K$50,4,FALSE))</f>
        <v>#N/A</v>
      </c>
    </row>
    <row r="43" spans="2:42" hidden="1">
      <c r="B43" s="225" t="s">
        <v>218</v>
      </c>
      <c r="C43" s="268" t="e">
        <f>HLOOKUP('7. Reference Rate Calcs'!C38,'5. Reference Rate Template'!$C$55:$V$58,4,FALSE)</f>
        <v>#N/A</v>
      </c>
      <c r="D43" s="268">
        <f>HLOOKUP('7. Reference Rate Calcs'!D38,'5. Reference Rate Template'!$C$55:$V$58,4,FALSE)</f>
        <v>0</v>
      </c>
      <c r="E43" s="268" t="e">
        <f>HLOOKUP('7. Reference Rate Calcs'!E38,'5. Reference Rate Template'!$C$55:$V$58,4,FALSE)</f>
        <v>#N/A</v>
      </c>
      <c r="F43" s="268" t="e">
        <f>HLOOKUP('7. Reference Rate Calcs'!F38,'5. Reference Rate Template'!$C$55:$V$58,4,FALSE)</f>
        <v>#N/A</v>
      </c>
      <c r="G43" s="268" t="e">
        <f>HLOOKUP('7. Reference Rate Calcs'!G38,'5. Reference Rate Template'!$C$55:$V$58,4,FALSE)</f>
        <v>#N/A</v>
      </c>
      <c r="H43" s="268" t="e">
        <f>HLOOKUP('7. Reference Rate Calcs'!H38,'5. Reference Rate Template'!$C$55:$V$58,4,FALSE)</f>
        <v>#N/A</v>
      </c>
      <c r="I43" s="268" t="e">
        <f>HLOOKUP('7. Reference Rate Calcs'!I38,'5. Reference Rate Template'!$C$55:$V$58,4,FALSE)</f>
        <v>#N/A</v>
      </c>
      <c r="J43" s="268" t="e">
        <f>HLOOKUP('7. Reference Rate Calcs'!J38,'5. Reference Rate Template'!$C$55:$V$58,4,FALSE)</f>
        <v>#N/A</v>
      </c>
      <c r="K43" s="268" t="e">
        <f>HLOOKUP('7. Reference Rate Calcs'!K38,'5. Reference Rate Template'!$C$55:$V$58,4,FALSE)</f>
        <v>#N/A</v>
      </c>
      <c r="L43" s="268" t="e">
        <f>HLOOKUP('7. Reference Rate Calcs'!L38,'5. Reference Rate Template'!$C$55:$V$58,4,FALSE)</f>
        <v>#N/A</v>
      </c>
      <c r="M43" s="268" t="e">
        <f>HLOOKUP('7. Reference Rate Calcs'!M38,'5. Reference Rate Template'!$C$55:$V$58,4,FALSE)</f>
        <v>#N/A</v>
      </c>
      <c r="N43" s="268" t="e">
        <f>HLOOKUP('7. Reference Rate Calcs'!N38,'5. Reference Rate Template'!$C$55:$V$58,4,FALSE)</f>
        <v>#N/A</v>
      </c>
      <c r="O43" s="268" t="e">
        <f>HLOOKUP('7. Reference Rate Calcs'!O38,'5. Reference Rate Template'!$C$55:$V$58,4,FALSE)</f>
        <v>#N/A</v>
      </c>
      <c r="P43" s="268" t="e">
        <f>HLOOKUP('7. Reference Rate Calcs'!P38,'5. Reference Rate Template'!$C$55:$V$58,4,FALSE)</f>
        <v>#N/A</v>
      </c>
      <c r="Q43" s="268" t="e">
        <f>HLOOKUP('7. Reference Rate Calcs'!Q38,'5. Reference Rate Template'!$C$55:$V$58,4,FALSE)</f>
        <v>#N/A</v>
      </c>
      <c r="R43" s="268" t="e">
        <f>HLOOKUP('7. Reference Rate Calcs'!R38,'5. Reference Rate Template'!$C$55:$V$58,4,FALSE)</f>
        <v>#N/A</v>
      </c>
      <c r="S43" s="268" t="e">
        <f>HLOOKUP('7. Reference Rate Calcs'!S38,'5. Reference Rate Template'!$C$55:$V$58,4,FALSE)</f>
        <v>#N/A</v>
      </c>
      <c r="T43" s="268" t="e">
        <f>HLOOKUP('7. Reference Rate Calcs'!T38,'5. Reference Rate Template'!$C$55:$V$58,4,FALSE)</f>
        <v>#N/A</v>
      </c>
      <c r="U43" s="268" t="e">
        <f>HLOOKUP('7. Reference Rate Calcs'!U38,'5. Reference Rate Template'!$C$55:$V$58,4,FALSE)</f>
        <v>#N/A</v>
      </c>
      <c r="V43" s="268" t="e">
        <f>HLOOKUP('7. Reference Rate Calcs'!V38,'5. Reference Rate Template'!$C$55:$V$58,4,FALSE)</f>
        <v>#N/A</v>
      </c>
      <c r="W43" s="268" t="e">
        <f>HLOOKUP('7. Reference Rate Calcs'!W38,'5. Reference Rate Template'!$C$55:$V$58,4,FALSE)</f>
        <v>#N/A</v>
      </c>
      <c r="X43" s="268" t="e">
        <f>HLOOKUP('7. Reference Rate Calcs'!X38,'5. Reference Rate Template'!$C$55:$V$58,4,FALSE)</f>
        <v>#N/A</v>
      </c>
      <c r="Y43" s="268" t="e">
        <f>HLOOKUP('7. Reference Rate Calcs'!Y38,'5. Reference Rate Template'!$C$55:$V$58,4,FALSE)</f>
        <v>#N/A</v>
      </c>
      <c r="Z43" s="268" t="e">
        <f>HLOOKUP('7. Reference Rate Calcs'!Z38,'5. Reference Rate Template'!$C$55:$V$58,4,FALSE)</f>
        <v>#N/A</v>
      </c>
      <c r="AA43" s="268" t="e">
        <f>HLOOKUP('7. Reference Rate Calcs'!AA38,'5. Reference Rate Template'!$C$55:$V$58,4,FALSE)</f>
        <v>#N/A</v>
      </c>
      <c r="AB43" s="268" t="e">
        <f>HLOOKUP('7. Reference Rate Calcs'!AB38,'5. Reference Rate Template'!$C$55:$V$58,4,FALSE)</f>
        <v>#N/A</v>
      </c>
      <c r="AC43" s="268" t="e">
        <f>HLOOKUP('7. Reference Rate Calcs'!AC38,'5. Reference Rate Template'!$C$55:$V$58,4,FALSE)</f>
        <v>#N/A</v>
      </c>
      <c r="AD43" s="268" t="e">
        <f>HLOOKUP('7. Reference Rate Calcs'!AD38,'5. Reference Rate Template'!$C$55:$V$58,4,FALSE)</f>
        <v>#N/A</v>
      </c>
      <c r="AE43" s="268" t="e">
        <f>HLOOKUP('7. Reference Rate Calcs'!AE38,'5. Reference Rate Template'!$C$55:$V$58,4,FALSE)</f>
        <v>#N/A</v>
      </c>
      <c r="AF43" s="268" t="e">
        <f>HLOOKUP('7. Reference Rate Calcs'!AF38,'5. Reference Rate Template'!$C$55:$V$58,4,FALSE)</f>
        <v>#N/A</v>
      </c>
      <c r="AG43" s="268" t="e">
        <f>HLOOKUP('7. Reference Rate Calcs'!AG38,'5. Reference Rate Template'!$C$55:$V$58,4,FALSE)</f>
        <v>#N/A</v>
      </c>
      <c r="AH43" s="268" t="e">
        <f>HLOOKUP('7. Reference Rate Calcs'!AH38,'5. Reference Rate Template'!$C$55:$V$58,4,FALSE)</f>
        <v>#N/A</v>
      </c>
      <c r="AI43" s="268" t="e">
        <f>HLOOKUP('7. Reference Rate Calcs'!AI38,'5. Reference Rate Template'!$C$55:$V$58,4,FALSE)</f>
        <v>#N/A</v>
      </c>
      <c r="AJ43" s="268" t="e">
        <f>HLOOKUP('7. Reference Rate Calcs'!AJ38,'5. Reference Rate Template'!$C$55:$V$58,4,FALSE)</f>
        <v>#N/A</v>
      </c>
      <c r="AK43" s="268" t="e">
        <f>HLOOKUP('7. Reference Rate Calcs'!AK38,'5. Reference Rate Template'!$C$55:$V$58,4,FALSE)</f>
        <v>#N/A</v>
      </c>
      <c r="AL43" s="268" t="e">
        <f>HLOOKUP('7. Reference Rate Calcs'!AL38,'5. Reference Rate Template'!$C$55:$V$58,4,FALSE)</f>
        <v>#N/A</v>
      </c>
      <c r="AM43" s="268" t="e">
        <f>HLOOKUP('7. Reference Rate Calcs'!AM38,'5. Reference Rate Template'!$C$55:$V$58,4,FALSE)</f>
        <v>#N/A</v>
      </c>
      <c r="AN43" s="268" t="e">
        <f>HLOOKUP('7. Reference Rate Calcs'!AN38,'5. Reference Rate Template'!$C$55:$V$58,4,FALSE)</f>
        <v>#N/A</v>
      </c>
      <c r="AO43" s="268" t="e">
        <f>HLOOKUP('7. Reference Rate Calcs'!AO38,'5. Reference Rate Template'!$C$55:$V$58,4,FALSE)</f>
        <v>#N/A</v>
      </c>
      <c r="AP43" s="268" t="e">
        <f>HLOOKUP('7. Reference Rate Calcs'!AP38,'5. Reference Rate Template'!$C$55:$V$58,4,FALSE)</f>
        <v>#N/A</v>
      </c>
    </row>
    <row r="44" spans="2:42" hidden="1">
      <c r="B44" s="225" t="s">
        <v>219</v>
      </c>
      <c r="C44" s="268" t="e">
        <f>HLOOKUP('7. Reference Rate Calcs'!C38,'5. Reference Rate Template'!$C$55:$V$58,3,FALSE)</f>
        <v>#N/A</v>
      </c>
      <c r="D44" s="268">
        <f>HLOOKUP('7. Reference Rate Calcs'!D38,'5. Reference Rate Template'!$C$55:$V$58,3,FALSE)</f>
        <v>0</v>
      </c>
      <c r="E44" s="268" t="e">
        <f>HLOOKUP('7. Reference Rate Calcs'!E38,'5. Reference Rate Template'!$C$55:$V$58,3,FALSE)</f>
        <v>#N/A</v>
      </c>
      <c r="F44" s="268" t="e">
        <f>HLOOKUP('7. Reference Rate Calcs'!F38,'5. Reference Rate Template'!$C$55:$V$58,3,FALSE)</f>
        <v>#N/A</v>
      </c>
      <c r="G44" s="268" t="e">
        <f>HLOOKUP('7. Reference Rate Calcs'!G38,'5. Reference Rate Template'!$C$55:$V$58,3,FALSE)</f>
        <v>#N/A</v>
      </c>
      <c r="H44" s="268" t="e">
        <f>HLOOKUP('7. Reference Rate Calcs'!H38,'5. Reference Rate Template'!$C$55:$V$58,3,FALSE)</f>
        <v>#N/A</v>
      </c>
      <c r="I44" s="268" t="e">
        <f>HLOOKUP('7. Reference Rate Calcs'!I38,'5. Reference Rate Template'!$C$55:$V$58,3,FALSE)</f>
        <v>#N/A</v>
      </c>
      <c r="J44" s="268" t="e">
        <f>HLOOKUP('7. Reference Rate Calcs'!J38,'5. Reference Rate Template'!$C$55:$V$58,3,FALSE)</f>
        <v>#N/A</v>
      </c>
      <c r="K44" s="268" t="e">
        <f>HLOOKUP('7. Reference Rate Calcs'!K38,'5. Reference Rate Template'!$C$55:$V$58,3,FALSE)</f>
        <v>#N/A</v>
      </c>
      <c r="L44" s="268" t="e">
        <f>HLOOKUP('7. Reference Rate Calcs'!L38,'5. Reference Rate Template'!$C$55:$V$58,3,FALSE)</f>
        <v>#N/A</v>
      </c>
      <c r="M44" s="268" t="e">
        <f>HLOOKUP('7. Reference Rate Calcs'!M38,'5. Reference Rate Template'!$C$55:$V$58,3,FALSE)</f>
        <v>#N/A</v>
      </c>
      <c r="N44" s="268" t="e">
        <f>HLOOKUP('7. Reference Rate Calcs'!N38,'5. Reference Rate Template'!$C$55:$V$58,3,FALSE)</f>
        <v>#N/A</v>
      </c>
      <c r="O44" s="268" t="e">
        <f>HLOOKUP('7. Reference Rate Calcs'!O38,'5. Reference Rate Template'!$C$55:$V$58,3,FALSE)</f>
        <v>#N/A</v>
      </c>
      <c r="P44" s="268" t="e">
        <f>HLOOKUP('7. Reference Rate Calcs'!P38,'5. Reference Rate Template'!$C$55:$V$58,3,FALSE)</f>
        <v>#N/A</v>
      </c>
      <c r="Q44" s="268" t="e">
        <f>HLOOKUP('7. Reference Rate Calcs'!Q38,'5. Reference Rate Template'!$C$55:$V$58,3,FALSE)</f>
        <v>#N/A</v>
      </c>
      <c r="R44" s="268" t="e">
        <f>HLOOKUP('7. Reference Rate Calcs'!R38,'5. Reference Rate Template'!$C$55:$V$58,3,FALSE)</f>
        <v>#N/A</v>
      </c>
      <c r="S44" s="268" t="e">
        <f>HLOOKUP('7. Reference Rate Calcs'!S38,'5. Reference Rate Template'!$C$55:$V$58,3,FALSE)</f>
        <v>#N/A</v>
      </c>
      <c r="T44" s="268" t="e">
        <f>HLOOKUP('7. Reference Rate Calcs'!T38,'5. Reference Rate Template'!$C$55:$V$58,3,FALSE)</f>
        <v>#N/A</v>
      </c>
      <c r="U44" s="268" t="e">
        <f>HLOOKUP('7. Reference Rate Calcs'!U38,'5. Reference Rate Template'!$C$55:$V$58,3,FALSE)</f>
        <v>#N/A</v>
      </c>
      <c r="V44" s="268" t="e">
        <f>HLOOKUP('7. Reference Rate Calcs'!V38,'5. Reference Rate Template'!$C$55:$V$58,3,FALSE)</f>
        <v>#N/A</v>
      </c>
      <c r="W44" s="268" t="e">
        <f>HLOOKUP('7. Reference Rate Calcs'!W38,'5. Reference Rate Template'!$C$55:$V$58,3,FALSE)</f>
        <v>#N/A</v>
      </c>
      <c r="X44" s="268" t="e">
        <f>HLOOKUP('7. Reference Rate Calcs'!X38,'5. Reference Rate Template'!$C$55:$V$58,3,FALSE)</f>
        <v>#N/A</v>
      </c>
      <c r="Y44" s="268" t="e">
        <f>HLOOKUP('7. Reference Rate Calcs'!Y38,'5. Reference Rate Template'!$C$55:$V$58,3,FALSE)</f>
        <v>#N/A</v>
      </c>
      <c r="Z44" s="268" t="e">
        <f>HLOOKUP('7. Reference Rate Calcs'!Z38,'5. Reference Rate Template'!$C$55:$V$58,3,FALSE)</f>
        <v>#N/A</v>
      </c>
      <c r="AA44" s="268" t="e">
        <f>HLOOKUP('7. Reference Rate Calcs'!AA38,'5. Reference Rate Template'!$C$55:$V$58,3,FALSE)</f>
        <v>#N/A</v>
      </c>
      <c r="AB44" s="268" t="e">
        <f>HLOOKUP('7. Reference Rate Calcs'!AB38,'5. Reference Rate Template'!$C$55:$V$58,3,FALSE)</f>
        <v>#N/A</v>
      </c>
      <c r="AC44" s="268" t="e">
        <f>HLOOKUP('7. Reference Rate Calcs'!AC38,'5. Reference Rate Template'!$C$55:$V$58,3,FALSE)</f>
        <v>#N/A</v>
      </c>
      <c r="AD44" s="268" t="e">
        <f>HLOOKUP('7. Reference Rate Calcs'!AD38,'5. Reference Rate Template'!$C$55:$V$58,3,FALSE)</f>
        <v>#N/A</v>
      </c>
      <c r="AE44" s="268" t="e">
        <f>HLOOKUP('7. Reference Rate Calcs'!AE38,'5. Reference Rate Template'!$C$55:$V$58,3,FALSE)</f>
        <v>#N/A</v>
      </c>
      <c r="AF44" s="268" t="e">
        <f>HLOOKUP('7. Reference Rate Calcs'!AF38,'5. Reference Rate Template'!$C$55:$V$58,3,FALSE)</f>
        <v>#N/A</v>
      </c>
      <c r="AG44" s="268" t="e">
        <f>HLOOKUP('7. Reference Rate Calcs'!AG38,'5. Reference Rate Template'!$C$55:$V$58,3,FALSE)</f>
        <v>#N/A</v>
      </c>
      <c r="AH44" s="268" t="e">
        <f>HLOOKUP('7. Reference Rate Calcs'!AH38,'5. Reference Rate Template'!$C$55:$V$58,3,FALSE)</f>
        <v>#N/A</v>
      </c>
      <c r="AI44" s="268" t="e">
        <f>HLOOKUP('7. Reference Rate Calcs'!AI38,'5. Reference Rate Template'!$C$55:$V$58,3,FALSE)</f>
        <v>#N/A</v>
      </c>
      <c r="AJ44" s="268" t="e">
        <f>HLOOKUP('7. Reference Rate Calcs'!AJ38,'5. Reference Rate Template'!$C$55:$V$58,3,FALSE)</f>
        <v>#N/A</v>
      </c>
      <c r="AK44" s="268" t="e">
        <f>HLOOKUP('7. Reference Rate Calcs'!AK38,'5. Reference Rate Template'!$C$55:$V$58,3,FALSE)</f>
        <v>#N/A</v>
      </c>
      <c r="AL44" s="268" t="e">
        <f>HLOOKUP('7. Reference Rate Calcs'!AL38,'5. Reference Rate Template'!$C$55:$V$58,3,FALSE)</f>
        <v>#N/A</v>
      </c>
      <c r="AM44" s="268" t="e">
        <f>HLOOKUP('7. Reference Rate Calcs'!AM38,'5. Reference Rate Template'!$C$55:$V$58,3,FALSE)</f>
        <v>#N/A</v>
      </c>
      <c r="AN44" s="268" t="e">
        <f>HLOOKUP('7. Reference Rate Calcs'!AN38,'5. Reference Rate Template'!$C$55:$V$58,3,FALSE)</f>
        <v>#N/A</v>
      </c>
      <c r="AO44" s="268" t="e">
        <f>HLOOKUP('7. Reference Rate Calcs'!AO38,'5. Reference Rate Template'!$C$55:$V$58,3,FALSE)</f>
        <v>#N/A</v>
      </c>
      <c r="AP44" s="268" t="e">
        <f>HLOOKUP('7. Reference Rate Calcs'!AP38,'5. Reference Rate Template'!$C$55:$V$58,3,FALSE)</f>
        <v>#N/A</v>
      </c>
    </row>
    <row r="45" spans="2:42" hidden="1">
      <c r="B45" s="225" t="s">
        <v>220</v>
      </c>
      <c r="C45" s="268" t="e">
        <f>HLOOKUP('7. Reference Rate Calcs'!C38,'5. Reference Rate Template'!$C$55:$V$58,2,FALSE)</f>
        <v>#N/A</v>
      </c>
      <c r="D45" s="268">
        <f>HLOOKUP('7. Reference Rate Calcs'!D38,'5. Reference Rate Template'!$C$55:$V$58,2,FALSE)</f>
        <v>0</v>
      </c>
      <c r="E45" s="268" t="e">
        <f>HLOOKUP('7. Reference Rate Calcs'!E38,'5. Reference Rate Template'!$C$55:$V$58,2,FALSE)</f>
        <v>#N/A</v>
      </c>
      <c r="F45" s="268" t="e">
        <f>HLOOKUP('7. Reference Rate Calcs'!F38,'5. Reference Rate Template'!$C$55:$V$58,2,FALSE)</f>
        <v>#N/A</v>
      </c>
      <c r="G45" s="268" t="e">
        <f>HLOOKUP('7. Reference Rate Calcs'!G38,'5. Reference Rate Template'!$C$55:$V$58,2,FALSE)</f>
        <v>#N/A</v>
      </c>
      <c r="H45" s="268" t="e">
        <f>HLOOKUP('7. Reference Rate Calcs'!H38,'5. Reference Rate Template'!$C$55:$V$58,2,FALSE)</f>
        <v>#N/A</v>
      </c>
      <c r="I45" s="268" t="e">
        <f>HLOOKUP('7. Reference Rate Calcs'!I38,'5. Reference Rate Template'!$C$55:$V$58,2,FALSE)</f>
        <v>#N/A</v>
      </c>
      <c r="J45" s="268" t="e">
        <f>HLOOKUP('7. Reference Rate Calcs'!J38,'5. Reference Rate Template'!$C$55:$V$58,2,FALSE)</f>
        <v>#N/A</v>
      </c>
      <c r="K45" s="268" t="e">
        <f>HLOOKUP('7. Reference Rate Calcs'!K38,'5. Reference Rate Template'!$C$55:$V$58,2,FALSE)</f>
        <v>#N/A</v>
      </c>
      <c r="L45" s="268" t="e">
        <f>HLOOKUP('7. Reference Rate Calcs'!L38,'5. Reference Rate Template'!$C$55:$V$58,2,FALSE)</f>
        <v>#N/A</v>
      </c>
      <c r="M45" s="268" t="e">
        <f>HLOOKUP('7. Reference Rate Calcs'!M38,'5. Reference Rate Template'!$C$55:$V$58,2,FALSE)</f>
        <v>#N/A</v>
      </c>
      <c r="N45" s="268" t="e">
        <f>HLOOKUP('7. Reference Rate Calcs'!N38,'5. Reference Rate Template'!$C$55:$V$58,2,FALSE)</f>
        <v>#N/A</v>
      </c>
      <c r="O45" s="268" t="e">
        <f>HLOOKUP('7. Reference Rate Calcs'!O38,'5. Reference Rate Template'!$C$55:$V$58,2,FALSE)</f>
        <v>#N/A</v>
      </c>
      <c r="P45" s="268" t="e">
        <f>HLOOKUP('7. Reference Rate Calcs'!P38,'5. Reference Rate Template'!$C$55:$V$58,2,FALSE)</f>
        <v>#N/A</v>
      </c>
      <c r="Q45" s="268" t="e">
        <f>HLOOKUP('7. Reference Rate Calcs'!Q38,'5. Reference Rate Template'!$C$55:$V$58,2,FALSE)</f>
        <v>#N/A</v>
      </c>
      <c r="R45" s="268" t="e">
        <f>HLOOKUP('7. Reference Rate Calcs'!R38,'5. Reference Rate Template'!$C$55:$V$58,2,FALSE)</f>
        <v>#N/A</v>
      </c>
      <c r="S45" s="268" t="e">
        <f>HLOOKUP('7. Reference Rate Calcs'!S38,'5. Reference Rate Template'!$C$55:$V$58,2,FALSE)</f>
        <v>#N/A</v>
      </c>
      <c r="T45" s="268" t="e">
        <f>HLOOKUP('7. Reference Rate Calcs'!T38,'5. Reference Rate Template'!$C$55:$V$58,2,FALSE)</f>
        <v>#N/A</v>
      </c>
      <c r="U45" s="268" t="e">
        <f>HLOOKUP('7. Reference Rate Calcs'!U38,'5. Reference Rate Template'!$C$55:$V$58,2,FALSE)</f>
        <v>#N/A</v>
      </c>
      <c r="V45" s="268" t="e">
        <f>HLOOKUP('7. Reference Rate Calcs'!V38,'5. Reference Rate Template'!$C$55:$V$58,2,FALSE)</f>
        <v>#N/A</v>
      </c>
      <c r="W45" s="268" t="e">
        <f>HLOOKUP('7. Reference Rate Calcs'!W38,'5. Reference Rate Template'!$C$55:$V$58,2,FALSE)</f>
        <v>#N/A</v>
      </c>
      <c r="X45" s="268" t="e">
        <f>HLOOKUP('7. Reference Rate Calcs'!X38,'5. Reference Rate Template'!$C$55:$V$58,2,FALSE)</f>
        <v>#N/A</v>
      </c>
      <c r="Y45" s="268" t="e">
        <f>HLOOKUP('7. Reference Rate Calcs'!Y38,'5. Reference Rate Template'!$C$55:$V$58,2,FALSE)</f>
        <v>#N/A</v>
      </c>
      <c r="Z45" s="268" t="e">
        <f>HLOOKUP('7. Reference Rate Calcs'!Z38,'5. Reference Rate Template'!$C$55:$V$58,2,FALSE)</f>
        <v>#N/A</v>
      </c>
      <c r="AA45" s="268" t="e">
        <f>HLOOKUP('7. Reference Rate Calcs'!AA38,'5. Reference Rate Template'!$C$55:$V$58,2,FALSE)</f>
        <v>#N/A</v>
      </c>
      <c r="AB45" s="268" t="e">
        <f>HLOOKUP('7. Reference Rate Calcs'!AB38,'5. Reference Rate Template'!$C$55:$V$58,2,FALSE)</f>
        <v>#N/A</v>
      </c>
      <c r="AC45" s="268" t="e">
        <f>HLOOKUP('7. Reference Rate Calcs'!AC38,'5. Reference Rate Template'!$C$55:$V$58,2,FALSE)</f>
        <v>#N/A</v>
      </c>
      <c r="AD45" s="268" t="e">
        <f>HLOOKUP('7. Reference Rate Calcs'!AD38,'5. Reference Rate Template'!$C$55:$V$58,2,FALSE)</f>
        <v>#N/A</v>
      </c>
      <c r="AE45" s="268" t="e">
        <f>HLOOKUP('7. Reference Rate Calcs'!AE38,'5. Reference Rate Template'!$C$55:$V$58,2,FALSE)</f>
        <v>#N/A</v>
      </c>
      <c r="AF45" s="268" t="e">
        <f>HLOOKUP('7. Reference Rate Calcs'!AF38,'5. Reference Rate Template'!$C$55:$V$58,2,FALSE)</f>
        <v>#N/A</v>
      </c>
      <c r="AG45" s="268" t="e">
        <f>HLOOKUP('7. Reference Rate Calcs'!AG38,'5. Reference Rate Template'!$C$55:$V$58,2,FALSE)</f>
        <v>#N/A</v>
      </c>
      <c r="AH45" s="268" t="e">
        <f>HLOOKUP('7. Reference Rate Calcs'!AH38,'5. Reference Rate Template'!$C$55:$V$58,2,FALSE)</f>
        <v>#N/A</v>
      </c>
      <c r="AI45" s="268" t="e">
        <f>HLOOKUP('7. Reference Rate Calcs'!AI38,'5. Reference Rate Template'!$C$55:$V$58,2,FALSE)</f>
        <v>#N/A</v>
      </c>
      <c r="AJ45" s="268" t="e">
        <f>HLOOKUP('7. Reference Rate Calcs'!AJ38,'5. Reference Rate Template'!$C$55:$V$58,2,FALSE)</f>
        <v>#N/A</v>
      </c>
      <c r="AK45" s="268" t="e">
        <f>HLOOKUP('7. Reference Rate Calcs'!AK38,'5. Reference Rate Template'!$C$55:$V$58,2,FALSE)</f>
        <v>#N/A</v>
      </c>
      <c r="AL45" s="268" t="e">
        <f>HLOOKUP('7. Reference Rate Calcs'!AL38,'5. Reference Rate Template'!$C$55:$V$58,2,FALSE)</f>
        <v>#N/A</v>
      </c>
      <c r="AM45" s="268" t="e">
        <f>HLOOKUP('7. Reference Rate Calcs'!AM38,'5. Reference Rate Template'!$C$55:$V$58,2,FALSE)</f>
        <v>#N/A</v>
      </c>
      <c r="AN45" s="268" t="e">
        <f>HLOOKUP('7. Reference Rate Calcs'!AN38,'5. Reference Rate Template'!$C$55:$V$58,2,FALSE)</f>
        <v>#N/A</v>
      </c>
      <c r="AO45" s="268" t="e">
        <f>HLOOKUP('7. Reference Rate Calcs'!AO38,'5. Reference Rate Template'!$C$55:$V$58,2,FALSE)</f>
        <v>#N/A</v>
      </c>
      <c r="AP45" s="268" t="e">
        <f>HLOOKUP('7. Reference Rate Calcs'!AP38,'5. Reference Rate Template'!$C$55:$V$58,2,FALSE)</f>
        <v>#N/A</v>
      </c>
    </row>
    <row r="46" spans="2:42">
      <c r="B46" s="225"/>
      <c r="C46" s="272"/>
      <c r="D46" s="272"/>
      <c r="E46" s="272"/>
      <c r="F46" s="272"/>
      <c r="G46" s="272"/>
      <c r="H46" s="272"/>
      <c r="I46" s="272"/>
      <c r="J46" s="272"/>
      <c r="K46" s="272"/>
      <c r="L46" s="272"/>
      <c r="M46" s="272"/>
      <c r="N46" s="272"/>
      <c r="O46" s="272"/>
      <c r="P46" s="272"/>
      <c r="Q46" s="272"/>
      <c r="R46" s="272"/>
      <c r="S46" s="272"/>
      <c r="T46" s="272"/>
      <c r="U46" s="272"/>
      <c r="V46" s="272"/>
      <c r="W46" s="272"/>
      <c r="X46" s="272"/>
      <c r="Y46" s="272"/>
      <c r="Z46" s="272"/>
      <c r="AA46" s="272"/>
      <c r="AB46" s="272"/>
      <c r="AC46" s="272"/>
      <c r="AD46" s="272"/>
      <c r="AE46" s="272"/>
      <c r="AF46" s="272"/>
      <c r="AG46" s="273"/>
      <c r="AH46" s="273"/>
      <c r="AI46" s="273"/>
      <c r="AJ46" s="273"/>
      <c r="AK46" s="273"/>
      <c r="AL46" s="273"/>
      <c r="AM46" s="273"/>
      <c r="AN46" s="273"/>
      <c r="AO46" s="273"/>
      <c r="AP46" s="274"/>
    </row>
    <row r="47" spans="2:42">
      <c r="B47" s="275" t="s">
        <v>214</v>
      </c>
      <c r="C47" s="276">
        <f t="shared" ref="C47:AP47" si="1">IFERROR(C39,0)</f>
        <v>0</v>
      </c>
      <c r="D47" s="276">
        <f t="shared" si="1"/>
        <v>0</v>
      </c>
      <c r="E47" s="276">
        <f t="shared" si="1"/>
        <v>0</v>
      </c>
      <c r="F47" s="276">
        <f t="shared" si="1"/>
        <v>0</v>
      </c>
      <c r="G47" s="276">
        <f t="shared" si="1"/>
        <v>0</v>
      </c>
      <c r="H47" s="276">
        <f t="shared" si="1"/>
        <v>0</v>
      </c>
      <c r="I47" s="276">
        <f t="shared" si="1"/>
        <v>0</v>
      </c>
      <c r="J47" s="276">
        <f t="shared" si="1"/>
        <v>0</v>
      </c>
      <c r="K47" s="276">
        <f t="shared" si="1"/>
        <v>0</v>
      </c>
      <c r="L47" s="276">
        <f t="shared" si="1"/>
        <v>0</v>
      </c>
      <c r="M47" s="276">
        <f t="shared" si="1"/>
        <v>0</v>
      </c>
      <c r="N47" s="276">
        <f t="shared" si="1"/>
        <v>0</v>
      </c>
      <c r="O47" s="276">
        <f t="shared" si="1"/>
        <v>0</v>
      </c>
      <c r="P47" s="276">
        <f t="shared" si="1"/>
        <v>0</v>
      </c>
      <c r="Q47" s="276">
        <f t="shared" si="1"/>
        <v>0</v>
      </c>
      <c r="R47" s="276">
        <f t="shared" si="1"/>
        <v>0</v>
      </c>
      <c r="S47" s="276">
        <f t="shared" si="1"/>
        <v>0</v>
      </c>
      <c r="T47" s="276">
        <f t="shared" si="1"/>
        <v>0</v>
      </c>
      <c r="U47" s="276">
        <f t="shared" si="1"/>
        <v>0</v>
      </c>
      <c r="V47" s="276">
        <f t="shared" si="1"/>
        <v>0</v>
      </c>
      <c r="W47" s="276">
        <f t="shared" si="1"/>
        <v>0</v>
      </c>
      <c r="X47" s="276">
        <f t="shared" si="1"/>
        <v>0</v>
      </c>
      <c r="Y47" s="276">
        <f t="shared" si="1"/>
        <v>0</v>
      </c>
      <c r="Z47" s="276">
        <f t="shared" si="1"/>
        <v>0</v>
      </c>
      <c r="AA47" s="276">
        <f t="shared" si="1"/>
        <v>0</v>
      </c>
      <c r="AB47" s="276">
        <f t="shared" si="1"/>
        <v>0</v>
      </c>
      <c r="AC47" s="276">
        <f t="shared" si="1"/>
        <v>0</v>
      </c>
      <c r="AD47" s="276">
        <f t="shared" si="1"/>
        <v>0</v>
      </c>
      <c r="AE47" s="276">
        <f t="shared" si="1"/>
        <v>0</v>
      </c>
      <c r="AF47" s="276">
        <f t="shared" si="1"/>
        <v>0</v>
      </c>
      <c r="AG47" s="276">
        <f t="shared" si="1"/>
        <v>0</v>
      </c>
      <c r="AH47" s="276">
        <f t="shared" si="1"/>
        <v>0</v>
      </c>
      <c r="AI47" s="276">
        <f t="shared" si="1"/>
        <v>0</v>
      </c>
      <c r="AJ47" s="276">
        <f t="shared" si="1"/>
        <v>0</v>
      </c>
      <c r="AK47" s="276">
        <f t="shared" si="1"/>
        <v>0</v>
      </c>
      <c r="AL47" s="276">
        <f t="shared" si="1"/>
        <v>0</v>
      </c>
      <c r="AM47" s="276">
        <f t="shared" si="1"/>
        <v>0</v>
      </c>
      <c r="AN47" s="276">
        <f t="shared" si="1"/>
        <v>0</v>
      </c>
      <c r="AO47" s="276">
        <f t="shared" si="1"/>
        <v>0</v>
      </c>
      <c r="AP47" s="277">
        <f t="shared" si="1"/>
        <v>0</v>
      </c>
    </row>
    <row r="48" spans="2:42">
      <c r="B48" s="275" t="s">
        <v>215</v>
      </c>
      <c r="C48" s="276">
        <f t="shared" ref="C48:AP48" si="2">IFERROR(C40,0)</f>
        <v>0</v>
      </c>
      <c r="D48" s="276">
        <f t="shared" si="2"/>
        <v>0</v>
      </c>
      <c r="E48" s="276">
        <f t="shared" si="2"/>
        <v>0</v>
      </c>
      <c r="F48" s="276">
        <f t="shared" si="2"/>
        <v>0</v>
      </c>
      <c r="G48" s="276">
        <f t="shared" si="2"/>
        <v>0</v>
      </c>
      <c r="H48" s="276">
        <f t="shared" si="2"/>
        <v>0</v>
      </c>
      <c r="I48" s="276">
        <f t="shared" si="2"/>
        <v>0</v>
      </c>
      <c r="J48" s="276">
        <f t="shared" si="2"/>
        <v>0</v>
      </c>
      <c r="K48" s="276">
        <f t="shared" si="2"/>
        <v>0</v>
      </c>
      <c r="L48" s="276">
        <f t="shared" si="2"/>
        <v>0</v>
      </c>
      <c r="M48" s="276">
        <f t="shared" si="2"/>
        <v>0</v>
      </c>
      <c r="N48" s="276">
        <f t="shared" si="2"/>
        <v>0</v>
      </c>
      <c r="O48" s="276">
        <f t="shared" si="2"/>
        <v>0</v>
      </c>
      <c r="P48" s="276">
        <f t="shared" si="2"/>
        <v>0</v>
      </c>
      <c r="Q48" s="276">
        <f t="shared" si="2"/>
        <v>0</v>
      </c>
      <c r="R48" s="276">
        <f t="shared" si="2"/>
        <v>0</v>
      </c>
      <c r="S48" s="276">
        <f t="shared" si="2"/>
        <v>0</v>
      </c>
      <c r="T48" s="276">
        <f t="shared" si="2"/>
        <v>0</v>
      </c>
      <c r="U48" s="276">
        <f t="shared" si="2"/>
        <v>0</v>
      </c>
      <c r="V48" s="276">
        <f t="shared" si="2"/>
        <v>0</v>
      </c>
      <c r="W48" s="276">
        <f t="shared" si="2"/>
        <v>0</v>
      </c>
      <c r="X48" s="276">
        <f t="shared" si="2"/>
        <v>0</v>
      </c>
      <c r="Y48" s="276">
        <f t="shared" si="2"/>
        <v>0</v>
      </c>
      <c r="Z48" s="276">
        <f t="shared" si="2"/>
        <v>0</v>
      </c>
      <c r="AA48" s="276">
        <f t="shared" si="2"/>
        <v>0</v>
      </c>
      <c r="AB48" s="276">
        <f t="shared" si="2"/>
        <v>0</v>
      </c>
      <c r="AC48" s="276">
        <f t="shared" si="2"/>
        <v>0</v>
      </c>
      <c r="AD48" s="276">
        <f t="shared" si="2"/>
        <v>0</v>
      </c>
      <c r="AE48" s="276">
        <f t="shared" si="2"/>
        <v>0</v>
      </c>
      <c r="AF48" s="276">
        <f t="shared" si="2"/>
        <v>0</v>
      </c>
      <c r="AG48" s="276">
        <f t="shared" si="2"/>
        <v>0</v>
      </c>
      <c r="AH48" s="276">
        <f t="shared" si="2"/>
        <v>0</v>
      </c>
      <c r="AI48" s="276">
        <f t="shared" si="2"/>
        <v>0</v>
      </c>
      <c r="AJ48" s="276">
        <f t="shared" si="2"/>
        <v>0</v>
      </c>
      <c r="AK48" s="276">
        <f t="shared" si="2"/>
        <v>0</v>
      </c>
      <c r="AL48" s="276">
        <f t="shared" si="2"/>
        <v>0</v>
      </c>
      <c r="AM48" s="276">
        <f t="shared" si="2"/>
        <v>0</v>
      </c>
      <c r="AN48" s="276">
        <f t="shared" si="2"/>
        <v>0</v>
      </c>
      <c r="AO48" s="276">
        <f t="shared" si="2"/>
        <v>0</v>
      </c>
      <c r="AP48" s="277">
        <f t="shared" si="2"/>
        <v>0</v>
      </c>
    </row>
    <row r="49" spans="2:42">
      <c r="B49" s="275" t="s">
        <v>216</v>
      </c>
      <c r="C49" s="276">
        <f t="shared" ref="C49:AP49" si="3">IFERROR(C41,0)</f>
        <v>0</v>
      </c>
      <c r="D49" s="276">
        <f t="shared" si="3"/>
        <v>0</v>
      </c>
      <c r="E49" s="276">
        <f t="shared" si="3"/>
        <v>0</v>
      </c>
      <c r="F49" s="276">
        <f t="shared" si="3"/>
        <v>0</v>
      </c>
      <c r="G49" s="276">
        <f t="shared" si="3"/>
        <v>0</v>
      </c>
      <c r="H49" s="276">
        <f t="shared" si="3"/>
        <v>0</v>
      </c>
      <c r="I49" s="276">
        <f t="shared" si="3"/>
        <v>0</v>
      </c>
      <c r="J49" s="276">
        <f t="shared" si="3"/>
        <v>0</v>
      </c>
      <c r="K49" s="276">
        <f t="shared" si="3"/>
        <v>0</v>
      </c>
      <c r="L49" s="276">
        <f t="shared" si="3"/>
        <v>0</v>
      </c>
      <c r="M49" s="276">
        <f t="shared" si="3"/>
        <v>0</v>
      </c>
      <c r="N49" s="276">
        <f t="shared" si="3"/>
        <v>0</v>
      </c>
      <c r="O49" s="276">
        <f t="shared" si="3"/>
        <v>0</v>
      </c>
      <c r="P49" s="276">
        <f t="shared" si="3"/>
        <v>0</v>
      </c>
      <c r="Q49" s="276">
        <f t="shared" si="3"/>
        <v>0</v>
      </c>
      <c r="R49" s="276">
        <f t="shared" si="3"/>
        <v>0</v>
      </c>
      <c r="S49" s="276">
        <f t="shared" si="3"/>
        <v>0</v>
      </c>
      <c r="T49" s="276">
        <f t="shared" si="3"/>
        <v>0</v>
      </c>
      <c r="U49" s="276">
        <f t="shared" si="3"/>
        <v>0</v>
      </c>
      <c r="V49" s="276">
        <f t="shared" si="3"/>
        <v>0</v>
      </c>
      <c r="W49" s="276">
        <f t="shared" si="3"/>
        <v>0</v>
      </c>
      <c r="X49" s="276">
        <f t="shared" si="3"/>
        <v>0</v>
      </c>
      <c r="Y49" s="276">
        <f t="shared" si="3"/>
        <v>0</v>
      </c>
      <c r="Z49" s="276">
        <f t="shared" si="3"/>
        <v>0</v>
      </c>
      <c r="AA49" s="276">
        <f t="shared" si="3"/>
        <v>0</v>
      </c>
      <c r="AB49" s="276">
        <f t="shared" si="3"/>
        <v>0</v>
      </c>
      <c r="AC49" s="276">
        <f t="shared" si="3"/>
        <v>0</v>
      </c>
      <c r="AD49" s="276">
        <f t="shared" si="3"/>
        <v>0</v>
      </c>
      <c r="AE49" s="276">
        <f t="shared" si="3"/>
        <v>0</v>
      </c>
      <c r="AF49" s="276">
        <f t="shared" si="3"/>
        <v>0</v>
      </c>
      <c r="AG49" s="276">
        <f t="shared" si="3"/>
        <v>0</v>
      </c>
      <c r="AH49" s="276">
        <f t="shared" si="3"/>
        <v>0</v>
      </c>
      <c r="AI49" s="276">
        <f t="shared" si="3"/>
        <v>0</v>
      </c>
      <c r="AJ49" s="276">
        <f t="shared" si="3"/>
        <v>0</v>
      </c>
      <c r="AK49" s="276">
        <f t="shared" si="3"/>
        <v>0</v>
      </c>
      <c r="AL49" s="276">
        <f t="shared" si="3"/>
        <v>0</v>
      </c>
      <c r="AM49" s="276">
        <f t="shared" si="3"/>
        <v>0</v>
      </c>
      <c r="AN49" s="276">
        <f t="shared" si="3"/>
        <v>0</v>
      </c>
      <c r="AO49" s="276">
        <f t="shared" si="3"/>
        <v>0</v>
      </c>
      <c r="AP49" s="277">
        <f t="shared" si="3"/>
        <v>0</v>
      </c>
    </row>
    <row r="50" spans="2:42">
      <c r="B50" s="225" t="s">
        <v>217</v>
      </c>
      <c r="C50" s="276">
        <f>IFERROR(C42,0)</f>
        <v>0</v>
      </c>
      <c r="D50" s="276">
        <f t="shared" ref="D50:AP50" si="4">IFERROR(D42,0)</f>
        <v>0</v>
      </c>
      <c r="E50" s="276">
        <f t="shared" si="4"/>
        <v>0</v>
      </c>
      <c r="F50" s="276">
        <f t="shared" si="4"/>
        <v>0</v>
      </c>
      <c r="G50" s="276">
        <f t="shared" si="4"/>
        <v>0</v>
      </c>
      <c r="H50" s="276">
        <f t="shared" si="4"/>
        <v>0</v>
      </c>
      <c r="I50" s="276">
        <f t="shared" si="4"/>
        <v>0</v>
      </c>
      <c r="J50" s="276">
        <f t="shared" si="4"/>
        <v>0</v>
      </c>
      <c r="K50" s="276">
        <f t="shared" si="4"/>
        <v>0</v>
      </c>
      <c r="L50" s="276">
        <f t="shared" si="4"/>
        <v>0</v>
      </c>
      <c r="M50" s="276">
        <f t="shared" si="4"/>
        <v>0</v>
      </c>
      <c r="N50" s="276">
        <f t="shared" si="4"/>
        <v>0</v>
      </c>
      <c r="O50" s="276">
        <f t="shared" si="4"/>
        <v>0</v>
      </c>
      <c r="P50" s="276">
        <f t="shared" si="4"/>
        <v>0</v>
      </c>
      <c r="Q50" s="276">
        <f t="shared" si="4"/>
        <v>0</v>
      </c>
      <c r="R50" s="276">
        <f t="shared" si="4"/>
        <v>0</v>
      </c>
      <c r="S50" s="276">
        <f t="shared" si="4"/>
        <v>0</v>
      </c>
      <c r="T50" s="276">
        <f t="shared" si="4"/>
        <v>0</v>
      </c>
      <c r="U50" s="276">
        <f t="shared" si="4"/>
        <v>0</v>
      </c>
      <c r="V50" s="276">
        <f t="shared" si="4"/>
        <v>0</v>
      </c>
      <c r="W50" s="276">
        <f t="shared" si="4"/>
        <v>0</v>
      </c>
      <c r="X50" s="276">
        <f t="shared" si="4"/>
        <v>0</v>
      </c>
      <c r="Y50" s="276">
        <f t="shared" si="4"/>
        <v>0</v>
      </c>
      <c r="Z50" s="276">
        <f t="shared" si="4"/>
        <v>0</v>
      </c>
      <c r="AA50" s="276">
        <f t="shared" si="4"/>
        <v>0</v>
      </c>
      <c r="AB50" s="276">
        <f t="shared" si="4"/>
        <v>0</v>
      </c>
      <c r="AC50" s="276">
        <f t="shared" si="4"/>
        <v>0</v>
      </c>
      <c r="AD50" s="276">
        <f t="shared" si="4"/>
        <v>0</v>
      </c>
      <c r="AE50" s="276">
        <f t="shared" si="4"/>
        <v>0</v>
      </c>
      <c r="AF50" s="276">
        <f t="shared" si="4"/>
        <v>0</v>
      </c>
      <c r="AG50" s="276">
        <f t="shared" si="4"/>
        <v>0</v>
      </c>
      <c r="AH50" s="276">
        <f t="shared" si="4"/>
        <v>0</v>
      </c>
      <c r="AI50" s="276">
        <f t="shared" si="4"/>
        <v>0</v>
      </c>
      <c r="AJ50" s="276">
        <f t="shared" si="4"/>
        <v>0</v>
      </c>
      <c r="AK50" s="276">
        <f t="shared" si="4"/>
        <v>0</v>
      </c>
      <c r="AL50" s="276">
        <f t="shared" si="4"/>
        <v>0</v>
      </c>
      <c r="AM50" s="276">
        <f t="shared" si="4"/>
        <v>0</v>
      </c>
      <c r="AN50" s="276">
        <f t="shared" si="4"/>
        <v>0</v>
      </c>
      <c r="AO50" s="276">
        <f t="shared" si="4"/>
        <v>0</v>
      </c>
      <c r="AP50" s="276">
        <f t="shared" si="4"/>
        <v>0</v>
      </c>
    </row>
    <row r="51" spans="2:42">
      <c r="B51" s="225" t="s">
        <v>218</v>
      </c>
      <c r="C51" s="276">
        <f>IFERROR(C43,0)</f>
        <v>0</v>
      </c>
      <c r="D51" s="276">
        <f t="shared" ref="D51:AP51" si="5">IFERROR(D43,0)</f>
        <v>0</v>
      </c>
      <c r="E51" s="276">
        <f t="shared" si="5"/>
        <v>0</v>
      </c>
      <c r="F51" s="276">
        <f t="shared" si="5"/>
        <v>0</v>
      </c>
      <c r="G51" s="276">
        <f t="shared" si="5"/>
        <v>0</v>
      </c>
      <c r="H51" s="276">
        <f t="shared" si="5"/>
        <v>0</v>
      </c>
      <c r="I51" s="276">
        <f t="shared" si="5"/>
        <v>0</v>
      </c>
      <c r="J51" s="276">
        <f t="shared" si="5"/>
        <v>0</v>
      </c>
      <c r="K51" s="276">
        <f t="shared" si="5"/>
        <v>0</v>
      </c>
      <c r="L51" s="276">
        <f t="shared" si="5"/>
        <v>0</v>
      </c>
      <c r="M51" s="276">
        <f t="shared" si="5"/>
        <v>0</v>
      </c>
      <c r="N51" s="276">
        <f t="shared" si="5"/>
        <v>0</v>
      </c>
      <c r="O51" s="276">
        <f t="shared" si="5"/>
        <v>0</v>
      </c>
      <c r="P51" s="276">
        <f t="shared" si="5"/>
        <v>0</v>
      </c>
      <c r="Q51" s="276">
        <f t="shared" si="5"/>
        <v>0</v>
      </c>
      <c r="R51" s="276">
        <f t="shared" si="5"/>
        <v>0</v>
      </c>
      <c r="S51" s="276">
        <f t="shared" si="5"/>
        <v>0</v>
      </c>
      <c r="T51" s="276">
        <f t="shared" si="5"/>
        <v>0</v>
      </c>
      <c r="U51" s="276">
        <f t="shared" si="5"/>
        <v>0</v>
      </c>
      <c r="V51" s="276">
        <f t="shared" si="5"/>
        <v>0</v>
      </c>
      <c r="W51" s="276">
        <f t="shared" si="5"/>
        <v>0</v>
      </c>
      <c r="X51" s="276">
        <f t="shared" si="5"/>
        <v>0</v>
      </c>
      <c r="Y51" s="276">
        <f t="shared" si="5"/>
        <v>0</v>
      </c>
      <c r="Z51" s="276">
        <f t="shared" si="5"/>
        <v>0</v>
      </c>
      <c r="AA51" s="276">
        <f t="shared" si="5"/>
        <v>0</v>
      </c>
      <c r="AB51" s="276">
        <f t="shared" si="5"/>
        <v>0</v>
      </c>
      <c r="AC51" s="276">
        <f t="shared" si="5"/>
        <v>0</v>
      </c>
      <c r="AD51" s="276">
        <f t="shared" si="5"/>
        <v>0</v>
      </c>
      <c r="AE51" s="276">
        <f t="shared" si="5"/>
        <v>0</v>
      </c>
      <c r="AF51" s="276">
        <f t="shared" si="5"/>
        <v>0</v>
      </c>
      <c r="AG51" s="276">
        <f t="shared" si="5"/>
        <v>0</v>
      </c>
      <c r="AH51" s="276">
        <f t="shared" si="5"/>
        <v>0</v>
      </c>
      <c r="AI51" s="276">
        <f t="shared" si="5"/>
        <v>0</v>
      </c>
      <c r="AJ51" s="276">
        <f t="shared" si="5"/>
        <v>0</v>
      </c>
      <c r="AK51" s="276">
        <f t="shared" si="5"/>
        <v>0</v>
      </c>
      <c r="AL51" s="276">
        <f t="shared" si="5"/>
        <v>0</v>
      </c>
      <c r="AM51" s="276">
        <f t="shared" si="5"/>
        <v>0</v>
      </c>
      <c r="AN51" s="276">
        <f t="shared" si="5"/>
        <v>0</v>
      </c>
      <c r="AO51" s="276">
        <f t="shared" si="5"/>
        <v>0</v>
      </c>
      <c r="AP51" s="276">
        <f t="shared" si="5"/>
        <v>0</v>
      </c>
    </row>
    <row r="52" spans="2:42" ht="27.95">
      <c r="B52" s="278" t="s">
        <v>219</v>
      </c>
      <c r="C52" s="276">
        <f t="shared" ref="C52:AJ52" si="6">IFERROR(C44,0)</f>
        <v>0</v>
      </c>
      <c r="D52" s="276">
        <f t="shared" si="6"/>
        <v>0</v>
      </c>
      <c r="E52" s="276">
        <f t="shared" si="6"/>
        <v>0</v>
      </c>
      <c r="F52" s="276">
        <f t="shared" si="6"/>
        <v>0</v>
      </c>
      <c r="G52" s="276">
        <f t="shared" si="6"/>
        <v>0</v>
      </c>
      <c r="H52" s="276">
        <f t="shared" si="6"/>
        <v>0</v>
      </c>
      <c r="I52" s="276">
        <f t="shared" si="6"/>
        <v>0</v>
      </c>
      <c r="J52" s="276">
        <f t="shared" si="6"/>
        <v>0</v>
      </c>
      <c r="K52" s="276">
        <f t="shared" si="6"/>
        <v>0</v>
      </c>
      <c r="L52" s="276">
        <f t="shared" si="6"/>
        <v>0</v>
      </c>
      <c r="M52" s="276">
        <f t="shared" si="6"/>
        <v>0</v>
      </c>
      <c r="N52" s="276">
        <f t="shared" si="6"/>
        <v>0</v>
      </c>
      <c r="O52" s="276">
        <f t="shared" si="6"/>
        <v>0</v>
      </c>
      <c r="P52" s="276">
        <f t="shared" si="6"/>
        <v>0</v>
      </c>
      <c r="Q52" s="276">
        <f t="shared" si="6"/>
        <v>0</v>
      </c>
      <c r="R52" s="276">
        <f t="shared" si="6"/>
        <v>0</v>
      </c>
      <c r="S52" s="276">
        <f t="shared" si="6"/>
        <v>0</v>
      </c>
      <c r="T52" s="276">
        <f t="shared" si="6"/>
        <v>0</v>
      </c>
      <c r="U52" s="276">
        <f t="shared" si="6"/>
        <v>0</v>
      </c>
      <c r="V52" s="276">
        <f t="shared" si="6"/>
        <v>0</v>
      </c>
      <c r="W52" s="276">
        <f t="shared" si="6"/>
        <v>0</v>
      </c>
      <c r="X52" s="276">
        <f t="shared" si="6"/>
        <v>0</v>
      </c>
      <c r="Y52" s="276">
        <f t="shared" si="6"/>
        <v>0</v>
      </c>
      <c r="Z52" s="276">
        <f t="shared" si="6"/>
        <v>0</v>
      </c>
      <c r="AA52" s="276">
        <f t="shared" si="6"/>
        <v>0</v>
      </c>
      <c r="AB52" s="276">
        <f t="shared" si="6"/>
        <v>0</v>
      </c>
      <c r="AC52" s="276">
        <f t="shared" si="6"/>
        <v>0</v>
      </c>
      <c r="AD52" s="276">
        <f t="shared" si="6"/>
        <v>0</v>
      </c>
      <c r="AE52" s="276">
        <f t="shared" si="6"/>
        <v>0</v>
      </c>
      <c r="AF52" s="276">
        <f t="shared" si="6"/>
        <v>0</v>
      </c>
      <c r="AG52" s="276">
        <f t="shared" si="6"/>
        <v>0</v>
      </c>
      <c r="AH52" s="276">
        <f t="shared" si="6"/>
        <v>0</v>
      </c>
      <c r="AI52" s="276">
        <f t="shared" si="6"/>
        <v>0</v>
      </c>
      <c r="AJ52" s="276">
        <f t="shared" si="6"/>
        <v>0</v>
      </c>
      <c r="AK52" s="276">
        <f t="shared" ref="AK52:AP52" si="7">IFERROR(AK44,0)</f>
        <v>0</v>
      </c>
      <c r="AL52" s="276">
        <f t="shared" si="7"/>
        <v>0</v>
      </c>
      <c r="AM52" s="276">
        <f t="shared" si="7"/>
        <v>0</v>
      </c>
      <c r="AN52" s="276">
        <f t="shared" si="7"/>
        <v>0</v>
      </c>
      <c r="AO52" s="276">
        <f t="shared" si="7"/>
        <v>0</v>
      </c>
      <c r="AP52" s="277">
        <f t="shared" si="7"/>
        <v>0</v>
      </c>
    </row>
    <row r="53" spans="2:42" ht="14.45" thickBot="1">
      <c r="B53" s="279" t="s">
        <v>220</v>
      </c>
      <c r="C53" s="280">
        <f>IFERROR(C45,0)</f>
        <v>0</v>
      </c>
      <c r="D53" s="280">
        <f>IFERROR(D45,0)</f>
        <v>0</v>
      </c>
      <c r="E53" s="280">
        <f t="shared" ref="E53:AP53" si="8">IFERROR(E45,0)</f>
        <v>0</v>
      </c>
      <c r="F53" s="280">
        <f t="shared" si="8"/>
        <v>0</v>
      </c>
      <c r="G53" s="280">
        <f t="shared" si="8"/>
        <v>0</v>
      </c>
      <c r="H53" s="280">
        <f t="shared" si="8"/>
        <v>0</v>
      </c>
      <c r="I53" s="280">
        <f t="shared" si="8"/>
        <v>0</v>
      </c>
      <c r="J53" s="280">
        <f t="shared" si="8"/>
        <v>0</v>
      </c>
      <c r="K53" s="280">
        <f t="shared" si="8"/>
        <v>0</v>
      </c>
      <c r="L53" s="280">
        <f t="shared" si="8"/>
        <v>0</v>
      </c>
      <c r="M53" s="280">
        <f t="shared" si="8"/>
        <v>0</v>
      </c>
      <c r="N53" s="280">
        <f t="shared" si="8"/>
        <v>0</v>
      </c>
      <c r="O53" s="280">
        <f t="shared" si="8"/>
        <v>0</v>
      </c>
      <c r="P53" s="280">
        <f t="shared" si="8"/>
        <v>0</v>
      </c>
      <c r="Q53" s="280">
        <f t="shared" si="8"/>
        <v>0</v>
      </c>
      <c r="R53" s="280">
        <f t="shared" si="8"/>
        <v>0</v>
      </c>
      <c r="S53" s="280">
        <f t="shared" si="8"/>
        <v>0</v>
      </c>
      <c r="T53" s="280">
        <f t="shared" si="8"/>
        <v>0</v>
      </c>
      <c r="U53" s="280">
        <f t="shared" si="8"/>
        <v>0</v>
      </c>
      <c r="V53" s="280">
        <f t="shared" si="8"/>
        <v>0</v>
      </c>
      <c r="W53" s="280">
        <f t="shared" si="8"/>
        <v>0</v>
      </c>
      <c r="X53" s="280">
        <f t="shared" si="8"/>
        <v>0</v>
      </c>
      <c r="Y53" s="280">
        <f t="shared" si="8"/>
        <v>0</v>
      </c>
      <c r="Z53" s="280">
        <f t="shared" si="8"/>
        <v>0</v>
      </c>
      <c r="AA53" s="280">
        <f t="shared" si="8"/>
        <v>0</v>
      </c>
      <c r="AB53" s="280">
        <f t="shared" si="8"/>
        <v>0</v>
      </c>
      <c r="AC53" s="280">
        <f t="shared" si="8"/>
        <v>0</v>
      </c>
      <c r="AD53" s="280">
        <f t="shared" si="8"/>
        <v>0</v>
      </c>
      <c r="AE53" s="280">
        <f t="shared" si="8"/>
        <v>0</v>
      </c>
      <c r="AF53" s="280">
        <f t="shared" si="8"/>
        <v>0</v>
      </c>
      <c r="AG53" s="280">
        <f t="shared" si="8"/>
        <v>0</v>
      </c>
      <c r="AH53" s="280">
        <f t="shared" si="8"/>
        <v>0</v>
      </c>
      <c r="AI53" s="280">
        <f t="shared" si="8"/>
        <v>0</v>
      </c>
      <c r="AJ53" s="280">
        <f t="shared" si="8"/>
        <v>0</v>
      </c>
      <c r="AK53" s="280">
        <f t="shared" si="8"/>
        <v>0</v>
      </c>
      <c r="AL53" s="280">
        <f t="shared" si="8"/>
        <v>0</v>
      </c>
      <c r="AM53" s="280">
        <f t="shared" si="8"/>
        <v>0</v>
      </c>
      <c r="AN53" s="280">
        <f t="shared" si="8"/>
        <v>0</v>
      </c>
      <c r="AO53" s="280">
        <f t="shared" si="8"/>
        <v>0</v>
      </c>
      <c r="AP53" s="280">
        <f t="shared" si="8"/>
        <v>0</v>
      </c>
    </row>
    <row r="54" spans="2:42" ht="14.45" thickBot="1">
      <c r="B54" s="279" t="s">
        <v>230</v>
      </c>
      <c r="C54" s="280">
        <f>SUM(C48:C53)</f>
        <v>0</v>
      </c>
      <c r="D54" s="280">
        <f t="shared" ref="D54:AP54" si="9">SUM(D48:D53)</f>
        <v>0</v>
      </c>
      <c r="E54" s="280">
        <f t="shared" si="9"/>
        <v>0</v>
      </c>
      <c r="F54" s="280">
        <f t="shared" si="9"/>
        <v>0</v>
      </c>
      <c r="G54" s="280">
        <f t="shared" si="9"/>
        <v>0</v>
      </c>
      <c r="H54" s="280">
        <f t="shared" si="9"/>
        <v>0</v>
      </c>
      <c r="I54" s="280">
        <f t="shared" si="9"/>
        <v>0</v>
      </c>
      <c r="J54" s="280">
        <f t="shared" si="9"/>
        <v>0</v>
      </c>
      <c r="K54" s="280">
        <f t="shared" si="9"/>
        <v>0</v>
      </c>
      <c r="L54" s="280">
        <f t="shared" si="9"/>
        <v>0</v>
      </c>
      <c r="M54" s="280">
        <f t="shared" si="9"/>
        <v>0</v>
      </c>
      <c r="N54" s="280">
        <f t="shared" si="9"/>
        <v>0</v>
      </c>
      <c r="O54" s="280">
        <f t="shared" si="9"/>
        <v>0</v>
      </c>
      <c r="P54" s="280">
        <f t="shared" si="9"/>
        <v>0</v>
      </c>
      <c r="Q54" s="280">
        <f t="shared" si="9"/>
        <v>0</v>
      </c>
      <c r="R54" s="280">
        <f t="shared" si="9"/>
        <v>0</v>
      </c>
      <c r="S54" s="280">
        <f t="shared" si="9"/>
        <v>0</v>
      </c>
      <c r="T54" s="280">
        <f t="shared" si="9"/>
        <v>0</v>
      </c>
      <c r="U54" s="280">
        <f t="shared" si="9"/>
        <v>0</v>
      </c>
      <c r="V54" s="280">
        <f t="shared" si="9"/>
        <v>0</v>
      </c>
      <c r="W54" s="280">
        <f t="shared" si="9"/>
        <v>0</v>
      </c>
      <c r="X54" s="280">
        <f t="shared" si="9"/>
        <v>0</v>
      </c>
      <c r="Y54" s="280">
        <f t="shared" si="9"/>
        <v>0</v>
      </c>
      <c r="Z54" s="280">
        <f t="shared" si="9"/>
        <v>0</v>
      </c>
      <c r="AA54" s="280">
        <f t="shared" si="9"/>
        <v>0</v>
      </c>
      <c r="AB54" s="280">
        <f t="shared" si="9"/>
        <v>0</v>
      </c>
      <c r="AC54" s="280">
        <f t="shared" si="9"/>
        <v>0</v>
      </c>
      <c r="AD54" s="280">
        <f t="shared" si="9"/>
        <v>0</v>
      </c>
      <c r="AE54" s="280">
        <f t="shared" si="9"/>
        <v>0</v>
      </c>
      <c r="AF54" s="280">
        <f t="shared" si="9"/>
        <v>0</v>
      </c>
      <c r="AG54" s="280">
        <f t="shared" si="9"/>
        <v>0</v>
      </c>
      <c r="AH54" s="280">
        <f t="shared" si="9"/>
        <v>0</v>
      </c>
      <c r="AI54" s="280">
        <f t="shared" si="9"/>
        <v>0</v>
      </c>
      <c r="AJ54" s="280">
        <f t="shared" si="9"/>
        <v>0</v>
      </c>
      <c r="AK54" s="280">
        <f t="shared" si="9"/>
        <v>0</v>
      </c>
      <c r="AL54" s="280">
        <f t="shared" si="9"/>
        <v>0</v>
      </c>
      <c r="AM54" s="280">
        <f t="shared" si="9"/>
        <v>0</v>
      </c>
      <c r="AN54" s="280">
        <f t="shared" si="9"/>
        <v>0</v>
      </c>
      <c r="AO54" s="280">
        <f t="shared" si="9"/>
        <v>0</v>
      </c>
      <c r="AP54" s="280">
        <f t="shared" si="9"/>
        <v>0</v>
      </c>
    </row>
    <row r="56" spans="2:42">
      <c r="O56" s="282"/>
      <c r="S56" s="282"/>
      <c r="W56" s="282"/>
      <c r="AA56" s="282"/>
    </row>
    <row r="57" spans="2:42">
      <c r="C57" s="282"/>
    </row>
  </sheetData>
  <sheetProtection algorithmName="SHA-512" hashValue="JY+rFdXJ+LJ3u4Ngira1sDPq2ETTQJvArA01LRPryiXzCx5vntpng0pbcV+lvmqG9xG5vG4nN2mhpyMom1S76g==" saltValue="JBSo+kJbp3DBsUcME1mXqA==" spinCount="100000" sheet="1" formatColumns="0" formatRows="0"/>
  <mergeCells count="5">
    <mergeCell ref="B2:AO2"/>
    <mergeCell ref="B4:O7"/>
    <mergeCell ref="B9:G11"/>
    <mergeCell ref="I9:M11"/>
    <mergeCell ref="B24:D2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0DA04-2B35-4BFC-A032-BC208C14BDA1}">
  <dimension ref="B1:AP61"/>
  <sheetViews>
    <sheetView showGridLines="0" zoomScale="70" zoomScaleNormal="70" workbookViewId="0"/>
  </sheetViews>
  <sheetFormatPr defaultColWidth="8.625" defaultRowHeight="14.1"/>
  <cols>
    <col min="1" max="1" width="1.875" style="208" customWidth="1"/>
    <col min="2" max="2" width="18.875" style="208" customWidth="1"/>
    <col min="3" max="3" width="16" style="208" bestFit="1" customWidth="1"/>
    <col min="4" max="4" width="14.375" style="208" customWidth="1"/>
    <col min="5" max="5" width="15.375" style="208" bestFit="1" customWidth="1"/>
    <col min="6" max="6" width="14.25" style="208" bestFit="1" customWidth="1"/>
    <col min="7" max="7" width="11.625" style="208" bestFit="1" customWidth="1"/>
    <col min="8" max="8" width="10.5" style="208" bestFit="1" customWidth="1"/>
    <col min="9" max="9" width="16.25" style="208" bestFit="1" customWidth="1"/>
    <col min="10" max="18" width="10.5" style="208" bestFit="1" customWidth="1"/>
    <col min="19" max="25" width="10.875" style="208" bestFit="1" customWidth="1"/>
    <col min="26" max="27" width="10.875" style="208" customWidth="1"/>
    <col min="28" max="42" width="4.875" style="208" bestFit="1" customWidth="1"/>
    <col min="43" max="16384" width="8.625" style="208"/>
  </cols>
  <sheetData>
    <row r="1" spans="2:41">
      <c r="D1" s="209" t="s">
        <v>192</v>
      </c>
    </row>
    <row r="2" spans="2:41" ht="36" customHeight="1">
      <c r="B2" s="386" t="s">
        <v>231</v>
      </c>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c r="AE2" s="386"/>
      <c r="AF2" s="386"/>
      <c r="AG2" s="386"/>
      <c r="AH2" s="386"/>
      <c r="AI2" s="386"/>
      <c r="AJ2" s="386"/>
      <c r="AK2" s="386"/>
      <c r="AL2" s="386"/>
      <c r="AM2" s="386"/>
      <c r="AN2" s="386"/>
      <c r="AO2" s="386"/>
    </row>
    <row r="4" spans="2:41">
      <c r="B4" s="416" t="s">
        <v>232</v>
      </c>
      <c r="C4" s="417"/>
      <c r="D4" s="417"/>
      <c r="E4" s="417"/>
      <c r="F4" s="417"/>
      <c r="G4" s="417"/>
      <c r="H4" s="417"/>
      <c r="I4" s="417"/>
      <c r="J4" s="417"/>
      <c r="K4" s="417"/>
      <c r="L4" s="417"/>
      <c r="M4" s="417"/>
      <c r="N4" s="417"/>
      <c r="O4" s="418"/>
    </row>
    <row r="5" spans="2:41">
      <c r="B5" s="419"/>
      <c r="C5" s="420"/>
      <c r="D5" s="420"/>
      <c r="E5" s="420"/>
      <c r="F5" s="420"/>
      <c r="G5" s="420"/>
      <c r="H5" s="420"/>
      <c r="I5" s="420"/>
      <c r="J5" s="420"/>
      <c r="K5" s="420"/>
      <c r="L5" s="420"/>
      <c r="M5" s="420"/>
      <c r="N5" s="420"/>
      <c r="O5" s="421"/>
    </row>
    <row r="6" spans="2:41">
      <c r="B6" s="419"/>
      <c r="C6" s="420"/>
      <c r="D6" s="420"/>
      <c r="E6" s="420"/>
      <c r="F6" s="420"/>
      <c r="G6" s="420"/>
      <c r="H6" s="420"/>
      <c r="I6" s="420"/>
      <c r="J6" s="420"/>
      <c r="K6" s="420"/>
      <c r="L6" s="420"/>
      <c r="M6" s="420"/>
      <c r="N6" s="420"/>
      <c r="O6" s="421"/>
    </row>
    <row r="7" spans="2:41">
      <c r="B7" s="422"/>
      <c r="C7" s="423"/>
      <c r="D7" s="423"/>
      <c r="E7" s="423"/>
      <c r="F7" s="423"/>
      <c r="G7" s="423"/>
      <c r="H7" s="423"/>
      <c r="I7" s="423"/>
      <c r="J7" s="423"/>
      <c r="K7" s="423"/>
      <c r="L7" s="423"/>
      <c r="M7" s="423"/>
      <c r="N7" s="423"/>
      <c r="O7" s="424"/>
    </row>
    <row r="9" spans="2:41">
      <c r="B9" s="427" t="s">
        <v>195</v>
      </c>
      <c r="C9" s="427"/>
      <c r="D9" s="427"/>
      <c r="E9" s="427"/>
      <c r="F9" s="427"/>
      <c r="G9" s="427"/>
      <c r="I9" s="425" t="s">
        <v>196</v>
      </c>
      <c r="J9" s="425"/>
      <c r="K9" s="425"/>
      <c r="L9" s="425"/>
      <c r="M9" s="425"/>
    </row>
    <row r="10" spans="2:41">
      <c r="B10" s="427"/>
      <c r="C10" s="427"/>
      <c r="D10" s="427"/>
      <c r="E10" s="427"/>
      <c r="F10" s="427"/>
      <c r="G10" s="427"/>
      <c r="I10" s="425"/>
      <c r="J10" s="425"/>
      <c r="K10" s="425"/>
      <c r="L10" s="425"/>
      <c r="M10" s="425"/>
    </row>
    <row r="11" spans="2:41" ht="14.45" thickBot="1">
      <c r="B11" s="428"/>
      <c r="C11" s="428"/>
      <c r="D11" s="428"/>
      <c r="E11" s="428"/>
      <c r="F11" s="428"/>
      <c r="G11" s="428"/>
      <c r="I11" s="426"/>
      <c r="J11" s="426"/>
      <c r="K11" s="426"/>
      <c r="L11" s="426"/>
      <c r="M11" s="426"/>
    </row>
    <row r="12" spans="2:41" ht="14.45" thickBot="1">
      <c r="B12" s="210" t="s">
        <v>197</v>
      </c>
      <c r="C12" s="211" t="s">
        <v>233</v>
      </c>
      <c r="D12" s="211" t="s">
        <v>199</v>
      </c>
      <c r="E12" s="211" t="s">
        <v>234</v>
      </c>
      <c r="F12" s="211" t="s">
        <v>201</v>
      </c>
      <c r="G12" s="212" t="s">
        <v>202</v>
      </c>
      <c r="I12" s="213" t="s">
        <v>203</v>
      </c>
      <c r="J12" s="214">
        <v>1</v>
      </c>
      <c r="K12" s="214">
        <v>2</v>
      </c>
      <c r="L12" s="214">
        <v>3</v>
      </c>
      <c r="M12" s="215">
        <v>4</v>
      </c>
    </row>
    <row r="13" spans="2:41">
      <c r="B13" s="216" t="str">
        <f>'1. Business Financials'!F27</f>
        <v/>
      </c>
      <c r="C13" s="217">
        <f>IFERROR((C47*$C$32+D47*$C$33+E47*$C$34+F47*$C$35+C41*$C$32+D41*$C$33+E41*$C$34+F41*$C$35)-(C53*$C$32+$C$33*D53+E53*$C$34+$C$35*F53),0)</f>
        <v>0</v>
      </c>
      <c r="D13" s="218">
        <f>SUM(C48,C52)*$C$32+SUM(D48,D52)*$C$33+SUM(E48,E52)*$C$34+SUM(F48,F52)*$C$35</f>
        <v>0</v>
      </c>
      <c r="E13" s="218">
        <f>(C53*$C$32+$C$33*D53+E53*$C$34+$C$35*F53)</f>
        <v>0</v>
      </c>
      <c r="F13" s="219">
        <f>(C39*$C$32+D39*$C$33+E39*$C$34+F39*$C$35)</f>
        <v>0</v>
      </c>
      <c r="G13" s="220">
        <f>SUM(C48,C49,C52)*$C$32+SUM(D48,D49,D52)*$C$33+SUM(E48,E49,E52)*$C$34+SUM(F48,F49,F52)*$C$35</f>
        <v>0</v>
      </c>
      <c r="I13" s="221">
        <v>0</v>
      </c>
      <c r="J13" s="222">
        <v>1</v>
      </c>
      <c r="K13" s="222">
        <v>1</v>
      </c>
      <c r="L13" s="222">
        <v>1</v>
      </c>
      <c r="M13" s="223">
        <v>1</v>
      </c>
      <c r="N13" s="224"/>
      <c r="O13" s="224"/>
      <c r="P13" s="224"/>
    </row>
    <row r="14" spans="2:41">
      <c r="B14" s="225" t="str">
        <f>'1. Business Financials'!G27</f>
        <v/>
      </c>
      <c r="C14" s="226">
        <f>IFERROR((C13+(1-$C$32)*C47+(1-$C$33)*D47+(1-$C$34)*E47+(1-$C$35)*F47+$C$32*G47+$C$33*H47+$C$34*I47+$C$35*J47+(1-$C$32)*C41+(1-$C$33)*D41+(1-$C$34)*E41+(1-$C$35)*F41+$C$32*G41+$C$33*H41+$C$34*I41+$C$35*J41)-((1-$C$32)*C53+(1-$C$33)*D53+(1-$C$34)*E53+(1-$C$35)*F53+$C$32*G53+$C$33*H53+$C$34*I53+$C$35*J53),0)</f>
        <v>0</v>
      </c>
      <c r="D14" s="227">
        <f>SUM(C48,C52)*(1-$C$32)+SUM(D48,D52)*(1-$C$33)+SUM(E48,E52)*(1-$C$34)+SUM(F48,F52)*(1-$C$35)+SUM(G48,G52)*$C$32+SUM(H48,H52)*$C$33+SUM(I48,I52)*$C$34+SUM(J48,J52)*$C$35</f>
        <v>0</v>
      </c>
      <c r="E14" s="227">
        <f>(1-$C$32)*C53+(1-$C$33)*D53+(1-$C$34)*E53+(1-$C$35)*F53+$C$32*G53+$C$33*H53+$C$34*I53+$C$35*J53</f>
        <v>0</v>
      </c>
      <c r="F14" s="228">
        <f>(1-$C$32)*C39+(1-$C$33)*D39+(1-$C$34)*E39+(1-$C$35)*F39+$C$32*G39+$C$33*H39+$C$34*I39+$C$35*J39</f>
        <v>0</v>
      </c>
      <c r="G14" s="229">
        <f>SUM(C48,C49,C52)*(1-$C$32)+SUM(D48,D49,D52)*(1-$C$33)+SUM(E48,E49,E52)*(1-$C$34)+SUM(F48,F49,F52)*(1-$C$35)+SUM(G48,G49,G52)*$C$32+SUM(H48,H49,H52)*$C$33+SUM(I48,I49,I52)*$C$34+SUM(J48,J49,J52)*$C$35</f>
        <v>0</v>
      </c>
      <c r="I14" s="230">
        <v>1</v>
      </c>
      <c r="J14" s="231">
        <v>0.33</v>
      </c>
      <c r="K14" s="231">
        <v>0</v>
      </c>
      <c r="L14" s="231">
        <v>0</v>
      </c>
      <c r="M14" s="232">
        <v>0</v>
      </c>
    </row>
    <row r="15" spans="2:41">
      <c r="B15" s="225" t="str">
        <f>'1. Business Financials'!H27</f>
        <v/>
      </c>
      <c r="C15" s="226">
        <f>IFERROR((C14+(1-$C$32)*G47+(1-$C$33)*H47+(1-$C$34)*I47+(1-$C$35)*J47+$C$32*K47+$C$33*L47+$C$34*M47+$C$35*N47+(1-$C$32)*G41+(1-$C$33)*H41+(1-$C$34)*I41+(1-$C$35)*J41+$C$32*K41+$C$33*L41+$C$34*M41+$C$35*N41)-((1-$C$32)*G53+(1-$C$33)*H53+(1-$C$34)*I53+(1-$C$35)*J53+$C$32*K53+$C$33*L53+$C$34*M53+$C$35*N53),0)</f>
        <v>0</v>
      </c>
      <c r="D15" s="227">
        <f>SUM(G48,G52)*(1-$C$32)+SUM(H48,H52)*(1-$C$33)+SUM(I48,I52)*(1-$C$34)+SUM(J48,J52)*(1-$C$35)+SUM(K48,K52)*$C$32+SUM(L48,L52)*$C$33+SUM(M48,M52)*$C$34+SUM(N48,N52)*$C$35</f>
        <v>0</v>
      </c>
      <c r="E15" s="227">
        <f>(1-$C$32)*G53+(1-$C$33)*H53+(1-$C$34)*I53+(1-$C$35)*J53+$C$32*K53+$C$33*L53+$C$34*M53+$C$35*N53</f>
        <v>0</v>
      </c>
      <c r="F15" s="233">
        <f>(1-$C$32)*G39+(1-$C$33)*H39+(1-$C$34)*I39+(1-$C$35)*J39+$C$32*K39+$C$33*L39+$C$34*M39+$C$35*N39</f>
        <v>0</v>
      </c>
      <c r="G15" s="229">
        <f>SUM(G48,G49,G52)*(1-$C$32)+SUM(H48,H49,H52)*(1-$C$33)+SUM(I48,I49,I52)*(1-$C$34)+SUM(J48,J49,J52)*(1-$C$35)+SUM(K48,K49,K52)*$C$32+SUM(L48,L49,L52)*$C$33+SUM(M48,M49,M52)*$C$34+SUM(N48,N49,N52)*$C$35</f>
        <v>0</v>
      </c>
      <c r="I15" s="230">
        <v>2</v>
      </c>
      <c r="J15" s="231">
        <v>0.67</v>
      </c>
      <c r="K15" s="231">
        <v>0</v>
      </c>
      <c r="L15" s="231">
        <v>0</v>
      </c>
      <c r="M15" s="232">
        <v>0</v>
      </c>
    </row>
    <row r="16" spans="2:41">
      <c r="B16" s="225" t="str">
        <f>'1. Business Financials'!I27</f>
        <v/>
      </c>
      <c r="C16" s="226">
        <f>IFERROR((C15+(1-$C$32)*K47+(1-$C$33)*L47+(1-$C$34)*M47+(1-$C$35)*N47+$C$32*O47+$C$33*P47+$C$34*Q47+$C$35*R47+(1-$C$32)*K41+(1-$C$33)*L41+(1-$C$34)*M41+(1-$C$35)*N41+$C$32*O41+$C$33*P41+$C$34*Q41+$C$35*R41)-((1-$C$32)*K53+(1-$C$33)*L53+(1-$C$34)*M53+(1-$C$35)*N53+$C$32*O53+$C$33*P53+$C$34*Q53+$C$35*R53),0)</f>
        <v>0</v>
      </c>
      <c r="D16" s="227">
        <f>SUM(K48,K52)*(1-$C$32)+SUM(L48,L52)*(1-$C$33)+SUM(M48,M52)*(1-$C$34)+SUM(N48,N52)*(1-$C$35)+SUM(O48,O52)*$C$32+SUM(P48,P52)*$C$33+SUM(Q48,Q52)*$C$34+SUM(R48,R52)*$C$35</f>
        <v>0</v>
      </c>
      <c r="E16" s="227">
        <f>(1-$C$32)*K53+(1-$C$33)*L53+(1-$C$34)*M53+(1-$C$35)*N53+$C$32*O53+$C$33*P53+$C$34*Q53+$C$35*R53</f>
        <v>0</v>
      </c>
      <c r="F16" s="233">
        <f>(1-$C$32)*K39+(1-$C$33)*L39+(1-$C$34)*M39+(1-$C$35)*N39+$C$32*O39+$C$33*P39+$C$34*Q39+$C$35*R39</f>
        <v>0</v>
      </c>
      <c r="G16" s="229">
        <f>SUM(K48,K49,K52)*(1-$C$32)+SUM(L48,L49,L52)*(1-$C$33)+SUM(M48,M49,M52)*(1-$C$34)+SUM(N48,N49,N52)*(1-$C$35)+SUM(O48,O49,O52)*$C$32+SUM(P48,P49,P52)*$C$33+SUM(Q48,Q49,Q52)*$C$34+SUM(R48,R49,R52)*$C$35</f>
        <v>0</v>
      </c>
      <c r="I16" s="230">
        <v>3</v>
      </c>
      <c r="J16" s="231">
        <v>1</v>
      </c>
      <c r="K16" s="231">
        <v>0</v>
      </c>
      <c r="L16" s="231">
        <v>0</v>
      </c>
      <c r="M16" s="234">
        <v>0</v>
      </c>
    </row>
    <row r="17" spans="2:13">
      <c r="B17" s="225" t="str">
        <f>'1. Business Financials'!J27</f>
        <v/>
      </c>
      <c r="C17" s="226">
        <f>IFERROR((C16+(1-$C$32)*O47+(1-$C$33)*P47+(1-$C$34)*Q47+(1-$C$35)*R47+$C$32*S47+$C$33*T47+$C$34*U47+$C$35*V47)-((1-$C$32)*O53+(1-$C$33)*P53+(1-$C$34)*Q53+(1-$C$35)*R53+$C$32*S53+$C$33*T53+$C$34*U53+$C$35*V53),0)</f>
        <v>0</v>
      </c>
      <c r="D17" s="227">
        <f>SUM(O48,O52)*(1-$C$32)+SUM(P48,P52)*(1-$C$33)+SUM(Q48,Q52)*(1-$C$34)+SUM(R48,R52)*(1-$C$35)+SUM(S48,S52)*$C$32+SUM(T48,T52)*$C$33+SUM(U48,U52)*$C$34+SUM(V48,V52)*$C$35</f>
        <v>0</v>
      </c>
      <c r="E17" s="227">
        <f>(1-$C$32)*O53+(1-$C$33)*P53+(1-$C$34)*Q53+(1-$C$35)*R53+$C$32*S53+$C$33*T53+$C$34*U53+$C$35*V53</f>
        <v>0</v>
      </c>
      <c r="F17" s="233">
        <f>(1-$C$32)*O39+(1-$C$33)*P39+(1-$C$34)*Q39+(1-$C$35)*R39+$C$32*S39+$C$33*T39+$C$34*U39+$C$35*V39</f>
        <v>0</v>
      </c>
      <c r="G17" s="229">
        <f>SUM(O48,O49,O52)*(1-$C$32)+SUM(P48,P49,P52)*(1-$C$33)+SUM(Q48,Q49,Q52)*(1-$C$34)+SUM(R48,R49,R52)*(1-$C$35)+SUM(S48,S49,S52)*$C$32+SUM(T48,T49,T52)*$C$33+SUM(U48,U49,U52)*$C$34+SUM(V48,V49,V52)*$C$35</f>
        <v>0</v>
      </c>
      <c r="I17" s="230">
        <v>4</v>
      </c>
      <c r="J17" s="231">
        <v>1</v>
      </c>
      <c r="K17" s="231">
        <v>0.33</v>
      </c>
      <c r="L17" s="231">
        <v>0</v>
      </c>
      <c r="M17" s="234">
        <v>0</v>
      </c>
    </row>
    <row r="18" spans="2:13">
      <c r="B18" s="225" t="str">
        <f>'1. Business Financials'!K27</f>
        <v/>
      </c>
      <c r="C18" s="226">
        <f>IFERROR((C17+(1-$C$32)*S47+(1-$C$33)*T47+(1-$C$34)*U47+(1-$C$35)*V47+$C$32*W47+$C$33*X47+$C$34*Y47+$C$35*Z47)-((1-$C$32)*S53+(1-$C$33)*T53+(1-$C$34)*U53+(1-$C$35)*V53+$C$32*W53+$C$33*X53+$C$34*Y53+$C$35*Z53),0)</f>
        <v>0</v>
      </c>
      <c r="D18" s="227">
        <f>SUM(S48,S52)*(1-$C$32)+SUM(T48,T52)*(1-$C$33)+SUM(U48,U52)*(1-$C$34)+SUM(V48,V52)*(1-$C$35)+SUM(W48,W52)*$C$32+SUM(X48,X52)*$C$33+SUM(Y48,Y52)*$C$34+SUM(Z48,Z52)*$C$35</f>
        <v>0</v>
      </c>
      <c r="E18" s="227">
        <f>(1-$C$32)*S53+(1-$C$33)*T53+(1-$C$34)*U53+(1-$C$35)*V53+$C$32*W53+$C$33*X53+$C$34*Y53+$C$35*Z53</f>
        <v>0</v>
      </c>
      <c r="F18" s="233">
        <f>(1-$C$32)*S39+(1-$C$33)*T39+(1-$C$34)*U39+(1-$C$35)*V39+$C$32*W39+$C$33*X39+$C$34*Y39+$C$35*Z39</f>
        <v>0</v>
      </c>
      <c r="G18" s="229">
        <f>SUM(S48,S49,S52)*(1-$C$32)+SUM(T48,T49,T52)*(1-$C$33)+SUM(U48,U49,U52)*(1-$C$34)+SUM(V48,V49,V52)*(1-$C$35)+SUM(W48,W49,W52)*$C$32+SUM(X48,X49,X52)*$C$33+SUM(Y48,Y49,Y52)*$C$34+SUM(Z48,Z49,Z52)*$C$35</f>
        <v>0</v>
      </c>
      <c r="I18" s="230">
        <v>5</v>
      </c>
      <c r="J18" s="231">
        <v>1</v>
      </c>
      <c r="K18" s="231">
        <v>0.67</v>
      </c>
      <c r="L18" s="231">
        <v>0</v>
      </c>
      <c r="M18" s="234">
        <v>0</v>
      </c>
    </row>
    <row r="19" spans="2:13">
      <c r="B19" s="225" t="str">
        <f>'1. Business Financials'!L27</f>
        <v/>
      </c>
      <c r="C19" s="226">
        <f>IFERROR((C18+(1-$C$32)*W47+(1-$C$33)*X47+(1-$C$34)*Y47+(1-$C$35)*Z47+$C$32*AA47+$C$33*AB47+$C$34*AC47+$C$35*AD47+(1-$C$32)*W49+(1-$C$33)*X49+(1-$C$34)*Y49+(1-$C$35)*Z49+$C$32*AA49+$C$33*AB49+$C$34*AC49+$C$35*AD49)-((1-$C$32)*W53+(1-$C$33)*X53+(1-$C$34)*Y53+(1-$C$35)*Z53+$C$32*AA53+$C$33*AB53+$C$34*AC53+$C$35*AD53),0)</f>
        <v>0</v>
      </c>
      <c r="D19" s="227">
        <f>SUM(W48,W52)*(1-$C$32)+SUM(X48,X52)*(1-$C$33)+SUM(Y48,Y52)*(1-$C$34)+SUM(Z48,Z52)*(1-$C$35)+SUM(AA48,AA52)*$C$32+SUM(AB48,AB52)*$C$33+SUM(AC48,AC52)*$C$34+SUM(AD48,AD52)*$C$35</f>
        <v>0</v>
      </c>
      <c r="E19" s="227">
        <f>(1-$C$32)*W53+(1-$C$33)*X53+(1-$C$34)*Y53+(1-$C$35)*Z53+$C$32*AA53+$C$33*AB53+$C$34*AC53+$C$35*AD53</f>
        <v>0</v>
      </c>
      <c r="F19" s="233">
        <f>(1-$C$32)*W39+(1-$C$33)*X39+(1-$C$34)*Y39+(1-$C$35)*Z39+$C$32*AA39+$C$33*AB39+$C$34*AC39+$C$35*AD39</f>
        <v>0</v>
      </c>
      <c r="G19" s="229">
        <f>SUM(W48,W49,W52)*(1-$C$32)+SUM(X48,X49,X52)*(1-$C$33)+SUM(Y48,Y49,Y52)*(1-$C$34)+SUM(Z48,Z49,Z52)*(1-$C$35)+SUM(AA48,AA49,AA52)*$C$32+SUM(AB48,AB49,AB52)*$C$33+SUM(AC48,AC49,AC52)*$C$34+SUM(AD48,AD49,AD52)*$C$35</f>
        <v>0</v>
      </c>
      <c r="I19" s="230">
        <v>6</v>
      </c>
      <c r="J19" s="231">
        <v>1</v>
      </c>
      <c r="K19" s="231">
        <v>1</v>
      </c>
      <c r="L19" s="235">
        <v>0</v>
      </c>
      <c r="M19" s="234">
        <v>0</v>
      </c>
    </row>
    <row r="20" spans="2:13">
      <c r="B20" s="225" t="str">
        <f>'1. Business Financials'!M27</f>
        <v/>
      </c>
      <c r="C20" s="226">
        <f>IFERROR((C19+(1-$C$32)*AA47+(1-$C$33)*AB47+(1-$C$34)*AC47+(1-$C$35)*AD47+$C$32*AE47+$C$33*AF47+$C$34*AG47+$C$35*AH47+(1-$C$32)*AA49+(1-$C$33)*AB49+(1-$C$34)*AC49+(1-$C$35)*AD49+$C$32*AE49+$C$33*AF49+$C$34*AG49+$C$35*AH49)-((1-$C$32)*AA53+(1-$C$33)*AB53+(1-$C$34)*AC53+(1-$C$35)*AD53+$C$32*AE53+$C$33*AF53+$C$34*AG53+$C$35*AH53),0)</f>
        <v>0</v>
      </c>
      <c r="D20" s="227">
        <f>SUM(AA48,AA52)*(1-$C$32)+SUM(AB48,AB52)*(1-$C$33)+SUM(AC48,AC52)*(1-$C$34)+SUM(AD48,AD52)*(1-$C$35)+SUM(AE48,AE52)*$C$32+SUM(AF48,AF52)*$C$33+SUM(AG48,AG52)*$C$34+SUM(AH48,AH52)*$C$35</f>
        <v>0</v>
      </c>
      <c r="E20" s="227">
        <f>(1-$C$32)*AA53+(1-$C$33)*AB53+(1-$C$34)*AC53+(1-$C$35)*AD53+$C$32*AE53+$C$33*AF53+$C$34*AG53+$C$35*AH53</f>
        <v>0</v>
      </c>
      <c r="F20" s="233">
        <f>(1-$C$32)*AA39+(1-$C$33)*AB39+(1-$C$34)*AC39+(1-$C$35)*AD39+$C$32*AE39+$C$33*AF39+$C$34*AG39+$C$35*AH39</f>
        <v>0</v>
      </c>
      <c r="G20" s="229">
        <f>SUM(AA48,AA49,AA52)*(1-$C$32)+SUM(AB48,AB49,AB52)*(1-$C$33)+SUM(AC48,AC49,AC52)*(1-$C$34)+SUM(AD48,AD49,AD52)*(1-$C$35)+SUM(AE48,AE49,AE52)*$C$32+SUM(AF48,AF49,AF52)*$C$33+SUM(AG48,AG49,AG52)*$C$34+SUM(AH48,AH49,AH52)*$C$35</f>
        <v>0</v>
      </c>
      <c r="I20" s="230">
        <v>7</v>
      </c>
      <c r="J20" s="231">
        <v>1</v>
      </c>
      <c r="K20" s="231">
        <v>1</v>
      </c>
      <c r="L20" s="235">
        <v>0.33</v>
      </c>
      <c r="M20" s="234">
        <v>0</v>
      </c>
    </row>
    <row r="21" spans="2:13">
      <c r="B21" s="225" t="str">
        <f>'1. Business Financials'!N27</f>
        <v/>
      </c>
      <c r="C21" s="226">
        <f>IFERROR((C20+(1-$C$32)*AE47+(1-$C$33)*AF47+(1-$C$34)*AG47+(1-$C$35)*AH47+$C$32*AI47+$C$33*AJ47+$C$34*AK47+$C$35*AL47+(1-$C$32)*AE49+(1-$C$33)*AF49+(1-$C$34)*AG49+(1-$C$35)*AH49+$C$32*AI49+$C$33*AJ49+$C$34*AK49+$C$35*AL49)-((1-$C$32)*AE53+(1-$C$33)*AF53+(1-$C$34)*AG53+(1-$C$35)*AH53+$C$32*AI53+$C$33*AJ53+$C$34*AK53+$C$35*AL53),0)</f>
        <v>0</v>
      </c>
      <c r="D21" s="227">
        <f>SUM(AE48,AE52)*(1-$C$32)+SUM(AF48,AF52)*(1-$C$33)+SUM(AG48,AG52)*(1-$C$34)+SUM(AH48,AH52)*(1-$C$35)+SUM(AI48,AI52)*$C$32+SUM(AJ48,AJ52)*$C$33+SUM(AK48,AK52)*$C$34+SUM(AL48,AL52)*$C$35</f>
        <v>0</v>
      </c>
      <c r="E21" s="227">
        <f>(1-$C$32)*AE53+(1-$C$33)*AF53+(1-$C$34)*AG53+(1-$C$35)*AH53+$C$32*AI53+$C$33*AJ53+$C$34*AK53+$C$35*AL53</f>
        <v>0</v>
      </c>
      <c r="F21" s="233">
        <f>(1-$C$32)*AE39+(1-$C$33)*AF39+(1-$C$34)*AG39+(1-$C$35)*AH39+$C$32*AI39+$C$33*AJ39+$C$34*AK39+$C$35*AL39</f>
        <v>0</v>
      </c>
      <c r="G21" s="229">
        <f>SUM(AE48,AE49,AE52)*(1-$C$32)+SUM(AF48,AF49,AF52)*(1-$C$33)+SUM(AG48,AG49,AG52)*(1-$C$34)+SUM(AH48,AH49,AH52)*(1-$C$35)+SUM(AI48,AI49,AI52)*$C$32+SUM(AJ48,AJ49,AJ52)*$C$33+SUM(AK48,AK49,AK52)*$C$34+SUM(AL48,AL49,AL52)*$C$35</f>
        <v>0</v>
      </c>
      <c r="I21" s="230">
        <v>8</v>
      </c>
      <c r="J21" s="231">
        <v>1</v>
      </c>
      <c r="K21" s="231">
        <v>1</v>
      </c>
      <c r="L21" s="235">
        <v>0.67</v>
      </c>
      <c r="M21" s="234">
        <v>0</v>
      </c>
    </row>
    <row r="22" spans="2:13" ht="14.45" thickBot="1">
      <c r="B22" s="236" t="str">
        <f>'1. Business Financials'!O27</f>
        <v/>
      </c>
      <c r="C22" s="237">
        <f>IFERROR((C21+(1-$C$32)*AI47+(1-$C$33)*AJ47+(1-$C$34)*AK47+(1-$C$35)*AL47+$C$32*AM47+$C$33*AN47+$C$34*AO47+$C$35*OK47+(1-$C$32)*AI49+(1-$C$33)*AJ49+(1-$C$34)*AK49+(1-$C$35)*AL49+$C$32*AM49+$C$33*AN49+$C$34*AO49+$C$35*OK49)-((1-$C$32)*AI53+(1-$C$33)*AJ53+(1-$C$34)*AK53+(1-$C$35)*AL53+$C$32*AM53+$C$33*AN53+$C$34*AO53+$C$35*AP53),0)</f>
        <v>0</v>
      </c>
      <c r="D22" s="238">
        <f>SUM(AI48,AI52)*(1-$C$32)+SUM(AJ48,AJ52)*(1-$C$33)+SUM(AK48,AK52)*(1-$C$34)+SUM(AL48,AL52)*(1-$C$35)+SUM(AM48,AM52)*$C$32+SUM(AN48,AN52)*$C$33+SUM(AO48,AO52)*$C$34+SUM(AP48,AP52)*$C$35</f>
        <v>0</v>
      </c>
      <c r="E22" s="238">
        <f>(1-$C$32)*AI53+(1-$C$33)*AJ53+(1-$C$34)*AK53+(1-$C$35)*AL53+$C$32*AM53+$C$33*AN53+$C$34*AO53+$C$35*AP53</f>
        <v>0</v>
      </c>
      <c r="F22" s="239">
        <f>(1-$C$32)*AI39+(1-$C$33)*AJ39+(1-$C$34)*AK39+(1-$C$35)*AL39+$C$32*AM39+$C$33*AN39+$C$34*AO39+$C$35*AP39</f>
        <v>0</v>
      </c>
      <c r="G22" s="240">
        <f>SUM(AI48,AI49,AI52)*(1-$C$32)+SUM(AJ48,AJ49,AJ52)*(1-$C$33)+SUM(AK48,AK49,AK52)*(1-$C$34)+SUM(AL48,AL49,AL52)*(1-$C$35)+SUM(AM48,AM49,AM52)*$C$32+SUM(AN48,AN49,AN52)*$C$33+SUM(AO48,AO49,AO52)*$C$34+SUM(AP48,AP49,AP52)*$C$35</f>
        <v>0</v>
      </c>
      <c r="I22" s="230">
        <v>9</v>
      </c>
      <c r="J22" s="231">
        <v>1</v>
      </c>
      <c r="K22" s="235">
        <v>1</v>
      </c>
      <c r="L22" s="235">
        <v>1</v>
      </c>
      <c r="M22" s="234">
        <v>0</v>
      </c>
    </row>
    <row r="23" spans="2:13">
      <c r="G23" s="241"/>
      <c r="I23" s="230">
        <v>10</v>
      </c>
      <c r="J23" s="231">
        <v>1</v>
      </c>
      <c r="K23" s="235">
        <v>1</v>
      </c>
      <c r="L23" s="235">
        <v>1</v>
      </c>
      <c r="M23" s="234">
        <v>0.33</v>
      </c>
    </row>
    <row r="24" spans="2:13" ht="14.45" customHeight="1" thickBot="1">
      <c r="B24" s="425" t="s">
        <v>204</v>
      </c>
      <c r="C24" s="425"/>
      <c r="D24" s="425"/>
      <c r="E24" s="242"/>
      <c r="I24" s="243">
        <v>11</v>
      </c>
      <c r="J24" s="244">
        <v>1</v>
      </c>
      <c r="K24" s="245">
        <v>1</v>
      </c>
      <c r="L24" s="245">
        <v>1</v>
      </c>
      <c r="M24" s="246">
        <v>0.67</v>
      </c>
    </row>
    <row r="25" spans="2:13" ht="14.1" customHeight="1">
      <c r="B25" s="425"/>
      <c r="C25" s="425"/>
      <c r="D25" s="425"/>
      <c r="E25" s="242"/>
      <c r="I25" s="247"/>
      <c r="J25" s="248"/>
      <c r="K25" s="249"/>
      <c r="L25" s="249"/>
      <c r="M25" s="249"/>
    </row>
    <row r="26" spans="2:13" ht="14.1" customHeight="1">
      <c r="B26" s="425"/>
      <c r="C26" s="425"/>
      <c r="D26" s="425"/>
      <c r="E26" s="242"/>
      <c r="I26" s="247"/>
      <c r="J26" s="248"/>
      <c r="K26" s="249"/>
      <c r="L26" s="249"/>
      <c r="M26" s="249"/>
    </row>
    <row r="27" spans="2:13" ht="14.45" customHeight="1">
      <c r="B27" s="425"/>
      <c r="C27" s="425"/>
      <c r="D27" s="425"/>
      <c r="E27" s="242"/>
      <c r="I27" s="247"/>
      <c r="J27" s="248"/>
      <c r="K27" s="249"/>
      <c r="L27" s="249"/>
      <c r="M27" s="249"/>
    </row>
    <row r="28" spans="2:13" ht="14.45" thickBot="1">
      <c r="B28" s="426"/>
      <c r="C28" s="426"/>
      <c r="D28" s="426"/>
      <c r="E28" s="242"/>
      <c r="I28" s="247"/>
      <c r="J28" s="248"/>
      <c r="K28" s="249"/>
      <c r="L28" s="249"/>
      <c r="M28" s="249"/>
    </row>
    <row r="29" spans="2:13">
      <c r="B29" s="250" t="s">
        <v>205</v>
      </c>
      <c r="C29" s="251">
        <f>'1. Business Financials'!C21</f>
        <v>0</v>
      </c>
      <c r="D29" s="252"/>
    </row>
    <row r="30" spans="2:13">
      <c r="B30" s="253" t="s">
        <v>206</v>
      </c>
      <c r="C30" s="254">
        <f>IFERROR('1. Business Financials'!C19,0)</f>
        <v>0</v>
      </c>
      <c r="D30" s="255"/>
    </row>
    <row r="31" spans="2:13">
      <c r="B31" s="253" t="s">
        <v>207</v>
      </c>
      <c r="C31" s="256">
        <f>DATEDIF(C29,C30,"YM")</f>
        <v>0</v>
      </c>
      <c r="D31" s="257" t="s">
        <v>208</v>
      </c>
    </row>
    <row r="32" spans="2:13">
      <c r="B32" s="253" t="s">
        <v>209</v>
      </c>
      <c r="C32" s="258">
        <f>VLOOKUP($C$31,$I$13:$M$24,2,FALSE)</f>
        <v>1</v>
      </c>
      <c r="D32" s="255"/>
    </row>
    <row r="33" spans="2:42">
      <c r="B33" s="253" t="s">
        <v>210</v>
      </c>
      <c r="C33" s="258">
        <f>VLOOKUP($C$31,$I$13:$M$24,3,FALSE)</f>
        <v>1</v>
      </c>
      <c r="D33" s="255"/>
    </row>
    <row r="34" spans="2:42">
      <c r="B34" s="253" t="s">
        <v>211</v>
      </c>
      <c r="C34" s="258">
        <f>VLOOKUP($C$31,$I$13:$M$24,4,FALSE)</f>
        <v>1</v>
      </c>
      <c r="D34" s="255"/>
    </row>
    <row r="35" spans="2:42" ht="14.45" thickBot="1">
      <c r="B35" s="259" t="s">
        <v>212</v>
      </c>
      <c r="C35" s="260">
        <f>VLOOKUP($C$31,$I$13:$M$24,5,FALSE)</f>
        <v>1</v>
      </c>
      <c r="D35" s="261"/>
    </row>
    <row r="37" spans="2:42" ht="15" thickBot="1">
      <c r="B37" s="262" t="s">
        <v>213</v>
      </c>
    </row>
    <row r="38" spans="2:42" ht="14.45" thickBot="1">
      <c r="B38" s="376" t="s">
        <v>117</v>
      </c>
      <c r="C38" s="263">
        <v>1</v>
      </c>
      <c r="D38" s="263">
        <f>C38+1</f>
        <v>2</v>
      </c>
      <c r="E38" s="263">
        <f t="shared" ref="E38:AP38" si="0">D38+1</f>
        <v>3</v>
      </c>
      <c r="F38" s="263">
        <f t="shared" si="0"/>
        <v>4</v>
      </c>
      <c r="G38" s="263">
        <f t="shared" si="0"/>
        <v>5</v>
      </c>
      <c r="H38" s="263">
        <f t="shared" si="0"/>
        <v>6</v>
      </c>
      <c r="I38" s="263">
        <f t="shared" si="0"/>
        <v>7</v>
      </c>
      <c r="J38" s="263">
        <f t="shared" si="0"/>
        <v>8</v>
      </c>
      <c r="K38" s="263">
        <f t="shared" si="0"/>
        <v>9</v>
      </c>
      <c r="L38" s="263">
        <f t="shared" si="0"/>
        <v>10</v>
      </c>
      <c r="M38" s="263">
        <f t="shared" si="0"/>
        <v>11</v>
      </c>
      <c r="N38" s="263">
        <f t="shared" si="0"/>
        <v>12</v>
      </c>
      <c r="O38" s="263">
        <f t="shared" si="0"/>
        <v>13</v>
      </c>
      <c r="P38" s="263">
        <f t="shared" si="0"/>
        <v>14</v>
      </c>
      <c r="Q38" s="263">
        <f t="shared" si="0"/>
        <v>15</v>
      </c>
      <c r="R38" s="263">
        <f t="shared" si="0"/>
        <v>16</v>
      </c>
      <c r="S38" s="263">
        <f t="shared" si="0"/>
        <v>17</v>
      </c>
      <c r="T38" s="263">
        <f t="shared" si="0"/>
        <v>18</v>
      </c>
      <c r="U38" s="263">
        <f t="shared" si="0"/>
        <v>19</v>
      </c>
      <c r="V38" s="263">
        <f t="shared" si="0"/>
        <v>20</v>
      </c>
      <c r="W38" s="263">
        <f t="shared" si="0"/>
        <v>21</v>
      </c>
      <c r="X38" s="263">
        <f t="shared" si="0"/>
        <v>22</v>
      </c>
      <c r="Y38" s="263">
        <f t="shared" si="0"/>
        <v>23</v>
      </c>
      <c r="Z38" s="263">
        <f t="shared" si="0"/>
        <v>24</v>
      </c>
      <c r="AA38" s="263">
        <f t="shared" si="0"/>
        <v>25</v>
      </c>
      <c r="AB38" s="263">
        <f t="shared" si="0"/>
        <v>26</v>
      </c>
      <c r="AC38" s="263">
        <f t="shared" si="0"/>
        <v>27</v>
      </c>
      <c r="AD38" s="263">
        <f t="shared" si="0"/>
        <v>28</v>
      </c>
      <c r="AE38" s="263">
        <f t="shared" si="0"/>
        <v>29</v>
      </c>
      <c r="AF38" s="263">
        <f t="shared" si="0"/>
        <v>30</v>
      </c>
      <c r="AG38" s="263">
        <f t="shared" si="0"/>
        <v>31</v>
      </c>
      <c r="AH38" s="263">
        <f t="shared" si="0"/>
        <v>32</v>
      </c>
      <c r="AI38" s="263">
        <f t="shared" si="0"/>
        <v>33</v>
      </c>
      <c r="AJ38" s="263">
        <f t="shared" si="0"/>
        <v>34</v>
      </c>
      <c r="AK38" s="263">
        <f t="shared" si="0"/>
        <v>35</v>
      </c>
      <c r="AL38" s="263">
        <f t="shared" si="0"/>
        <v>36</v>
      </c>
      <c r="AM38" s="263">
        <f t="shared" si="0"/>
        <v>37</v>
      </c>
      <c r="AN38" s="263">
        <f t="shared" si="0"/>
        <v>38</v>
      </c>
      <c r="AO38" s="263">
        <f t="shared" si="0"/>
        <v>39</v>
      </c>
      <c r="AP38" s="264">
        <f t="shared" si="0"/>
        <v>40</v>
      </c>
    </row>
    <row r="39" spans="2:42" hidden="1">
      <c r="B39" s="377" t="s">
        <v>214</v>
      </c>
      <c r="C39" s="265">
        <f>'3. Repayment Calc Template'!G11</f>
        <v>0</v>
      </c>
      <c r="D39" s="265">
        <f>'3. Repayment Calc Template'!G12</f>
        <v>0</v>
      </c>
      <c r="E39" s="265">
        <f>'3. Repayment Calc Template'!G13</f>
        <v>0</v>
      </c>
      <c r="F39" s="265">
        <f>'3. Repayment Calc Template'!G14</f>
        <v>0</v>
      </c>
      <c r="G39" s="265">
        <f>'3. Repayment Calc Template'!G15</f>
        <v>0</v>
      </c>
      <c r="H39" s="265">
        <f>'3. Repayment Calc Template'!G16</f>
        <v>0</v>
      </c>
      <c r="I39" s="265">
        <f>'3. Repayment Calc Template'!G17</f>
        <v>0</v>
      </c>
      <c r="J39" s="265">
        <f>'3. Repayment Calc Template'!G18</f>
        <v>0</v>
      </c>
      <c r="K39" s="265">
        <f>'3. Repayment Calc Template'!G19</f>
        <v>0</v>
      </c>
      <c r="L39" s="265">
        <f>'3. Repayment Calc Template'!G20</f>
        <v>0</v>
      </c>
      <c r="M39" s="265">
        <f>'3. Repayment Calc Template'!G21</f>
        <v>0</v>
      </c>
      <c r="N39" s="265">
        <f>'3. Repayment Calc Template'!G22</f>
        <v>0</v>
      </c>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7"/>
    </row>
    <row r="40" spans="2:42" hidden="1">
      <c r="B40" s="378" t="s">
        <v>215</v>
      </c>
      <c r="C40" s="268">
        <f>(IFERROR(HLOOKUP('8. Grant Equiv Calcs'!C38,'5. Reference Rate Template'!$C$37:$N$39,2,FALSE),HLOOKUP('8. Grant Equiv Calcs'!C38,'5. Reference Rate Template'!$C$46:$K$48,2,FALSE)))</f>
        <v>0</v>
      </c>
      <c r="D40" s="268" t="e">
        <f>(IFERROR(HLOOKUP('8. Grant Equiv Calcs'!D38,'5. Reference Rate Template'!$C$37:$N$39,2,FALSE),HLOOKUP('8. Grant Equiv Calcs'!D38,'5. Reference Rate Template'!$C$46:$K$48,2,FALSE)))</f>
        <v>#N/A</v>
      </c>
      <c r="E40" s="268" t="e">
        <f>(IFERROR(HLOOKUP('8. Grant Equiv Calcs'!E38,'5. Reference Rate Template'!$C$37:$N$39,2,FALSE),HLOOKUP('8. Grant Equiv Calcs'!E38,'5. Reference Rate Template'!$C$46:$K$48,2,FALSE)))</f>
        <v>#N/A</v>
      </c>
      <c r="F40" s="268" t="e">
        <f>(IFERROR(HLOOKUP('8. Grant Equiv Calcs'!F38,'5. Reference Rate Template'!$C$37:$N$39,2,FALSE),HLOOKUP('8. Grant Equiv Calcs'!F38,'5. Reference Rate Template'!$C$46:$K$48,2,FALSE)))</f>
        <v>#N/A</v>
      </c>
      <c r="G40" s="268" t="e">
        <f>(IFERROR(HLOOKUP('8. Grant Equiv Calcs'!G38,'5. Reference Rate Template'!$C$37:$N$39,2,FALSE),HLOOKUP('8. Grant Equiv Calcs'!G38,'5. Reference Rate Template'!$C$46:$K$48,2,FALSE)))</f>
        <v>#N/A</v>
      </c>
      <c r="H40" s="268" t="e">
        <f>(IFERROR(HLOOKUP('8. Grant Equiv Calcs'!H38,'5. Reference Rate Template'!$C$37:$N$39,2,FALSE),HLOOKUP('8. Grant Equiv Calcs'!H38,'5. Reference Rate Template'!$C$46:$K$48,2,FALSE)))</f>
        <v>#N/A</v>
      </c>
      <c r="I40" s="268" t="e">
        <f>(IFERROR(HLOOKUP('8. Grant Equiv Calcs'!I38,'5. Reference Rate Template'!$C$37:$N$39,2,FALSE),HLOOKUP('8. Grant Equiv Calcs'!I38,'5. Reference Rate Template'!$C$46:$K$48,2,FALSE)))</f>
        <v>#N/A</v>
      </c>
      <c r="J40" s="268" t="e">
        <f>(IFERROR(HLOOKUP('8. Grant Equiv Calcs'!J38,'5. Reference Rate Template'!$C$37:$N$39,2,FALSE),HLOOKUP('8. Grant Equiv Calcs'!J38,'5. Reference Rate Template'!$C$46:$K$48,2,FALSE)))</f>
        <v>#N/A</v>
      </c>
      <c r="K40" s="268" t="e">
        <f>(IFERROR(HLOOKUP('8. Grant Equiv Calcs'!K38,'5. Reference Rate Template'!$C$37:$N$39,2,FALSE),HLOOKUP('8. Grant Equiv Calcs'!K38,'5. Reference Rate Template'!$C$46:$K$48,2,FALSE)))</f>
        <v>#N/A</v>
      </c>
      <c r="L40" s="268" t="e">
        <f>(IFERROR(HLOOKUP('8. Grant Equiv Calcs'!L38,'5. Reference Rate Template'!$C$37:$N$39,2,FALSE),HLOOKUP('8. Grant Equiv Calcs'!L38,'5. Reference Rate Template'!$C$46:$K$48,2,FALSE)))</f>
        <v>#N/A</v>
      </c>
      <c r="M40" s="268" t="e">
        <f>(IFERROR(HLOOKUP('8. Grant Equiv Calcs'!M38,'5. Reference Rate Template'!$C$37:$N$39,2,FALSE),HLOOKUP('8. Grant Equiv Calcs'!M38,'5. Reference Rate Template'!$C$46:$K$48,2,FALSE)))</f>
        <v>#N/A</v>
      </c>
      <c r="N40" s="268" t="e">
        <f>(IFERROR(HLOOKUP('8. Grant Equiv Calcs'!N38,'5. Reference Rate Template'!$C$37:$N$39,2,FALSE),HLOOKUP('8. Grant Equiv Calcs'!N38,'5. Reference Rate Template'!$C$46:$K$48,2,FALSE)))</f>
        <v>#N/A</v>
      </c>
      <c r="O40" s="268" t="e">
        <f>(IFERROR(HLOOKUP('8. Grant Equiv Calcs'!O38,'5. Reference Rate Template'!$C$37:$N$39,2,FALSE),HLOOKUP('8. Grant Equiv Calcs'!O38,'5. Reference Rate Template'!$C$46:$K$48,2,FALSE)))</f>
        <v>#N/A</v>
      </c>
      <c r="P40" s="268" t="e">
        <f>(IFERROR(HLOOKUP('8. Grant Equiv Calcs'!P38,'5. Reference Rate Template'!$C$37:$N$39,2,FALSE),HLOOKUP('8. Grant Equiv Calcs'!P38,'5. Reference Rate Template'!$C$46:$K$48,2,FALSE)))</f>
        <v>#N/A</v>
      </c>
      <c r="Q40" s="268" t="e">
        <f>(IFERROR(HLOOKUP('8. Grant Equiv Calcs'!Q38,'5. Reference Rate Template'!$C$37:$N$39,2,FALSE),HLOOKUP('8. Grant Equiv Calcs'!Q38,'5. Reference Rate Template'!$C$46:$K$48,2,FALSE)))</f>
        <v>#N/A</v>
      </c>
      <c r="R40" s="268" t="e">
        <f>(IFERROR(HLOOKUP('8. Grant Equiv Calcs'!R38,'5. Reference Rate Template'!$C$37:$N$39,2,FALSE),HLOOKUP('8. Grant Equiv Calcs'!R38,'5. Reference Rate Template'!$C$46:$K$48,2,FALSE)))</f>
        <v>#N/A</v>
      </c>
      <c r="S40" s="268" t="e">
        <f>(IFERROR(HLOOKUP('8. Grant Equiv Calcs'!S38,'5. Reference Rate Template'!$C$37:$N$39,2,FALSE),HLOOKUP('8. Grant Equiv Calcs'!S38,'5. Reference Rate Template'!$C$46:$K$48,2,FALSE)))</f>
        <v>#N/A</v>
      </c>
      <c r="T40" s="268" t="e">
        <f>(IFERROR(HLOOKUP('8. Grant Equiv Calcs'!T38,'5. Reference Rate Template'!$C$37:$N$39,2,FALSE),HLOOKUP('8. Grant Equiv Calcs'!T38,'5. Reference Rate Template'!$C$46:$K$48,2,FALSE)))</f>
        <v>#N/A</v>
      </c>
      <c r="U40" s="268" t="e">
        <f>(IFERROR(HLOOKUP('8. Grant Equiv Calcs'!U38,'5. Reference Rate Template'!$C$37:$N$39,2,FALSE),HLOOKUP('8. Grant Equiv Calcs'!U38,'5. Reference Rate Template'!$C$46:$K$48,2,FALSE)))</f>
        <v>#N/A</v>
      </c>
      <c r="V40" s="268" t="e">
        <f>(IFERROR(HLOOKUP('8. Grant Equiv Calcs'!V38,'5. Reference Rate Template'!$C$37:$N$39,2,FALSE),HLOOKUP('8. Grant Equiv Calcs'!V38,'5. Reference Rate Template'!$C$46:$K$48,2,FALSE)))</f>
        <v>#N/A</v>
      </c>
      <c r="W40" s="268" t="e">
        <f>(IFERROR(HLOOKUP('8. Grant Equiv Calcs'!W38,'5. Reference Rate Template'!$C$37:$N$39,2,FALSE),HLOOKUP('8. Grant Equiv Calcs'!W38,'5. Reference Rate Template'!$C$46:$K$48,2,FALSE)))</f>
        <v>#N/A</v>
      </c>
      <c r="X40" s="268" t="e">
        <f>(IFERROR(HLOOKUP('8. Grant Equiv Calcs'!X38,'5. Reference Rate Template'!$C$37:$N$39,2,FALSE),HLOOKUP('8. Grant Equiv Calcs'!X38,'5. Reference Rate Template'!$C$46:$K$48,2,FALSE)))</f>
        <v>#N/A</v>
      </c>
      <c r="Y40" s="268" t="e">
        <f>(IFERROR(HLOOKUP('8. Grant Equiv Calcs'!Y38,'5. Reference Rate Template'!$C$37:$N$39,2,FALSE),HLOOKUP('8. Grant Equiv Calcs'!Y38,'5. Reference Rate Template'!$C$46:$K$48,2,FALSE)))</f>
        <v>#N/A</v>
      </c>
      <c r="Z40" s="268" t="e">
        <f>(IFERROR(HLOOKUP('8. Grant Equiv Calcs'!Z38,'5. Reference Rate Template'!$C$37:$N$39,2,FALSE),HLOOKUP('8. Grant Equiv Calcs'!Z38,'5. Reference Rate Template'!$C$46:$K$48,2,FALSE)))</f>
        <v>#N/A</v>
      </c>
      <c r="AA40" s="268" t="e">
        <f>(IFERROR(HLOOKUP('8. Grant Equiv Calcs'!AA38,'5. Reference Rate Template'!$C$37:$N$39,2,FALSE),HLOOKUP('8. Grant Equiv Calcs'!AA38,'5. Reference Rate Template'!$C$46:$K$48,2,FALSE)))</f>
        <v>#N/A</v>
      </c>
      <c r="AB40" s="268" t="e">
        <f>(IFERROR(HLOOKUP('8. Grant Equiv Calcs'!AB38,'5. Reference Rate Template'!$C$37:$N$39,2,FALSE),HLOOKUP('8. Grant Equiv Calcs'!AB38,'5. Reference Rate Template'!$C$46:$K$48,2,FALSE)))</f>
        <v>#N/A</v>
      </c>
      <c r="AC40" s="268" t="e">
        <f>(IFERROR(HLOOKUP('8. Grant Equiv Calcs'!AC38,'5. Reference Rate Template'!$C$37:$N$39,2,FALSE),HLOOKUP('8. Grant Equiv Calcs'!AC38,'5. Reference Rate Template'!$C$46:$K$48,2,FALSE)))</f>
        <v>#N/A</v>
      </c>
      <c r="AD40" s="268" t="e">
        <f>(IFERROR(HLOOKUP('8. Grant Equiv Calcs'!AD38,'5. Reference Rate Template'!$C$37:$N$39,2,FALSE),HLOOKUP('8. Grant Equiv Calcs'!AD38,'5. Reference Rate Template'!$C$46:$K$48,2,FALSE)))</f>
        <v>#N/A</v>
      </c>
      <c r="AE40" s="268" t="e">
        <f>(IFERROR(HLOOKUP('8. Grant Equiv Calcs'!AE38,'5. Reference Rate Template'!$C$37:$N$39,2,FALSE),HLOOKUP('8. Grant Equiv Calcs'!AE38,'5. Reference Rate Template'!$C$46:$K$48,2,FALSE)))</f>
        <v>#N/A</v>
      </c>
      <c r="AF40" s="268" t="e">
        <f>(IFERROR(HLOOKUP('8. Grant Equiv Calcs'!AF38,'5. Reference Rate Template'!$C$37:$N$39,2,FALSE),HLOOKUP('8. Grant Equiv Calcs'!AF38,'5. Reference Rate Template'!$C$46:$K$48,2,FALSE)))</f>
        <v>#N/A</v>
      </c>
      <c r="AG40" s="268" t="e">
        <f>(IFERROR(HLOOKUP('8. Grant Equiv Calcs'!AG38,'5. Reference Rate Template'!$C$37:$N$39,2,FALSE),HLOOKUP('8. Grant Equiv Calcs'!AG38,'5. Reference Rate Template'!$C$46:$K$48,2,FALSE)))</f>
        <v>#N/A</v>
      </c>
      <c r="AH40" s="268" t="e">
        <f>(IFERROR(HLOOKUP('8. Grant Equiv Calcs'!AH38,'5. Reference Rate Template'!$C$37:$N$39,2,FALSE),HLOOKUP('8. Grant Equiv Calcs'!AH38,'5. Reference Rate Template'!$C$46:$K$48,2,FALSE)))</f>
        <v>#N/A</v>
      </c>
      <c r="AI40" s="268" t="e">
        <f>(IFERROR(HLOOKUP('8. Grant Equiv Calcs'!AI38,'5. Reference Rate Template'!$C$37:$N$39,2,FALSE),HLOOKUP('8. Grant Equiv Calcs'!AI38,'5. Reference Rate Template'!$C$46:$K$48,2,FALSE)))</f>
        <v>#N/A</v>
      </c>
      <c r="AJ40" s="268" t="e">
        <f>(IFERROR(HLOOKUP('8. Grant Equiv Calcs'!AJ38,'5. Reference Rate Template'!$C$37:$N$39,2,FALSE),HLOOKUP('8. Grant Equiv Calcs'!AJ38,'5. Reference Rate Template'!$C$46:$K$48,2,FALSE)))</f>
        <v>#N/A</v>
      </c>
      <c r="AK40" s="268" t="e">
        <f>(IFERROR(HLOOKUP('8. Grant Equiv Calcs'!AK38,'5. Reference Rate Template'!$C$37:$N$39,2,FALSE),HLOOKUP('8. Grant Equiv Calcs'!AK38,'5. Reference Rate Template'!$C$46:$K$48,2,FALSE)))</f>
        <v>#N/A</v>
      </c>
      <c r="AL40" s="268" t="e">
        <f>(IFERROR(HLOOKUP('8. Grant Equiv Calcs'!AL38,'5. Reference Rate Template'!$C$37:$N$39,2,FALSE),HLOOKUP('8. Grant Equiv Calcs'!AL38,'5. Reference Rate Template'!$C$46:$K$48,2,FALSE)))</f>
        <v>#N/A</v>
      </c>
      <c r="AM40" s="268" t="e">
        <f>(IFERROR(HLOOKUP('8. Grant Equiv Calcs'!AM38,'5. Reference Rate Template'!$C$37:$N$39,2,FALSE),HLOOKUP('8. Grant Equiv Calcs'!AM38,'5. Reference Rate Template'!$C$46:$K$48,2,FALSE)))</f>
        <v>#N/A</v>
      </c>
      <c r="AN40" s="268" t="e">
        <f>(IFERROR(HLOOKUP('8. Grant Equiv Calcs'!AN38,'5. Reference Rate Template'!$C$37:$N$39,2,FALSE),HLOOKUP('8. Grant Equiv Calcs'!AN38,'5. Reference Rate Template'!$C$46:$K$48,2,FALSE)))</f>
        <v>#N/A</v>
      </c>
      <c r="AO40" s="268" t="e">
        <f>(IFERROR(HLOOKUP('8. Grant Equiv Calcs'!AO38,'5. Reference Rate Template'!$C$37:$N$39,2,FALSE),HLOOKUP('8. Grant Equiv Calcs'!AO38,'5. Reference Rate Template'!$C$46:$K$48,2,FALSE)))</f>
        <v>#N/A</v>
      </c>
      <c r="AP40" s="268" t="e">
        <f>(IFERROR(HLOOKUP('8. Grant Equiv Calcs'!AP38,'5. Reference Rate Template'!$C$37:$N$39,2,FALSE),HLOOKUP('8. Grant Equiv Calcs'!AP38,'5. Reference Rate Template'!$C$46:$K$48,2,FALSE)))</f>
        <v>#N/A</v>
      </c>
    </row>
    <row r="41" spans="2:42" hidden="1">
      <c r="B41" s="378" t="s">
        <v>216</v>
      </c>
      <c r="C41" s="268">
        <f>IFERROR(HLOOKUP('8. Grant Equiv Calcs'!C38,'5. Reference Rate Template'!$C$37:$N$39,3,FALSE),HLOOKUP('8. Grant Equiv Calcs'!C38,'5. Reference Rate Template'!$C$46:$K$48,3,FALSE))</f>
        <v>0</v>
      </c>
      <c r="D41" s="268" t="e">
        <f>IFERROR(HLOOKUP('8. Grant Equiv Calcs'!D38,'5. Reference Rate Template'!$C$37:$N$39,3,FALSE),HLOOKUP('8. Grant Equiv Calcs'!D38,'5. Reference Rate Template'!$C$46:$K$48,3,FALSE))</f>
        <v>#N/A</v>
      </c>
      <c r="E41" s="268" t="e">
        <f>IFERROR(HLOOKUP('8. Grant Equiv Calcs'!E38,'5. Reference Rate Template'!$C$37:$N$39,3,FALSE),HLOOKUP('8. Grant Equiv Calcs'!E38,'5. Reference Rate Template'!$C$46:$K$48,3,FALSE))</f>
        <v>#N/A</v>
      </c>
      <c r="F41" s="268" t="e">
        <f>IFERROR(HLOOKUP('8. Grant Equiv Calcs'!F38,'5. Reference Rate Template'!$C$37:$N$39,3,FALSE),HLOOKUP('8. Grant Equiv Calcs'!F38,'5. Reference Rate Template'!$C$46:$K$48,3,FALSE))</f>
        <v>#N/A</v>
      </c>
      <c r="G41" s="268" t="e">
        <f>IFERROR(HLOOKUP('8. Grant Equiv Calcs'!G38,'5. Reference Rate Template'!$C$37:$N$39,3,FALSE),HLOOKUP('8. Grant Equiv Calcs'!G38,'5. Reference Rate Template'!$C$46:$K$48,3,FALSE))</f>
        <v>#N/A</v>
      </c>
      <c r="H41" s="268" t="e">
        <f>IFERROR(HLOOKUP('8. Grant Equiv Calcs'!H38,'5. Reference Rate Template'!$C$37:$N$39,3,FALSE),HLOOKUP('8. Grant Equiv Calcs'!H38,'5. Reference Rate Template'!$C$46:$K$48,3,FALSE))</f>
        <v>#N/A</v>
      </c>
      <c r="I41" s="268" t="e">
        <f>IFERROR(HLOOKUP('8. Grant Equiv Calcs'!I38,'5. Reference Rate Template'!$C$37:$N$39,3,FALSE),HLOOKUP('8. Grant Equiv Calcs'!I38,'5. Reference Rate Template'!$C$46:$K$48,3,FALSE))</f>
        <v>#N/A</v>
      </c>
      <c r="J41" s="268" t="e">
        <f>IFERROR(HLOOKUP('8. Grant Equiv Calcs'!J38,'5. Reference Rate Template'!$C$37:$N$39,3,FALSE),HLOOKUP('8. Grant Equiv Calcs'!J38,'5. Reference Rate Template'!$C$46:$K$48,3,FALSE))</f>
        <v>#N/A</v>
      </c>
      <c r="K41" s="268" t="e">
        <f>IFERROR(HLOOKUP('8. Grant Equiv Calcs'!K38,'5. Reference Rate Template'!$C$37:$N$39,3,FALSE),HLOOKUP('8. Grant Equiv Calcs'!K38,'5. Reference Rate Template'!$C$46:$K$48,3,FALSE))</f>
        <v>#N/A</v>
      </c>
      <c r="L41" s="268" t="e">
        <f>IFERROR(HLOOKUP('8. Grant Equiv Calcs'!L38,'5. Reference Rate Template'!$C$37:$N$39,3,FALSE),HLOOKUP('8. Grant Equiv Calcs'!L38,'5. Reference Rate Template'!$C$46:$K$48,3,FALSE))</f>
        <v>#N/A</v>
      </c>
      <c r="M41" s="268" t="e">
        <f>IFERROR(HLOOKUP('8. Grant Equiv Calcs'!M38,'5. Reference Rate Template'!$C$37:$N$39,3,FALSE),HLOOKUP('8. Grant Equiv Calcs'!M38,'5. Reference Rate Template'!$C$46:$K$48,3,FALSE))</f>
        <v>#N/A</v>
      </c>
      <c r="N41" s="268" t="e">
        <f>IFERROR(HLOOKUP('8. Grant Equiv Calcs'!N38,'5. Reference Rate Template'!$C$37:$N$39,3,FALSE),HLOOKUP('8. Grant Equiv Calcs'!N38,'5. Reference Rate Template'!$C$46:$K$48,3,FALSE))</f>
        <v>#N/A</v>
      </c>
      <c r="O41" s="268" t="e">
        <f>IFERROR(HLOOKUP('8. Grant Equiv Calcs'!O38,'5. Reference Rate Template'!$C$37:$N$39,3,FALSE),HLOOKUP('8. Grant Equiv Calcs'!O38,'5. Reference Rate Template'!$C$46:$K$48,3,FALSE))</f>
        <v>#N/A</v>
      </c>
      <c r="P41" s="268" t="e">
        <f>IFERROR(HLOOKUP('8. Grant Equiv Calcs'!P38,'5. Reference Rate Template'!$C$37:$N$39,3,FALSE),HLOOKUP('8. Grant Equiv Calcs'!P38,'5. Reference Rate Template'!$C$46:$K$48,3,FALSE))</f>
        <v>#N/A</v>
      </c>
      <c r="Q41" s="268" t="e">
        <f>IFERROR(HLOOKUP('8. Grant Equiv Calcs'!Q38,'5. Reference Rate Template'!$C$37:$N$39,3,FALSE),HLOOKUP('8. Grant Equiv Calcs'!Q38,'5. Reference Rate Template'!$C$46:$K$48,3,FALSE))</f>
        <v>#N/A</v>
      </c>
      <c r="R41" s="268" t="e">
        <f>IFERROR(HLOOKUP('8. Grant Equiv Calcs'!R38,'5. Reference Rate Template'!$C$37:$N$39,3,FALSE),HLOOKUP('8. Grant Equiv Calcs'!R38,'5. Reference Rate Template'!$C$46:$K$48,3,FALSE))</f>
        <v>#N/A</v>
      </c>
      <c r="S41" s="268" t="e">
        <f>IFERROR(HLOOKUP('8. Grant Equiv Calcs'!S38,'5. Reference Rate Template'!$C$37:$N$39,3,FALSE),HLOOKUP('8. Grant Equiv Calcs'!S38,'5. Reference Rate Template'!$C$46:$K$48,3,FALSE))</f>
        <v>#N/A</v>
      </c>
      <c r="T41" s="268" t="e">
        <f>IFERROR(HLOOKUP('8. Grant Equiv Calcs'!T38,'5. Reference Rate Template'!$C$37:$N$39,3,FALSE),HLOOKUP('8. Grant Equiv Calcs'!T38,'5. Reference Rate Template'!$C$46:$K$48,3,FALSE))</f>
        <v>#N/A</v>
      </c>
      <c r="U41" s="268" t="e">
        <f>IFERROR(HLOOKUP('8. Grant Equiv Calcs'!U38,'5. Reference Rate Template'!$C$37:$N$39,3,FALSE),HLOOKUP('8. Grant Equiv Calcs'!U38,'5. Reference Rate Template'!$C$46:$K$48,3,FALSE))</f>
        <v>#N/A</v>
      </c>
      <c r="V41" s="268" t="e">
        <f>IFERROR(HLOOKUP('8. Grant Equiv Calcs'!V38,'5. Reference Rate Template'!$C$37:$N$39,3,FALSE),HLOOKUP('8. Grant Equiv Calcs'!V38,'5. Reference Rate Template'!$C$46:$K$48,3,FALSE))</f>
        <v>#N/A</v>
      </c>
      <c r="W41" s="268" t="e">
        <f>IFERROR(HLOOKUP('8. Grant Equiv Calcs'!W38,'5. Reference Rate Template'!$C$37:$N$39,3,FALSE),HLOOKUP('8. Grant Equiv Calcs'!W38,'5. Reference Rate Template'!$C$46:$K$48,3,FALSE))</f>
        <v>#N/A</v>
      </c>
      <c r="X41" s="268" t="e">
        <f>IFERROR(HLOOKUP('8. Grant Equiv Calcs'!X38,'5. Reference Rate Template'!$C$37:$N$39,3,FALSE),HLOOKUP('8. Grant Equiv Calcs'!X38,'5. Reference Rate Template'!$C$46:$K$48,3,FALSE))</f>
        <v>#N/A</v>
      </c>
      <c r="Y41" s="268" t="e">
        <f>IFERROR(HLOOKUP('8. Grant Equiv Calcs'!Y38,'5. Reference Rate Template'!$C$37:$N$39,3,FALSE),HLOOKUP('8. Grant Equiv Calcs'!Y38,'5. Reference Rate Template'!$C$46:$K$48,3,FALSE))</f>
        <v>#N/A</v>
      </c>
      <c r="Z41" s="268" t="e">
        <f>IFERROR(HLOOKUP('8. Grant Equiv Calcs'!Z38,'5. Reference Rate Template'!$C$37:$N$39,3,FALSE),HLOOKUP('8. Grant Equiv Calcs'!Z38,'5. Reference Rate Template'!$C$46:$K$48,3,FALSE))</f>
        <v>#N/A</v>
      </c>
      <c r="AA41" s="268" t="e">
        <f>IFERROR(HLOOKUP('8. Grant Equiv Calcs'!AA38,'5. Reference Rate Template'!$C$37:$N$39,3,FALSE),HLOOKUP('8. Grant Equiv Calcs'!AA38,'5. Reference Rate Template'!$C$46:$K$48,3,FALSE))</f>
        <v>#N/A</v>
      </c>
      <c r="AB41" s="268" t="e">
        <f>IFERROR(HLOOKUP('8. Grant Equiv Calcs'!AB38,'5. Reference Rate Template'!$C$37:$N$39,3,FALSE),HLOOKUP('8. Grant Equiv Calcs'!AB38,'5. Reference Rate Template'!$C$46:$K$48,3,FALSE))</f>
        <v>#N/A</v>
      </c>
      <c r="AC41" s="268" t="e">
        <f>IFERROR(HLOOKUP('8. Grant Equiv Calcs'!AC38,'5. Reference Rate Template'!$C$37:$N$39,3,FALSE),HLOOKUP('8. Grant Equiv Calcs'!AC38,'5. Reference Rate Template'!$C$46:$K$48,3,FALSE))</f>
        <v>#N/A</v>
      </c>
      <c r="AD41" s="268" t="e">
        <f>IFERROR(HLOOKUP('8. Grant Equiv Calcs'!AD38,'5. Reference Rate Template'!$C$37:$N$39,3,FALSE),HLOOKUP('8. Grant Equiv Calcs'!AD38,'5. Reference Rate Template'!$C$46:$K$48,3,FALSE))</f>
        <v>#N/A</v>
      </c>
      <c r="AE41" s="268" t="e">
        <f>IFERROR(HLOOKUP('8. Grant Equiv Calcs'!AE38,'5. Reference Rate Template'!$C$37:$N$39,3,FALSE),HLOOKUP('8. Grant Equiv Calcs'!AE38,'5. Reference Rate Template'!$C$46:$K$48,3,FALSE))</f>
        <v>#N/A</v>
      </c>
      <c r="AF41" s="268" t="e">
        <f>IFERROR(HLOOKUP('8. Grant Equiv Calcs'!AF38,'5. Reference Rate Template'!$C$37:$N$39,3,FALSE),HLOOKUP('8. Grant Equiv Calcs'!AF38,'5. Reference Rate Template'!$C$46:$K$48,3,FALSE))</f>
        <v>#N/A</v>
      </c>
      <c r="AG41" s="268" t="e">
        <f>IFERROR(HLOOKUP('8. Grant Equiv Calcs'!AG38,'5. Reference Rate Template'!$C$37:$N$39,3,FALSE),HLOOKUP('8. Grant Equiv Calcs'!AG38,'5. Reference Rate Template'!$C$46:$K$48,3,FALSE))</f>
        <v>#N/A</v>
      </c>
      <c r="AH41" s="268" t="e">
        <f>IFERROR(HLOOKUP('8. Grant Equiv Calcs'!AH38,'5. Reference Rate Template'!$C$37:$N$39,3,FALSE),HLOOKUP('8. Grant Equiv Calcs'!AH38,'5. Reference Rate Template'!$C$46:$K$48,3,FALSE))</f>
        <v>#N/A</v>
      </c>
      <c r="AI41" s="268" t="e">
        <f>IFERROR(HLOOKUP('8. Grant Equiv Calcs'!AI38,'5. Reference Rate Template'!$C$37:$N$39,3,FALSE),HLOOKUP('8. Grant Equiv Calcs'!AI38,'5. Reference Rate Template'!$C$46:$K$48,3,FALSE))</f>
        <v>#N/A</v>
      </c>
      <c r="AJ41" s="268" t="e">
        <f>IFERROR(HLOOKUP('8. Grant Equiv Calcs'!AJ38,'5. Reference Rate Template'!$C$37:$N$39,3,FALSE),HLOOKUP('8. Grant Equiv Calcs'!AJ38,'5. Reference Rate Template'!$C$46:$K$48,3,FALSE))</f>
        <v>#N/A</v>
      </c>
      <c r="AK41" s="268" t="e">
        <f>IFERROR(HLOOKUP('8. Grant Equiv Calcs'!AK38,'5. Reference Rate Template'!$C$37:$N$39,3,FALSE),HLOOKUP('8. Grant Equiv Calcs'!AK38,'5. Reference Rate Template'!$C$46:$K$48,3,FALSE))</f>
        <v>#N/A</v>
      </c>
      <c r="AL41" s="268" t="e">
        <f>IFERROR(HLOOKUP('8. Grant Equiv Calcs'!AL38,'5. Reference Rate Template'!$C$37:$N$39,3,FALSE),HLOOKUP('8. Grant Equiv Calcs'!AL38,'5. Reference Rate Template'!$C$46:$K$48,3,FALSE))</f>
        <v>#N/A</v>
      </c>
      <c r="AM41" s="268" t="e">
        <f>IFERROR(HLOOKUP('8. Grant Equiv Calcs'!AM38,'5. Reference Rate Template'!$C$37:$N$39,3,FALSE),HLOOKUP('8. Grant Equiv Calcs'!AM38,'5. Reference Rate Template'!$C$46:$K$48,3,FALSE))</f>
        <v>#N/A</v>
      </c>
      <c r="AN41" s="268" t="e">
        <f>IFERROR(HLOOKUP('8. Grant Equiv Calcs'!AN38,'5. Reference Rate Template'!$C$37:$N$39,3,FALSE),HLOOKUP('8. Grant Equiv Calcs'!AN38,'5. Reference Rate Template'!$C$46:$K$48,3,FALSE))</f>
        <v>#N/A</v>
      </c>
      <c r="AO41" s="268" t="e">
        <f>IFERROR(HLOOKUP('8. Grant Equiv Calcs'!AO38,'5. Reference Rate Template'!$C$37:$N$39,3,FALSE),HLOOKUP('8. Grant Equiv Calcs'!AO38,'5. Reference Rate Template'!$C$46:$K$48,3,FALSE))</f>
        <v>#N/A</v>
      </c>
      <c r="AP41" s="268" t="e">
        <f>IFERROR(HLOOKUP('8. Grant Equiv Calcs'!AP38,'5. Reference Rate Template'!$C$37:$N$39,3,FALSE),HLOOKUP('8. Grant Equiv Calcs'!AP38,'5. Reference Rate Template'!$C$46:$K$48,3,FALSE))</f>
        <v>#N/A</v>
      </c>
    </row>
    <row r="42" spans="2:42" hidden="1">
      <c r="B42" s="378" t="s">
        <v>217</v>
      </c>
      <c r="C42" s="268">
        <f>IFERROR(HLOOKUP('8. Grant Equiv Calcs'!C38,'5. Reference Rate Template'!$C$37:$N$41,4,FALSE),HLOOKUP('8. Grant Equiv Calcs'!C38,'5. Reference Rate Template'!$C$46:$K$50,4,FALSE))</f>
        <v>0</v>
      </c>
      <c r="D42" s="268" t="e">
        <f>IFERROR(HLOOKUP('8. Grant Equiv Calcs'!D38,'5. Reference Rate Template'!$C$37:$N$41,4,FALSE),HLOOKUP('8. Grant Equiv Calcs'!D38,'5. Reference Rate Template'!$C$46:$K$50,4,FALSE))</f>
        <v>#N/A</v>
      </c>
      <c r="E42" s="268" t="e">
        <f>IFERROR(HLOOKUP('8. Grant Equiv Calcs'!E38,'5. Reference Rate Template'!$C$37:$N$41,4,FALSE),HLOOKUP('8. Grant Equiv Calcs'!E38,'5. Reference Rate Template'!$C$46:$K$50,4,FALSE))</f>
        <v>#N/A</v>
      </c>
      <c r="F42" s="268" t="e">
        <f>IFERROR(HLOOKUP('8. Grant Equiv Calcs'!F38,'5. Reference Rate Template'!$C$37:$N$41,4,FALSE),HLOOKUP('8. Grant Equiv Calcs'!F38,'5. Reference Rate Template'!$C$46:$K$50,4,FALSE))</f>
        <v>#N/A</v>
      </c>
      <c r="G42" s="268" t="e">
        <f>IFERROR(HLOOKUP('8. Grant Equiv Calcs'!G38,'5. Reference Rate Template'!$C$37:$N$41,4,FALSE),HLOOKUP('8. Grant Equiv Calcs'!G38,'5. Reference Rate Template'!$C$46:$K$50,4,FALSE))</f>
        <v>#N/A</v>
      </c>
      <c r="H42" s="268" t="e">
        <f>IFERROR(HLOOKUP('8. Grant Equiv Calcs'!H38,'5. Reference Rate Template'!$C$37:$N$41,4,FALSE),HLOOKUP('8. Grant Equiv Calcs'!H38,'5. Reference Rate Template'!$C$46:$K$50,4,FALSE))</f>
        <v>#N/A</v>
      </c>
      <c r="I42" s="268" t="e">
        <f>IFERROR(HLOOKUP('8. Grant Equiv Calcs'!I38,'5. Reference Rate Template'!$C$37:$N$41,4,FALSE),HLOOKUP('8. Grant Equiv Calcs'!I38,'5. Reference Rate Template'!$C$46:$K$50,4,FALSE))</f>
        <v>#N/A</v>
      </c>
      <c r="J42" s="268" t="e">
        <f>IFERROR(HLOOKUP('8. Grant Equiv Calcs'!J38,'5. Reference Rate Template'!$C$37:$N$41,4,FALSE),HLOOKUP('8. Grant Equiv Calcs'!J38,'5. Reference Rate Template'!$C$46:$K$50,4,FALSE))</f>
        <v>#N/A</v>
      </c>
      <c r="K42" s="268" t="e">
        <f>IFERROR(HLOOKUP('8. Grant Equiv Calcs'!K38,'5. Reference Rate Template'!$C$37:$N$41,4,FALSE),HLOOKUP('8. Grant Equiv Calcs'!K38,'5. Reference Rate Template'!$C$46:$K$50,4,FALSE))</f>
        <v>#N/A</v>
      </c>
      <c r="L42" s="268" t="e">
        <f>IFERROR(HLOOKUP('8. Grant Equiv Calcs'!L38,'5. Reference Rate Template'!$C$37:$N$41,4,FALSE),HLOOKUP('8. Grant Equiv Calcs'!L38,'5. Reference Rate Template'!$C$46:$K$50,4,FALSE))</f>
        <v>#N/A</v>
      </c>
      <c r="M42" s="268" t="e">
        <f>IFERROR(HLOOKUP('8. Grant Equiv Calcs'!M38,'5. Reference Rate Template'!$C$37:$N$41,4,FALSE),HLOOKUP('8. Grant Equiv Calcs'!M38,'5. Reference Rate Template'!$C$46:$K$50,4,FALSE))</f>
        <v>#N/A</v>
      </c>
      <c r="N42" s="268" t="e">
        <f>IFERROR(HLOOKUP('8. Grant Equiv Calcs'!N38,'5. Reference Rate Template'!$C$37:$N$41,4,FALSE),HLOOKUP('8. Grant Equiv Calcs'!N38,'5. Reference Rate Template'!$C$46:$K$50,4,FALSE))</f>
        <v>#N/A</v>
      </c>
      <c r="O42" s="268" t="e">
        <f>IFERROR(HLOOKUP('8. Grant Equiv Calcs'!O38,'5. Reference Rate Template'!$C$37:$N$41,4,FALSE),HLOOKUP('8. Grant Equiv Calcs'!O38,'5. Reference Rate Template'!$C$46:$K$50,4,FALSE))</f>
        <v>#N/A</v>
      </c>
      <c r="P42" s="268" t="e">
        <f>IFERROR(HLOOKUP('8. Grant Equiv Calcs'!P38,'5. Reference Rate Template'!$C$37:$N$41,4,FALSE),HLOOKUP('8. Grant Equiv Calcs'!P38,'5. Reference Rate Template'!$C$46:$K$50,4,FALSE))</f>
        <v>#N/A</v>
      </c>
      <c r="Q42" s="268" t="e">
        <f>IFERROR(HLOOKUP('8. Grant Equiv Calcs'!Q38,'5. Reference Rate Template'!$C$37:$N$41,4,FALSE),HLOOKUP('8. Grant Equiv Calcs'!Q38,'5. Reference Rate Template'!$C$46:$K$50,4,FALSE))</f>
        <v>#N/A</v>
      </c>
      <c r="R42" s="268" t="e">
        <f>IFERROR(HLOOKUP('8. Grant Equiv Calcs'!R38,'5. Reference Rate Template'!$C$37:$N$41,4,FALSE),HLOOKUP('8. Grant Equiv Calcs'!R38,'5. Reference Rate Template'!$C$46:$K$50,4,FALSE))</f>
        <v>#N/A</v>
      </c>
      <c r="S42" s="268" t="e">
        <f>IFERROR(HLOOKUP('8. Grant Equiv Calcs'!S38,'5. Reference Rate Template'!$C$37:$N$41,4,FALSE),HLOOKUP('8. Grant Equiv Calcs'!S38,'5. Reference Rate Template'!$C$46:$K$50,4,FALSE))</f>
        <v>#N/A</v>
      </c>
      <c r="T42" s="268" t="e">
        <f>IFERROR(HLOOKUP('8. Grant Equiv Calcs'!T38,'5. Reference Rate Template'!$C$37:$N$41,4,FALSE),HLOOKUP('8. Grant Equiv Calcs'!T38,'5. Reference Rate Template'!$C$46:$K$50,4,FALSE))</f>
        <v>#N/A</v>
      </c>
      <c r="U42" s="268" t="e">
        <f>IFERROR(HLOOKUP('8. Grant Equiv Calcs'!U38,'5. Reference Rate Template'!$C$37:$N$41,4,FALSE),HLOOKUP('8. Grant Equiv Calcs'!U38,'5. Reference Rate Template'!$C$46:$K$50,4,FALSE))</f>
        <v>#N/A</v>
      </c>
      <c r="V42" s="268" t="e">
        <f>IFERROR(HLOOKUP('8. Grant Equiv Calcs'!V38,'5. Reference Rate Template'!$C$37:$N$41,4,FALSE),HLOOKUP('8. Grant Equiv Calcs'!V38,'5. Reference Rate Template'!$C$46:$K$50,4,FALSE))</f>
        <v>#N/A</v>
      </c>
      <c r="W42" s="268" t="e">
        <f>IFERROR(HLOOKUP('8. Grant Equiv Calcs'!W38,'5. Reference Rate Template'!$C$37:$N$41,4,FALSE),HLOOKUP('8. Grant Equiv Calcs'!W38,'5. Reference Rate Template'!$C$46:$K$50,4,FALSE))</f>
        <v>#N/A</v>
      </c>
      <c r="X42" s="268" t="e">
        <f>IFERROR(HLOOKUP('8. Grant Equiv Calcs'!X38,'5. Reference Rate Template'!$C$37:$N$41,4,FALSE),HLOOKUP('8. Grant Equiv Calcs'!X38,'5. Reference Rate Template'!$C$46:$K$50,4,FALSE))</f>
        <v>#N/A</v>
      </c>
      <c r="Y42" s="268" t="e">
        <f>IFERROR(HLOOKUP('8. Grant Equiv Calcs'!Y38,'5. Reference Rate Template'!$C$37:$N$41,4,FALSE),HLOOKUP('8. Grant Equiv Calcs'!Y38,'5. Reference Rate Template'!$C$46:$K$50,4,FALSE))</f>
        <v>#N/A</v>
      </c>
      <c r="Z42" s="268" t="e">
        <f>IFERROR(HLOOKUP('8. Grant Equiv Calcs'!Z38,'5. Reference Rate Template'!$C$37:$N$41,4,FALSE),HLOOKUP('8. Grant Equiv Calcs'!Z38,'5. Reference Rate Template'!$C$46:$K$50,4,FALSE))</f>
        <v>#N/A</v>
      </c>
      <c r="AA42" s="268" t="e">
        <f>IFERROR(HLOOKUP('8. Grant Equiv Calcs'!AA38,'5. Reference Rate Template'!$C$37:$N$41,4,FALSE),HLOOKUP('8. Grant Equiv Calcs'!AA38,'5. Reference Rate Template'!$C$46:$K$50,4,FALSE))</f>
        <v>#N/A</v>
      </c>
      <c r="AB42" s="268" t="e">
        <f>IFERROR(HLOOKUP('8. Grant Equiv Calcs'!AB38,'5. Reference Rate Template'!$C$37:$N$41,4,FALSE),HLOOKUP('8. Grant Equiv Calcs'!AB38,'5. Reference Rate Template'!$C$46:$K$50,4,FALSE))</f>
        <v>#N/A</v>
      </c>
      <c r="AC42" s="268" t="e">
        <f>IFERROR(HLOOKUP('8. Grant Equiv Calcs'!AC38,'5. Reference Rate Template'!$C$37:$N$41,4,FALSE),HLOOKUP('8. Grant Equiv Calcs'!AC38,'5. Reference Rate Template'!$C$46:$K$50,4,FALSE))</f>
        <v>#N/A</v>
      </c>
      <c r="AD42" s="268" t="e">
        <f>IFERROR(HLOOKUP('8. Grant Equiv Calcs'!AD38,'5. Reference Rate Template'!$C$37:$N$41,4,FALSE),HLOOKUP('8. Grant Equiv Calcs'!AD38,'5. Reference Rate Template'!$C$46:$K$50,4,FALSE))</f>
        <v>#N/A</v>
      </c>
      <c r="AE42" s="268" t="e">
        <f>IFERROR(HLOOKUP('8. Grant Equiv Calcs'!AE38,'5. Reference Rate Template'!$C$37:$N$41,4,FALSE),HLOOKUP('8. Grant Equiv Calcs'!AE38,'5. Reference Rate Template'!$C$46:$K$50,4,FALSE))</f>
        <v>#N/A</v>
      </c>
      <c r="AF42" s="268" t="e">
        <f>IFERROR(HLOOKUP('8. Grant Equiv Calcs'!AF38,'5. Reference Rate Template'!$C$37:$N$41,4,FALSE),HLOOKUP('8. Grant Equiv Calcs'!AF38,'5. Reference Rate Template'!$C$46:$K$50,4,FALSE))</f>
        <v>#N/A</v>
      </c>
      <c r="AG42" s="268" t="e">
        <f>IFERROR(HLOOKUP('8. Grant Equiv Calcs'!AG38,'5. Reference Rate Template'!$C$37:$N$41,4,FALSE),HLOOKUP('8. Grant Equiv Calcs'!AG38,'5. Reference Rate Template'!$C$46:$K$50,4,FALSE))</f>
        <v>#N/A</v>
      </c>
      <c r="AH42" s="268" t="e">
        <f>IFERROR(HLOOKUP('8. Grant Equiv Calcs'!AH38,'5. Reference Rate Template'!$C$37:$N$41,4,FALSE),HLOOKUP('8. Grant Equiv Calcs'!AH38,'5. Reference Rate Template'!$C$46:$K$50,4,FALSE))</f>
        <v>#N/A</v>
      </c>
      <c r="AI42" s="268" t="e">
        <f>IFERROR(HLOOKUP('8. Grant Equiv Calcs'!AI38,'5. Reference Rate Template'!$C$37:$N$41,4,FALSE),HLOOKUP('8. Grant Equiv Calcs'!AI38,'5. Reference Rate Template'!$C$46:$K$50,4,FALSE))</f>
        <v>#N/A</v>
      </c>
      <c r="AJ42" s="268" t="e">
        <f>IFERROR(HLOOKUP('8. Grant Equiv Calcs'!AJ38,'5. Reference Rate Template'!$C$37:$N$41,4,FALSE),HLOOKUP('8. Grant Equiv Calcs'!AJ38,'5. Reference Rate Template'!$C$46:$K$50,4,FALSE))</f>
        <v>#N/A</v>
      </c>
      <c r="AK42" s="268" t="e">
        <f>IFERROR(HLOOKUP('8. Grant Equiv Calcs'!AK38,'5. Reference Rate Template'!$C$37:$N$41,4,FALSE),HLOOKUP('8. Grant Equiv Calcs'!AK38,'5. Reference Rate Template'!$C$46:$K$50,4,FALSE))</f>
        <v>#N/A</v>
      </c>
      <c r="AL42" s="268" t="e">
        <f>IFERROR(HLOOKUP('8. Grant Equiv Calcs'!AL38,'5. Reference Rate Template'!$C$37:$N$41,4,FALSE),HLOOKUP('8. Grant Equiv Calcs'!AL38,'5. Reference Rate Template'!$C$46:$K$50,4,FALSE))</f>
        <v>#N/A</v>
      </c>
      <c r="AM42" s="268" t="e">
        <f>IFERROR(HLOOKUP('8. Grant Equiv Calcs'!AM38,'5. Reference Rate Template'!$C$37:$N$41,4,FALSE),HLOOKUP('8. Grant Equiv Calcs'!AM38,'5. Reference Rate Template'!$C$46:$K$50,4,FALSE))</f>
        <v>#N/A</v>
      </c>
      <c r="AN42" s="268" t="e">
        <f>IFERROR(HLOOKUP('8. Grant Equiv Calcs'!AN38,'5. Reference Rate Template'!$C$37:$N$41,4,FALSE),HLOOKUP('8. Grant Equiv Calcs'!AN38,'5. Reference Rate Template'!$C$46:$K$50,4,FALSE))</f>
        <v>#N/A</v>
      </c>
      <c r="AO42" s="268" t="e">
        <f>IFERROR(HLOOKUP('8. Grant Equiv Calcs'!AO38,'5. Reference Rate Template'!$C$37:$N$41,4,FALSE),HLOOKUP('8. Grant Equiv Calcs'!AO38,'5. Reference Rate Template'!$C$46:$K$50,4,FALSE))</f>
        <v>#N/A</v>
      </c>
      <c r="AP42" s="268" t="e">
        <f>IFERROR(HLOOKUP('8. Grant Equiv Calcs'!AP38,'5. Reference Rate Template'!$C$37:$N$41,4,FALSE),HLOOKUP('8. Grant Equiv Calcs'!AP38,'5. Reference Rate Template'!$C$46:$K$50,4,FALSE))</f>
        <v>#N/A</v>
      </c>
    </row>
    <row r="43" spans="2:42" hidden="1">
      <c r="B43" s="378" t="s">
        <v>218</v>
      </c>
      <c r="C43" s="268" t="e">
        <f>HLOOKUP('8. Grant Equiv Calcs'!C38,'5. Reference Rate Template'!$C$55:$V$58,4,FALSE)</f>
        <v>#N/A</v>
      </c>
      <c r="D43" s="268">
        <f>HLOOKUP('8. Grant Equiv Calcs'!D38,'5. Reference Rate Template'!$C$55:$V$58,4,FALSE)</f>
        <v>0</v>
      </c>
      <c r="E43" s="268" t="e">
        <f>HLOOKUP('8. Grant Equiv Calcs'!E38,'5. Reference Rate Template'!$C$55:$V$58,4,FALSE)</f>
        <v>#N/A</v>
      </c>
      <c r="F43" s="268" t="e">
        <f>HLOOKUP('8. Grant Equiv Calcs'!F38,'5. Reference Rate Template'!$C$55:$V$58,4,FALSE)</f>
        <v>#N/A</v>
      </c>
      <c r="G43" s="268" t="e">
        <f>HLOOKUP('8. Grant Equiv Calcs'!G38,'5. Reference Rate Template'!$C$55:$V$58,4,FALSE)</f>
        <v>#N/A</v>
      </c>
      <c r="H43" s="268" t="e">
        <f>HLOOKUP('8. Grant Equiv Calcs'!H38,'5. Reference Rate Template'!$C$55:$V$58,4,FALSE)</f>
        <v>#N/A</v>
      </c>
      <c r="I43" s="268" t="e">
        <f>HLOOKUP('8. Grant Equiv Calcs'!I38,'5. Reference Rate Template'!$C$55:$V$58,4,FALSE)</f>
        <v>#N/A</v>
      </c>
      <c r="J43" s="268" t="e">
        <f>HLOOKUP('8. Grant Equiv Calcs'!J38,'5. Reference Rate Template'!$C$55:$V$58,4,FALSE)</f>
        <v>#N/A</v>
      </c>
      <c r="K43" s="268" t="e">
        <f>HLOOKUP('8. Grant Equiv Calcs'!K38,'5. Reference Rate Template'!$C$55:$V$58,4,FALSE)</f>
        <v>#N/A</v>
      </c>
      <c r="L43" s="268" t="e">
        <f>HLOOKUP('8. Grant Equiv Calcs'!L38,'5. Reference Rate Template'!$C$55:$V$58,4,FALSE)</f>
        <v>#N/A</v>
      </c>
      <c r="M43" s="268" t="e">
        <f>HLOOKUP('8. Grant Equiv Calcs'!M38,'5. Reference Rate Template'!$C$55:$V$58,4,FALSE)</f>
        <v>#N/A</v>
      </c>
      <c r="N43" s="268" t="e">
        <f>HLOOKUP('8. Grant Equiv Calcs'!N38,'5. Reference Rate Template'!$C$55:$V$58,4,FALSE)</f>
        <v>#N/A</v>
      </c>
      <c r="O43" s="268" t="e">
        <f>HLOOKUP('8. Grant Equiv Calcs'!O38,'5. Reference Rate Template'!$C$55:$V$58,4,FALSE)</f>
        <v>#N/A</v>
      </c>
      <c r="P43" s="268" t="e">
        <f>HLOOKUP('8. Grant Equiv Calcs'!P38,'5. Reference Rate Template'!$C$55:$V$58,4,FALSE)</f>
        <v>#N/A</v>
      </c>
      <c r="Q43" s="268" t="e">
        <f>HLOOKUP('8. Grant Equiv Calcs'!Q38,'5. Reference Rate Template'!$C$55:$V$58,4,FALSE)</f>
        <v>#N/A</v>
      </c>
      <c r="R43" s="268" t="e">
        <f>HLOOKUP('8. Grant Equiv Calcs'!R38,'5. Reference Rate Template'!$C$55:$V$58,4,FALSE)</f>
        <v>#N/A</v>
      </c>
      <c r="S43" s="268" t="e">
        <f>HLOOKUP('8. Grant Equiv Calcs'!S38,'5. Reference Rate Template'!$C$55:$V$58,4,FALSE)</f>
        <v>#N/A</v>
      </c>
      <c r="T43" s="268" t="e">
        <f>HLOOKUP('8. Grant Equiv Calcs'!T38,'5. Reference Rate Template'!$C$55:$V$58,4,FALSE)</f>
        <v>#N/A</v>
      </c>
      <c r="U43" s="268" t="e">
        <f>HLOOKUP('8. Grant Equiv Calcs'!U38,'5. Reference Rate Template'!$C$55:$V$58,4,FALSE)</f>
        <v>#N/A</v>
      </c>
      <c r="V43" s="268" t="e">
        <f>HLOOKUP('8. Grant Equiv Calcs'!V38,'5. Reference Rate Template'!$C$55:$V$58,4,FALSE)</f>
        <v>#N/A</v>
      </c>
      <c r="W43" s="268" t="e">
        <f>HLOOKUP('8. Grant Equiv Calcs'!W38,'5. Reference Rate Template'!$C$55:$V$58,4,FALSE)</f>
        <v>#N/A</v>
      </c>
      <c r="X43" s="268" t="e">
        <f>HLOOKUP('8. Grant Equiv Calcs'!X38,'5. Reference Rate Template'!$C$55:$V$58,4,FALSE)</f>
        <v>#N/A</v>
      </c>
      <c r="Y43" s="268" t="e">
        <f>HLOOKUP('8. Grant Equiv Calcs'!Y38,'5. Reference Rate Template'!$C$55:$V$58,4,FALSE)</f>
        <v>#N/A</v>
      </c>
      <c r="Z43" s="268" t="e">
        <f>HLOOKUP('8. Grant Equiv Calcs'!Z38,'5. Reference Rate Template'!$C$55:$V$58,4,FALSE)</f>
        <v>#N/A</v>
      </c>
      <c r="AA43" s="268" t="e">
        <f>HLOOKUP('8. Grant Equiv Calcs'!AA38,'5. Reference Rate Template'!$C$55:$V$58,4,FALSE)</f>
        <v>#N/A</v>
      </c>
      <c r="AB43" s="268" t="e">
        <f>HLOOKUP('8. Grant Equiv Calcs'!AB38,'5. Reference Rate Template'!$C$55:$V$58,4,FALSE)</f>
        <v>#N/A</v>
      </c>
      <c r="AC43" s="268" t="e">
        <f>HLOOKUP('8. Grant Equiv Calcs'!AC38,'5. Reference Rate Template'!$C$55:$V$58,4,FALSE)</f>
        <v>#N/A</v>
      </c>
      <c r="AD43" s="268" t="e">
        <f>HLOOKUP('8. Grant Equiv Calcs'!AD38,'5. Reference Rate Template'!$C$55:$V$58,4,FALSE)</f>
        <v>#N/A</v>
      </c>
      <c r="AE43" s="268" t="e">
        <f>HLOOKUP('8. Grant Equiv Calcs'!AE38,'5. Reference Rate Template'!$C$55:$V$58,4,FALSE)</f>
        <v>#N/A</v>
      </c>
      <c r="AF43" s="268" t="e">
        <f>HLOOKUP('8. Grant Equiv Calcs'!AF38,'5. Reference Rate Template'!$C$55:$V$58,4,FALSE)</f>
        <v>#N/A</v>
      </c>
      <c r="AG43" s="268" t="e">
        <f>HLOOKUP('8. Grant Equiv Calcs'!AG38,'5. Reference Rate Template'!$C$55:$V$58,4,FALSE)</f>
        <v>#N/A</v>
      </c>
      <c r="AH43" s="268" t="e">
        <f>HLOOKUP('8. Grant Equiv Calcs'!AH38,'5. Reference Rate Template'!$C$55:$V$58,4,FALSE)</f>
        <v>#N/A</v>
      </c>
      <c r="AI43" s="268" t="e">
        <f>HLOOKUP('8. Grant Equiv Calcs'!AI38,'5. Reference Rate Template'!$C$55:$V$58,4,FALSE)</f>
        <v>#N/A</v>
      </c>
      <c r="AJ43" s="268" t="e">
        <f>HLOOKUP('8. Grant Equiv Calcs'!AJ38,'5. Reference Rate Template'!$C$55:$V$58,4,FALSE)</f>
        <v>#N/A</v>
      </c>
      <c r="AK43" s="268" t="e">
        <f>HLOOKUP('8. Grant Equiv Calcs'!AK38,'5. Reference Rate Template'!$C$55:$V$58,4,FALSE)</f>
        <v>#N/A</v>
      </c>
      <c r="AL43" s="268" t="e">
        <f>HLOOKUP('8. Grant Equiv Calcs'!AL38,'5. Reference Rate Template'!$C$55:$V$58,4,FALSE)</f>
        <v>#N/A</v>
      </c>
      <c r="AM43" s="268" t="e">
        <f>HLOOKUP('8. Grant Equiv Calcs'!AM38,'5. Reference Rate Template'!$C$55:$V$58,4,FALSE)</f>
        <v>#N/A</v>
      </c>
      <c r="AN43" s="268" t="e">
        <f>HLOOKUP('8. Grant Equiv Calcs'!AN38,'5. Reference Rate Template'!$C$55:$V$58,4,FALSE)</f>
        <v>#N/A</v>
      </c>
      <c r="AO43" s="268" t="e">
        <f>HLOOKUP('8. Grant Equiv Calcs'!AO38,'5. Reference Rate Template'!$C$55:$V$58,4,FALSE)</f>
        <v>#N/A</v>
      </c>
      <c r="AP43" s="268" t="e">
        <f>HLOOKUP('8. Grant Equiv Calcs'!AP38,'5. Reference Rate Template'!$C$55:$V$58,4,FALSE)</f>
        <v>#N/A</v>
      </c>
    </row>
    <row r="44" spans="2:42" ht="27.95" hidden="1">
      <c r="B44" s="378" t="s">
        <v>219</v>
      </c>
      <c r="C44" s="268" t="e">
        <f>HLOOKUP('8. Grant Equiv Calcs'!C38,'5. Reference Rate Template'!$C$55:$V$58,3,FALSE)</f>
        <v>#N/A</v>
      </c>
      <c r="D44" s="268">
        <f>HLOOKUP('8. Grant Equiv Calcs'!D38,'5. Reference Rate Template'!$C$55:$V$58,3,FALSE)</f>
        <v>0</v>
      </c>
      <c r="E44" s="268" t="e">
        <f>HLOOKUP('8. Grant Equiv Calcs'!E38,'5. Reference Rate Template'!$C$55:$V$58,3,FALSE)</f>
        <v>#N/A</v>
      </c>
      <c r="F44" s="268" t="e">
        <f>HLOOKUP('8. Grant Equiv Calcs'!F38,'5. Reference Rate Template'!$C$55:$V$58,3,FALSE)</f>
        <v>#N/A</v>
      </c>
      <c r="G44" s="268" t="e">
        <f>HLOOKUP('8. Grant Equiv Calcs'!G38,'5. Reference Rate Template'!$C$55:$V$58,3,FALSE)</f>
        <v>#N/A</v>
      </c>
      <c r="H44" s="268" t="e">
        <f>HLOOKUP('8. Grant Equiv Calcs'!H38,'5. Reference Rate Template'!$C$55:$V$58,3,FALSE)</f>
        <v>#N/A</v>
      </c>
      <c r="I44" s="268" t="e">
        <f>HLOOKUP('8. Grant Equiv Calcs'!I38,'5. Reference Rate Template'!$C$55:$V$58,3,FALSE)</f>
        <v>#N/A</v>
      </c>
      <c r="J44" s="268" t="e">
        <f>HLOOKUP('8. Grant Equiv Calcs'!J38,'5. Reference Rate Template'!$C$55:$V$58,3,FALSE)</f>
        <v>#N/A</v>
      </c>
      <c r="K44" s="268" t="e">
        <f>HLOOKUP('8. Grant Equiv Calcs'!K38,'5. Reference Rate Template'!$C$55:$V$58,3,FALSE)</f>
        <v>#N/A</v>
      </c>
      <c r="L44" s="268" t="e">
        <f>HLOOKUP('8. Grant Equiv Calcs'!L38,'5. Reference Rate Template'!$C$55:$V$58,3,FALSE)</f>
        <v>#N/A</v>
      </c>
      <c r="M44" s="268" t="e">
        <f>HLOOKUP('8. Grant Equiv Calcs'!M38,'5. Reference Rate Template'!$C$55:$V$58,3,FALSE)</f>
        <v>#N/A</v>
      </c>
      <c r="N44" s="268" t="e">
        <f>HLOOKUP('8. Grant Equiv Calcs'!N38,'5. Reference Rate Template'!$C$55:$V$58,3,FALSE)</f>
        <v>#N/A</v>
      </c>
      <c r="O44" s="268" t="e">
        <f>HLOOKUP('8. Grant Equiv Calcs'!O38,'5. Reference Rate Template'!$C$55:$V$58,3,FALSE)</f>
        <v>#N/A</v>
      </c>
      <c r="P44" s="268" t="e">
        <f>HLOOKUP('8. Grant Equiv Calcs'!P38,'5. Reference Rate Template'!$C$55:$V$58,3,FALSE)</f>
        <v>#N/A</v>
      </c>
      <c r="Q44" s="268" t="e">
        <f>HLOOKUP('8. Grant Equiv Calcs'!Q38,'5. Reference Rate Template'!$C$55:$V$58,3,FALSE)</f>
        <v>#N/A</v>
      </c>
      <c r="R44" s="268" t="e">
        <f>HLOOKUP('8. Grant Equiv Calcs'!R38,'5. Reference Rate Template'!$C$55:$V$58,3,FALSE)</f>
        <v>#N/A</v>
      </c>
      <c r="S44" s="268" t="e">
        <f>HLOOKUP('8. Grant Equiv Calcs'!S38,'5. Reference Rate Template'!$C$55:$V$58,3,FALSE)</f>
        <v>#N/A</v>
      </c>
      <c r="T44" s="268" t="e">
        <f>HLOOKUP('8. Grant Equiv Calcs'!T38,'5. Reference Rate Template'!$C$55:$V$58,3,FALSE)</f>
        <v>#N/A</v>
      </c>
      <c r="U44" s="268" t="e">
        <f>HLOOKUP('8. Grant Equiv Calcs'!U38,'5. Reference Rate Template'!$C$55:$V$58,3,FALSE)</f>
        <v>#N/A</v>
      </c>
      <c r="V44" s="268" t="e">
        <f>HLOOKUP('8. Grant Equiv Calcs'!V38,'5. Reference Rate Template'!$C$55:$V$58,3,FALSE)</f>
        <v>#N/A</v>
      </c>
      <c r="W44" s="268" t="e">
        <f>HLOOKUP('8. Grant Equiv Calcs'!W38,'5. Reference Rate Template'!$C$55:$V$58,3,FALSE)</f>
        <v>#N/A</v>
      </c>
      <c r="X44" s="268" t="e">
        <f>HLOOKUP('8. Grant Equiv Calcs'!X38,'5. Reference Rate Template'!$C$55:$V$58,3,FALSE)</f>
        <v>#N/A</v>
      </c>
      <c r="Y44" s="268" t="e">
        <f>HLOOKUP('8. Grant Equiv Calcs'!Y38,'5. Reference Rate Template'!$C$55:$V$58,3,FALSE)</f>
        <v>#N/A</v>
      </c>
      <c r="Z44" s="268" t="e">
        <f>HLOOKUP('8. Grant Equiv Calcs'!Z38,'5. Reference Rate Template'!$C$55:$V$58,3,FALSE)</f>
        <v>#N/A</v>
      </c>
      <c r="AA44" s="268" t="e">
        <f>HLOOKUP('8. Grant Equiv Calcs'!AA38,'5. Reference Rate Template'!$C$55:$V$58,3,FALSE)</f>
        <v>#N/A</v>
      </c>
      <c r="AB44" s="268" t="e">
        <f>HLOOKUP('8. Grant Equiv Calcs'!AB38,'5. Reference Rate Template'!$C$55:$V$58,3,FALSE)</f>
        <v>#N/A</v>
      </c>
      <c r="AC44" s="268" t="e">
        <f>HLOOKUP('8. Grant Equiv Calcs'!AC38,'5. Reference Rate Template'!$C$55:$V$58,3,FALSE)</f>
        <v>#N/A</v>
      </c>
      <c r="AD44" s="268" t="e">
        <f>HLOOKUP('8. Grant Equiv Calcs'!AD38,'5. Reference Rate Template'!$C$55:$V$58,3,FALSE)</f>
        <v>#N/A</v>
      </c>
      <c r="AE44" s="268" t="e">
        <f>HLOOKUP('8. Grant Equiv Calcs'!AE38,'5. Reference Rate Template'!$C$55:$V$58,3,FALSE)</f>
        <v>#N/A</v>
      </c>
      <c r="AF44" s="268" t="e">
        <f>HLOOKUP('8. Grant Equiv Calcs'!AF38,'5. Reference Rate Template'!$C$55:$V$58,3,FALSE)</f>
        <v>#N/A</v>
      </c>
      <c r="AG44" s="268" t="e">
        <f>HLOOKUP('8. Grant Equiv Calcs'!AG38,'5. Reference Rate Template'!$C$55:$V$58,3,FALSE)</f>
        <v>#N/A</v>
      </c>
      <c r="AH44" s="268" t="e">
        <f>HLOOKUP('8. Grant Equiv Calcs'!AH38,'5. Reference Rate Template'!$C$55:$V$58,3,FALSE)</f>
        <v>#N/A</v>
      </c>
      <c r="AI44" s="268" t="e">
        <f>HLOOKUP('8. Grant Equiv Calcs'!AI38,'5. Reference Rate Template'!$C$55:$V$58,3,FALSE)</f>
        <v>#N/A</v>
      </c>
      <c r="AJ44" s="268" t="e">
        <f>HLOOKUP('8. Grant Equiv Calcs'!AJ38,'5. Reference Rate Template'!$C$55:$V$58,3,FALSE)</f>
        <v>#N/A</v>
      </c>
      <c r="AK44" s="268" t="e">
        <f>HLOOKUP('8. Grant Equiv Calcs'!AK38,'5. Reference Rate Template'!$C$55:$V$58,3,FALSE)</f>
        <v>#N/A</v>
      </c>
      <c r="AL44" s="268" t="e">
        <f>HLOOKUP('8. Grant Equiv Calcs'!AL38,'5. Reference Rate Template'!$C$55:$V$58,3,FALSE)</f>
        <v>#N/A</v>
      </c>
      <c r="AM44" s="268" t="e">
        <f>HLOOKUP('8. Grant Equiv Calcs'!AM38,'5. Reference Rate Template'!$C$55:$V$58,3,FALSE)</f>
        <v>#N/A</v>
      </c>
      <c r="AN44" s="268" t="e">
        <f>HLOOKUP('8. Grant Equiv Calcs'!AN38,'5. Reference Rate Template'!$C$55:$V$58,3,FALSE)</f>
        <v>#N/A</v>
      </c>
      <c r="AO44" s="268" t="e">
        <f>HLOOKUP('8. Grant Equiv Calcs'!AO38,'5. Reference Rate Template'!$C$55:$V$58,3,FALSE)</f>
        <v>#N/A</v>
      </c>
      <c r="AP44" s="268" t="e">
        <f>HLOOKUP('8. Grant Equiv Calcs'!AP38,'5. Reference Rate Template'!$C$55:$V$58,3,FALSE)</f>
        <v>#N/A</v>
      </c>
    </row>
    <row r="45" spans="2:42" hidden="1">
      <c r="B45" s="378" t="s">
        <v>220</v>
      </c>
      <c r="C45" s="268" t="e">
        <f>HLOOKUP('8. Grant Equiv Calcs'!C38,'5. Reference Rate Template'!$C$55:$V$58,2,FALSE)</f>
        <v>#N/A</v>
      </c>
      <c r="D45" s="268">
        <f>HLOOKUP('8. Grant Equiv Calcs'!D38,'5. Reference Rate Template'!$C$55:$V$58,2,FALSE)</f>
        <v>0</v>
      </c>
      <c r="E45" s="268" t="e">
        <f>HLOOKUP('8. Grant Equiv Calcs'!E38,'5. Reference Rate Template'!$C$55:$V$58,2,FALSE)</f>
        <v>#N/A</v>
      </c>
      <c r="F45" s="268" t="e">
        <f>HLOOKUP('8. Grant Equiv Calcs'!F38,'5. Reference Rate Template'!$C$55:$V$58,2,FALSE)</f>
        <v>#N/A</v>
      </c>
      <c r="G45" s="268" t="e">
        <f>HLOOKUP('8. Grant Equiv Calcs'!G38,'5. Reference Rate Template'!$C$55:$V$58,2,FALSE)</f>
        <v>#N/A</v>
      </c>
      <c r="H45" s="268" t="e">
        <f>HLOOKUP('8. Grant Equiv Calcs'!H38,'5. Reference Rate Template'!$C$55:$V$58,2,FALSE)</f>
        <v>#N/A</v>
      </c>
      <c r="I45" s="268" t="e">
        <f>HLOOKUP('8. Grant Equiv Calcs'!I38,'5. Reference Rate Template'!$C$55:$V$58,2,FALSE)</f>
        <v>#N/A</v>
      </c>
      <c r="J45" s="268" t="e">
        <f>HLOOKUP('8. Grant Equiv Calcs'!J38,'5. Reference Rate Template'!$C$55:$V$58,2,FALSE)</f>
        <v>#N/A</v>
      </c>
      <c r="K45" s="268" t="e">
        <f>HLOOKUP('8. Grant Equiv Calcs'!K38,'5. Reference Rate Template'!$C$55:$V$58,2,FALSE)</f>
        <v>#N/A</v>
      </c>
      <c r="L45" s="268" t="e">
        <f>HLOOKUP('8. Grant Equiv Calcs'!L38,'5. Reference Rate Template'!$C$55:$V$58,2,FALSE)</f>
        <v>#N/A</v>
      </c>
      <c r="M45" s="268" t="e">
        <f>HLOOKUP('8. Grant Equiv Calcs'!M38,'5. Reference Rate Template'!$C$55:$V$58,2,FALSE)</f>
        <v>#N/A</v>
      </c>
      <c r="N45" s="268" t="e">
        <f>HLOOKUP('8. Grant Equiv Calcs'!N38,'5. Reference Rate Template'!$C$55:$V$58,2,FALSE)</f>
        <v>#N/A</v>
      </c>
      <c r="O45" s="268" t="e">
        <f>HLOOKUP('8. Grant Equiv Calcs'!O38,'5. Reference Rate Template'!$C$55:$V$58,2,FALSE)</f>
        <v>#N/A</v>
      </c>
      <c r="P45" s="268" t="e">
        <f>HLOOKUP('8. Grant Equiv Calcs'!P38,'5. Reference Rate Template'!$C$55:$V$58,2,FALSE)</f>
        <v>#N/A</v>
      </c>
      <c r="Q45" s="268" t="e">
        <f>HLOOKUP('8. Grant Equiv Calcs'!Q38,'5. Reference Rate Template'!$C$55:$V$58,2,FALSE)</f>
        <v>#N/A</v>
      </c>
      <c r="R45" s="268" t="e">
        <f>HLOOKUP('8. Grant Equiv Calcs'!R38,'5. Reference Rate Template'!$C$55:$V$58,2,FALSE)</f>
        <v>#N/A</v>
      </c>
      <c r="S45" s="268" t="e">
        <f>HLOOKUP('8. Grant Equiv Calcs'!S38,'5. Reference Rate Template'!$C$55:$V$58,2,FALSE)</f>
        <v>#N/A</v>
      </c>
      <c r="T45" s="268" t="e">
        <f>HLOOKUP('8. Grant Equiv Calcs'!T38,'5. Reference Rate Template'!$C$55:$V$58,2,FALSE)</f>
        <v>#N/A</v>
      </c>
      <c r="U45" s="268" t="e">
        <f>HLOOKUP('8. Grant Equiv Calcs'!U38,'5. Reference Rate Template'!$C$55:$V$58,2,FALSE)</f>
        <v>#N/A</v>
      </c>
      <c r="V45" s="268" t="e">
        <f>HLOOKUP('8. Grant Equiv Calcs'!V38,'5. Reference Rate Template'!$C$55:$V$58,2,FALSE)</f>
        <v>#N/A</v>
      </c>
      <c r="W45" s="268" t="e">
        <f>HLOOKUP('8. Grant Equiv Calcs'!W38,'5. Reference Rate Template'!$C$55:$V$58,2,FALSE)</f>
        <v>#N/A</v>
      </c>
      <c r="X45" s="268" t="e">
        <f>HLOOKUP('8. Grant Equiv Calcs'!X38,'5. Reference Rate Template'!$C$55:$V$58,2,FALSE)</f>
        <v>#N/A</v>
      </c>
      <c r="Y45" s="268" t="e">
        <f>HLOOKUP('8. Grant Equiv Calcs'!Y38,'5. Reference Rate Template'!$C$55:$V$58,2,FALSE)</f>
        <v>#N/A</v>
      </c>
      <c r="Z45" s="268" t="e">
        <f>HLOOKUP('8. Grant Equiv Calcs'!Z38,'5. Reference Rate Template'!$C$55:$V$58,2,FALSE)</f>
        <v>#N/A</v>
      </c>
      <c r="AA45" s="268" t="e">
        <f>HLOOKUP('8. Grant Equiv Calcs'!AA38,'5. Reference Rate Template'!$C$55:$V$58,2,FALSE)</f>
        <v>#N/A</v>
      </c>
      <c r="AB45" s="268" t="e">
        <f>HLOOKUP('8. Grant Equiv Calcs'!AB38,'5. Reference Rate Template'!$C$55:$V$58,2,FALSE)</f>
        <v>#N/A</v>
      </c>
      <c r="AC45" s="268" t="e">
        <f>HLOOKUP('8. Grant Equiv Calcs'!AC38,'5. Reference Rate Template'!$C$55:$V$58,2,FALSE)</f>
        <v>#N/A</v>
      </c>
      <c r="AD45" s="268" t="e">
        <f>HLOOKUP('8. Grant Equiv Calcs'!AD38,'5. Reference Rate Template'!$C$55:$V$58,2,FALSE)</f>
        <v>#N/A</v>
      </c>
      <c r="AE45" s="268" t="e">
        <f>HLOOKUP('8. Grant Equiv Calcs'!AE38,'5. Reference Rate Template'!$C$55:$V$58,2,FALSE)</f>
        <v>#N/A</v>
      </c>
      <c r="AF45" s="268" t="e">
        <f>HLOOKUP('8. Grant Equiv Calcs'!AF38,'5. Reference Rate Template'!$C$55:$V$58,2,FALSE)</f>
        <v>#N/A</v>
      </c>
      <c r="AG45" s="268" t="e">
        <f>HLOOKUP('8. Grant Equiv Calcs'!AG38,'5. Reference Rate Template'!$C$55:$V$58,2,FALSE)</f>
        <v>#N/A</v>
      </c>
      <c r="AH45" s="268" t="e">
        <f>HLOOKUP('8. Grant Equiv Calcs'!AH38,'5. Reference Rate Template'!$C$55:$V$58,2,FALSE)</f>
        <v>#N/A</v>
      </c>
      <c r="AI45" s="268" t="e">
        <f>HLOOKUP('8. Grant Equiv Calcs'!AI38,'5. Reference Rate Template'!$C$55:$V$58,2,FALSE)</f>
        <v>#N/A</v>
      </c>
      <c r="AJ45" s="268" t="e">
        <f>HLOOKUP('8. Grant Equiv Calcs'!AJ38,'5. Reference Rate Template'!$C$55:$V$58,2,FALSE)</f>
        <v>#N/A</v>
      </c>
      <c r="AK45" s="268" t="e">
        <f>HLOOKUP('8. Grant Equiv Calcs'!AK38,'5. Reference Rate Template'!$C$55:$V$58,2,FALSE)</f>
        <v>#N/A</v>
      </c>
      <c r="AL45" s="268" t="e">
        <f>HLOOKUP('8. Grant Equiv Calcs'!AL38,'5. Reference Rate Template'!$C$55:$V$58,2,FALSE)</f>
        <v>#N/A</v>
      </c>
      <c r="AM45" s="268" t="e">
        <f>HLOOKUP('8. Grant Equiv Calcs'!AM38,'5. Reference Rate Template'!$C$55:$V$58,2,FALSE)</f>
        <v>#N/A</v>
      </c>
      <c r="AN45" s="268" t="e">
        <f>HLOOKUP('8. Grant Equiv Calcs'!AN38,'5. Reference Rate Template'!$C$55:$V$58,2,FALSE)</f>
        <v>#N/A</v>
      </c>
      <c r="AO45" s="268" t="e">
        <f>HLOOKUP('8. Grant Equiv Calcs'!AO38,'5. Reference Rate Template'!$C$55:$V$58,2,FALSE)</f>
        <v>#N/A</v>
      </c>
      <c r="AP45" s="268" t="e">
        <f>HLOOKUP('8. Grant Equiv Calcs'!AP38,'5. Reference Rate Template'!$C$55:$V$58,2,FALSE)</f>
        <v>#N/A</v>
      </c>
    </row>
    <row r="46" spans="2:42">
      <c r="B46" s="378"/>
      <c r="C46" s="272"/>
      <c r="D46" s="272"/>
      <c r="E46" s="272"/>
      <c r="F46" s="272"/>
      <c r="G46" s="272"/>
      <c r="H46" s="272"/>
      <c r="I46" s="272"/>
      <c r="J46" s="272"/>
      <c r="K46" s="272"/>
      <c r="L46" s="272"/>
      <c r="M46" s="272"/>
      <c r="N46" s="272"/>
      <c r="O46" s="272"/>
      <c r="P46" s="272"/>
      <c r="Q46" s="272"/>
      <c r="R46" s="272"/>
      <c r="S46" s="272"/>
      <c r="T46" s="272"/>
      <c r="U46" s="272"/>
      <c r="V46" s="272"/>
      <c r="W46" s="272"/>
      <c r="X46" s="272"/>
      <c r="Y46" s="272"/>
      <c r="Z46" s="272"/>
      <c r="AA46" s="272"/>
      <c r="AB46" s="272"/>
      <c r="AC46" s="272"/>
      <c r="AD46" s="272"/>
      <c r="AE46" s="272"/>
      <c r="AF46" s="272"/>
      <c r="AG46" s="273"/>
      <c r="AH46" s="273"/>
      <c r="AI46" s="273"/>
      <c r="AJ46" s="273"/>
      <c r="AK46" s="273"/>
      <c r="AL46" s="273"/>
      <c r="AM46" s="273"/>
      <c r="AN46" s="273"/>
      <c r="AO46" s="273"/>
      <c r="AP46" s="274"/>
    </row>
    <row r="47" spans="2:42">
      <c r="B47" s="378" t="s">
        <v>214</v>
      </c>
      <c r="C47" s="272">
        <f>IFERROR(C39,0)</f>
        <v>0</v>
      </c>
      <c r="D47" s="272">
        <f t="shared" ref="D47:AP47" si="1">IFERROR(D39,0)</f>
        <v>0</v>
      </c>
      <c r="E47" s="272">
        <f t="shared" si="1"/>
        <v>0</v>
      </c>
      <c r="F47" s="272">
        <f t="shared" si="1"/>
        <v>0</v>
      </c>
      <c r="G47" s="272">
        <f t="shared" si="1"/>
        <v>0</v>
      </c>
      <c r="H47" s="272">
        <f t="shared" si="1"/>
        <v>0</v>
      </c>
      <c r="I47" s="272">
        <f t="shared" si="1"/>
        <v>0</v>
      </c>
      <c r="J47" s="272">
        <f t="shared" si="1"/>
        <v>0</v>
      </c>
      <c r="K47" s="272">
        <f t="shared" si="1"/>
        <v>0</v>
      </c>
      <c r="L47" s="272">
        <f t="shared" si="1"/>
        <v>0</v>
      </c>
      <c r="M47" s="272">
        <f t="shared" si="1"/>
        <v>0</v>
      </c>
      <c r="N47" s="272">
        <f t="shared" si="1"/>
        <v>0</v>
      </c>
      <c r="O47" s="272">
        <f t="shared" si="1"/>
        <v>0</v>
      </c>
      <c r="P47" s="272">
        <f t="shared" si="1"/>
        <v>0</v>
      </c>
      <c r="Q47" s="272">
        <f t="shared" si="1"/>
        <v>0</v>
      </c>
      <c r="R47" s="272">
        <f t="shared" si="1"/>
        <v>0</v>
      </c>
      <c r="S47" s="272">
        <f t="shared" si="1"/>
        <v>0</v>
      </c>
      <c r="T47" s="272">
        <f t="shared" si="1"/>
        <v>0</v>
      </c>
      <c r="U47" s="272">
        <f t="shared" si="1"/>
        <v>0</v>
      </c>
      <c r="V47" s="272">
        <f t="shared" si="1"/>
        <v>0</v>
      </c>
      <c r="W47" s="272">
        <f t="shared" si="1"/>
        <v>0</v>
      </c>
      <c r="X47" s="272">
        <f t="shared" si="1"/>
        <v>0</v>
      </c>
      <c r="Y47" s="272">
        <f t="shared" si="1"/>
        <v>0</v>
      </c>
      <c r="Z47" s="272">
        <f t="shared" si="1"/>
        <v>0</v>
      </c>
      <c r="AA47" s="272">
        <f t="shared" si="1"/>
        <v>0</v>
      </c>
      <c r="AB47" s="272">
        <f t="shared" si="1"/>
        <v>0</v>
      </c>
      <c r="AC47" s="272">
        <f t="shared" si="1"/>
        <v>0</v>
      </c>
      <c r="AD47" s="272">
        <f t="shared" si="1"/>
        <v>0</v>
      </c>
      <c r="AE47" s="272">
        <f t="shared" si="1"/>
        <v>0</v>
      </c>
      <c r="AF47" s="272">
        <f t="shared" si="1"/>
        <v>0</v>
      </c>
      <c r="AG47" s="272">
        <f t="shared" si="1"/>
        <v>0</v>
      </c>
      <c r="AH47" s="272">
        <f t="shared" si="1"/>
        <v>0</v>
      </c>
      <c r="AI47" s="272">
        <f t="shared" si="1"/>
        <v>0</v>
      </c>
      <c r="AJ47" s="272">
        <f t="shared" si="1"/>
        <v>0</v>
      </c>
      <c r="AK47" s="272">
        <f t="shared" si="1"/>
        <v>0</v>
      </c>
      <c r="AL47" s="272">
        <f t="shared" si="1"/>
        <v>0</v>
      </c>
      <c r="AM47" s="272">
        <f t="shared" si="1"/>
        <v>0</v>
      </c>
      <c r="AN47" s="272">
        <f t="shared" si="1"/>
        <v>0</v>
      </c>
      <c r="AO47" s="272">
        <f t="shared" si="1"/>
        <v>0</v>
      </c>
      <c r="AP47" s="272">
        <f t="shared" si="1"/>
        <v>0</v>
      </c>
    </row>
    <row r="48" spans="2:42" ht="27.95">
      <c r="B48" s="278" t="s">
        <v>235</v>
      </c>
      <c r="C48" s="276">
        <f>'7. Reference Rate Calcs'!C48-'4. Innovation Loans Calcs'!C48</f>
        <v>0</v>
      </c>
      <c r="D48" s="276">
        <f>'7. Reference Rate Calcs'!D48-'4. Innovation Loans Calcs'!D48</f>
        <v>0</v>
      </c>
      <c r="E48" s="276">
        <f>'7. Reference Rate Calcs'!E48-'4. Innovation Loans Calcs'!E48</f>
        <v>0</v>
      </c>
      <c r="F48" s="276">
        <f>'7. Reference Rate Calcs'!F48-'4. Innovation Loans Calcs'!F48</f>
        <v>0</v>
      </c>
      <c r="G48" s="276">
        <f>'7. Reference Rate Calcs'!G48-'4. Innovation Loans Calcs'!G48</f>
        <v>0</v>
      </c>
      <c r="H48" s="276">
        <f>'7. Reference Rate Calcs'!H48-'4. Innovation Loans Calcs'!H48</f>
        <v>0</v>
      </c>
      <c r="I48" s="276">
        <f>'7. Reference Rate Calcs'!I48-'4. Innovation Loans Calcs'!I48</f>
        <v>0</v>
      </c>
      <c r="J48" s="276">
        <f>'7. Reference Rate Calcs'!J48-'4. Innovation Loans Calcs'!J48</f>
        <v>0</v>
      </c>
      <c r="K48" s="276">
        <f>'7. Reference Rate Calcs'!K48-'4. Innovation Loans Calcs'!K48</f>
        <v>0</v>
      </c>
      <c r="L48" s="276">
        <f>'7. Reference Rate Calcs'!L48-'4. Innovation Loans Calcs'!L48</f>
        <v>0</v>
      </c>
      <c r="M48" s="276">
        <f>'7. Reference Rate Calcs'!M48-'4. Innovation Loans Calcs'!M48</f>
        <v>0</v>
      </c>
      <c r="N48" s="276">
        <f>'7. Reference Rate Calcs'!N48-'4. Innovation Loans Calcs'!N48</f>
        <v>0</v>
      </c>
      <c r="O48" s="276">
        <f>'7. Reference Rate Calcs'!O48-'4. Innovation Loans Calcs'!O48</f>
        <v>0</v>
      </c>
      <c r="P48" s="276">
        <f>'7. Reference Rate Calcs'!P48-'4. Innovation Loans Calcs'!P48</f>
        <v>0</v>
      </c>
      <c r="Q48" s="276">
        <f>'7. Reference Rate Calcs'!Q48-'4. Innovation Loans Calcs'!Q48</f>
        <v>0</v>
      </c>
      <c r="R48" s="276">
        <f>'7. Reference Rate Calcs'!R48-'4. Innovation Loans Calcs'!R48</f>
        <v>0</v>
      </c>
      <c r="S48" s="276">
        <f>'7. Reference Rate Calcs'!S48-'4. Innovation Loans Calcs'!S48</f>
        <v>0</v>
      </c>
      <c r="T48" s="276">
        <f>'7. Reference Rate Calcs'!T48-'4. Innovation Loans Calcs'!T48</f>
        <v>0</v>
      </c>
      <c r="U48" s="276">
        <f>'7. Reference Rate Calcs'!U48-'4. Innovation Loans Calcs'!U48</f>
        <v>0</v>
      </c>
      <c r="V48" s="276">
        <f>'7. Reference Rate Calcs'!V48-'4. Innovation Loans Calcs'!V48</f>
        <v>0</v>
      </c>
      <c r="W48" s="276">
        <f>'7. Reference Rate Calcs'!W48-'4. Innovation Loans Calcs'!W48</f>
        <v>0</v>
      </c>
      <c r="X48" s="276">
        <f>'7. Reference Rate Calcs'!X48-'4. Innovation Loans Calcs'!X48</f>
        <v>0</v>
      </c>
      <c r="Y48" s="276">
        <f>'7. Reference Rate Calcs'!Y48-'4. Innovation Loans Calcs'!Y48</f>
        <v>0</v>
      </c>
      <c r="Z48" s="276">
        <f>'7. Reference Rate Calcs'!Z48-'4. Innovation Loans Calcs'!Z48</f>
        <v>0</v>
      </c>
      <c r="AA48" s="276">
        <f>'7. Reference Rate Calcs'!AA48-'4. Innovation Loans Calcs'!AA48</f>
        <v>0</v>
      </c>
      <c r="AB48" s="276">
        <f>'7. Reference Rate Calcs'!AB48-'4. Innovation Loans Calcs'!AB48</f>
        <v>0</v>
      </c>
      <c r="AC48" s="276">
        <f>'7. Reference Rate Calcs'!AC48-'4. Innovation Loans Calcs'!AC48</f>
        <v>0</v>
      </c>
      <c r="AD48" s="276">
        <f>'7. Reference Rate Calcs'!AD48-'4. Innovation Loans Calcs'!AD48</f>
        <v>0</v>
      </c>
      <c r="AE48" s="276">
        <f>'7. Reference Rate Calcs'!AE48-'4. Innovation Loans Calcs'!AE48</f>
        <v>0</v>
      </c>
      <c r="AF48" s="276">
        <f>'7. Reference Rate Calcs'!AF48-'4. Innovation Loans Calcs'!AF48</f>
        <v>0</v>
      </c>
      <c r="AG48" s="276">
        <f>'7. Reference Rate Calcs'!AG48-'4. Innovation Loans Calcs'!AG48</f>
        <v>0</v>
      </c>
      <c r="AH48" s="276">
        <f>'7. Reference Rate Calcs'!AH48-'4. Innovation Loans Calcs'!AH48</f>
        <v>0</v>
      </c>
      <c r="AI48" s="276">
        <f>'7. Reference Rate Calcs'!AI48-'4. Innovation Loans Calcs'!AI48</f>
        <v>0</v>
      </c>
      <c r="AJ48" s="276">
        <f>'7. Reference Rate Calcs'!AJ48-'4. Innovation Loans Calcs'!AJ48</f>
        <v>0</v>
      </c>
      <c r="AK48" s="276">
        <f>'7. Reference Rate Calcs'!AK48-'4. Innovation Loans Calcs'!AK48</f>
        <v>0</v>
      </c>
      <c r="AL48" s="276">
        <f>'7. Reference Rate Calcs'!AL48-'4. Innovation Loans Calcs'!AL48</f>
        <v>0</v>
      </c>
      <c r="AM48" s="276">
        <f>'7. Reference Rate Calcs'!AM48-'4. Innovation Loans Calcs'!AM48</f>
        <v>0</v>
      </c>
      <c r="AN48" s="276">
        <f>'7. Reference Rate Calcs'!AN48-'4. Innovation Loans Calcs'!AN48</f>
        <v>0</v>
      </c>
      <c r="AO48" s="276">
        <f>'7. Reference Rate Calcs'!AO48-'4. Innovation Loans Calcs'!AO48</f>
        <v>0</v>
      </c>
      <c r="AP48" s="276">
        <f>'7. Reference Rate Calcs'!AP48-'4. Innovation Loans Calcs'!AP48</f>
        <v>0</v>
      </c>
    </row>
    <row r="49" spans="2:42" ht="27.95">
      <c r="B49" s="278" t="s">
        <v>236</v>
      </c>
      <c r="C49" s="276">
        <f>'7. Reference Rate Calcs'!C49-'4. Innovation Loans Calcs'!C49</f>
        <v>0</v>
      </c>
      <c r="D49" s="276">
        <f>'7. Reference Rate Calcs'!D49-'4. Innovation Loans Calcs'!D49</f>
        <v>0</v>
      </c>
      <c r="E49" s="276">
        <f>'7. Reference Rate Calcs'!E49-'4. Innovation Loans Calcs'!E49</f>
        <v>0</v>
      </c>
      <c r="F49" s="276">
        <f>'7. Reference Rate Calcs'!F49-'4. Innovation Loans Calcs'!F49</f>
        <v>0</v>
      </c>
      <c r="G49" s="276">
        <f>'7. Reference Rate Calcs'!G49-'4. Innovation Loans Calcs'!G49</f>
        <v>0</v>
      </c>
      <c r="H49" s="276">
        <f>'7. Reference Rate Calcs'!H49-'4. Innovation Loans Calcs'!H49</f>
        <v>0</v>
      </c>
      <c r="I49" s="276">
        <f>'7. Reference Rate Calcs'!I49-'4. Innovation Loans Calcs'!I49</f>
        <v>0</v>
      </c>
      <c r="J49" s="276">
        <f>'7. Reference Rate Calcs'!J49-'4. Innovation Loans Calcs'!J49</f>
        <v>0</v>
      </c>
      <c r="K49" s="276">
        <f>'7. Reference Rate Calcs'!K49-'4. Innovation Loans Calcs'!K49</f>
        <v>0</v>
      </c>
      <c r="L49" s="276">
        <f>'7. Reference Rate Calcs'!L49-'4. Innovation Loans Calcs'!L49</f>
        <v>0</v>
      </c>
      <c r="M49" s="276">
        <f>'7. Reference Rate Calcs'!M49-'4. Innovation Loans Calcs'!M49</f>
        <v>0</v>
      </c>
      <c r="N49" s="276">
        <f>'7. Reference Rate Calcs'!N49-'4. Innovation Loans Calcs'!N49</f>
        <v>0</v>
      </c>
      <c r="O49" s="276">
        <f>'7. Reference Rate Calcs'!O49-'4. Innovation Loans Calcs'!O49</f>
        <v>0</v>
      </c>
      <c r="P49" s="276">
        <f>'7. Reference Rate Calcs'!P49-'4. Innovation Loans Calcs'!P49</f>
        <v>0</v>
      </c>
      <c r="Q49" s="276">
        <f>'7. Reference Rate Calcs'!Q49-'4. Innovation Loans Calcs'!Q49</f>
        <v>0</v>
      </c>
      <c r="R49" s="276">
        <f>'7. Reference Rate Calcs'!R49-'4. Innovation Loans Calcs'!R49</f>
        <v>0</v>
      </c>
      <c r="S49" s="276">
        <f>'7. Reference Rate Calcs'!S49-'4. Innovation Loans Calcs'!S49</f>
        <v>0</v>
      </c>
      <c r="T49" s="276">
        <f>'7. Reference Rate Calcs'!T49-'4. Innovation Loans Calcs'!T49</f>
        <v>0</v>
      </c>
      <c r="U49" s="276">
        <f>'7. Reference Rate Calcs'!U49-'4. Innovation Loans Calcs'!U49</f>
        <v>0</v>
      </c>
      <c r="V49" s="276">
        <f>'7. Reference Rate Calcs'!V49-'4. Innovation Loans Calcs'!V49</f>
        <v>0</v>
      </c>
      <c r="W49" s="276">
        <f>'7. Reference Rate Calcs'!W49-'4. Innovation Loans Calcs'!W49</f>
        <v>0</v>
      </c>
      <c r="X49" s="276">
        <f>'7. Reference Rate Calcs'!X49-'4. Innovation Loans Calcs'!X49</f>
        <v>0</v>
      </c>
      <c r="Y49" s="276">
        <f>'7. Reference Rate Calcs'!Y49-'4. Innovation Loans Calcs'!Y49</f>
        <v>0</v>
      </c>
      <c r="Z49" s="276">
        <f>'7. Reference Rate Calcs'!Z49-'4. Innovation Loans Calcs'!Z49</f>
        <v>0</v>
      </c>
      <c r="AA49" s="276">
        <f>'7. Reference Rate Calcs'!AA49-'4. Innovation Loans Calcs'!AA49</f>
        <v>0</v>
      </c>
      <c r="AB49" s="276">
        <f>'7. Reference Rate Calcs'!AB49-'4. Innovation Loans Calcs'!AB49</f>
        <v>0</v>
      </c>
      <c r="AC49" s="276">
        <f>'7. Reference Rate Calcs'!AC49-'4. Innovation Loans Calcs'!AC49</f>
        <v>0</v>
      </c>
      <c r="AD49" s="276">
        <f>'7. Reference Rate Calcs'!AD49-'4. Innovation Loans Calcs'!AD49</f>
        <v>0</v>
      </c>
      <c r="AE49" s="276">
        <f>'7. Reference Rate Calcs'!AE49-'4. Innovation Loans Calcs'!AE49</f>
        <v>0</v>
      </c>
      <c r="AF49" s="276">
        <f>'7. Reference Rate Calcs'!AF49-'4. Innovation Loans Calcs'!AF49</f>
        <v>0</v>
      </c>
      <c r="AG49" s="276">
        <f>'7. Reference Rate Calcs'!AG49-'4. Innovation Loans Calcs'!AG49</f>
        <v>0</v>
      </c>
      <c r="AH49" s="276">
        <f>'7. Reference Rate Calcs'!AH49-'4. Innovation Loans Calcs'!AH49</f>
        <v>0</v>
      </c>
      <c r="AI49" s="276">
        <f>'7. Reference Rate Calcs'!AI49-'4. Innovation Loans Calcs'!AI49</f>
        <v>0</v>
      </c>
      <c r="AJ49" s="276">
        <f>'7. Reference Rate Calcs'!AJ49-'4. Innovation Loans Calcs'!AJ49</f>
        <v>0</v>
      </c>
      <c r="AK49" s="276">
        <f>'7. Reference Rate Calcs'!AK49-'4. Innovation Loans Calcs'!AK49</f>
        <v>0</v>
      </c>
      <c r="AL49" s="276">
        <f>'7. Reference Rate Calcs'!AL49-'4. Innovation Loans Calcs'!AL49</f>
        <v>0</v>
      </c>
      <c r="AM49" s="276">
        <f>'7. Reference Rate Calcs'!AM49-'4. Innovation Loans Calcs'!AM49</f>
        <v>0</v>
      </c>
      <c r="AN49" s="276">
        <f>'7. Reference Rate Calcs'!AN49-'4. Innovation Loans Calcs'!AN49</f>
        <v>0</v>
      </c>
      <c r="AO49" s="276">
        <f>'7. Reference Rate Calcs'!AO49-'4. Innovation Loans Calcs'!AO49</f>
        <v>0</v>
      </c>
      <c r="AP49" s="276">
        <f>'7. Reference Rate Calcs'!AP49-'4. Innovation Loans Calcs'!AP49</f>
        <v>0</v>
      </c>
    </row>
    <row r="50" spans="2:42" ht="27.95">
      <c r="B50" s="378" t="s">
        <v>237</v>
      </c>
      <c r="C50" s="276">
        <f>'7. Reference Rate Calcs'!C50-'4. Innovation Loans Calcs'!C50</f>
        <v>0</v>
      </c>
      <c r="D50" s="276">
        <f>'7. Reference Rate Calcs'!D50-'4. Innovation Loans Calcs'!D50</f>
        <v>0</v>
      </c>
      <c r="E50" s="276">
        <f>'7. Reference Rate Calcs'!E50-'4. Innovation Loans Calcs'!E50</f>
        <v>0</v>
      </c>
      <c r="F50" s="276">
        <f>'7. Reference Rate Calcs'!F50-'4. Innovation Loans Calcs'!F50</f>
        <v>0</v>
      </c>
      <c r="G50" s="276">
        <f>'7. Reference Rate Calcs'!G50-'4. Innovation Loans Calcs'!G50</f>
        <v>0</v>
      </c>
      <c r="H50" s="276">
        <f>'7. Reference Rate Calcs'!H50-'4. Innovation Loans Calcs'!H50</f>
        <v>0</v>
      </c>
      <c r="I50" s="276">
        <f>'7. Reference Rate Calcs'!I50-'4. Innovation Loans Calcs'!I50</f>
        <v>0</v>
      </c>
      <c r="J50" s="276">
        <f>'7. Reference Rate Calcs'!J50-'4. Innovation Loans Calcs'!J50</f>
        <v>0</v>
      </c>
      <c r="K50" s="276">
        <f>'7. Reference Rate Calcs'!K50-'4. Innovation Loans Calcs'!K50</f>
        <v>0</v>
      </c>
      <c r="L50" s="276">
        <f>'7. Reference Rate Calcs'!L50-'4. Innovation Loans Calcs'!L50</f>
        <v>0</v>
      </c>
      <c r="M50" s="276">
        <f>'7. Reference Rate Calcs'!M50-'4. Innovation Loans Calcs'!M50</f>
        <v>0</v>
      </c>
      <c r="N50" s="276">
        <f>'7. Reference Rate Calcs'!N50-'4. Innovation Loans Calcs'!N50</f>
        <v>0</v>
      </c>
      <c r="O50" s="276">
        <f>'7. Reference Rate Calcs'!O50-'4. Innovation Loans Calcs'!O50</f>
        <v>0</v>
      </c>
      <c r="P50" s="276">
        <f>'7. Reference Rate Calcs'!P50-'4. Innovation Loans Calcs'!P50</f>
        <v>0</v>
      </c>
      <c r="Q50" s="276">
        <f>'7. Reference Rate Calcs'!Q50-'4. Innovation Loans Calcs'!Q50</f>
        <v>0</v>
      </c>
      <c r="R50" s="276">
        <f>'7. Reference Rate Calcs'!R50-'4. Innovation Loans Calcs'!R50</f>
        <v>0</v>
      </c>
      <c r="S50" s="276">
        <f>'7. Reference Rate Calcs'!S50-'4. Innovation Loans Calcs'!S50</f>
        <v>0</v>
      </c>
      <c r="T50" s="276">
        <f>'7. Reference Rate Calcs'!T50-'4. Innovation Loans Calcs'!T50</f>
        <v>0</v>
      </c>
      <c r="U50" s="276">
        <f>'7. Reference Rate Calcs'!U50-'4. Innovation Loans Calcs'!U50</f>
        <v>0</v>
      </c>
      <c r="V50" s="276">
        <f>'7. Reference Rate Calcs'!V50-'4. Innovation Loans Calcs'!V50</f>
        <v>0</v>
      </c>
      <c r="W50" s="276">
        <f>'7. Reference Rate Calcs'!W50-'4. Innovation Loans Calcs'!W50</f>
        <v>0</v>
      </c>
      <c r="X50" s="276">
        <f>'7. Reference Rate Calcs'!X50-'4. Innovation Loans Calcs'!X50</f>
        <v>0</v>
      </c>
      <c r="Y50" s="276">
        <f>'7. Reference Rate Calcs'!Y50-'4. Innovation Loans Calcs'!Y50</f>
        <v>0</v>
      </c>
      <c r="Z50" s="276">
        <f>'7. Reference Rate Calcs'!Z50-'4. Innovation Loans Calcs'!Z50</f>
        <v>0</v>
      </c>
      <c r="AA50" s="276">
        <f>'7. Reference Rate Calcs'!AA50-'4. Innovation Loans Calcs'!AA50</f>
        <v>0</v>
      </c>
      <c r="AB50" s="276">
        <f>'7. Reference Rate Calcs'!AB50-'4. Innovation Loans Calcs'!AB50</f>
        <v>0</v>
      </c>
      <c r="AC50" s="276">
        <f>'7. Reference Rate Calcs'!AC50-'4. Innovation Loans Calcs'!AC50</f>
        <v>0</v>
      </c>
      <c r="AD50" s="276">
        <f>'7. Reference Rate Calcs'!AD50-'4. Innovation Loans Calcs'!AD50</f>
        <v>0</v>
      </c>
      <c r="AE50" s="276">
        <f>'7. Reference Rate Calcs'!AE50-'4. Innovation Loans Calcs'!AE50</f>
        <v>0</v>
      </c>
      <c r="AF50" s="276">
        <f>'7. Reference Rate Calcs'!AF50-'4. Innovation Loans Calcs'!AF50</f>
        <v>0</v>
      </c>
      <c r="AG50" s="276">
        <f>'7. Reference Rate Calcs'!AG50-'4. Innovation Loans Calcs'!AG50</f>
        <v>0</v>
      </c>
      <c r="AH50" s="276">
        <f>'7. Reference Rate Calcs'!AH50-'4. Innovation Loans Calcs'!AH50</f>
        <v>0</v>
      </c>
      <c r="AI50" s="276">
        <f>'7. Reference Rate Calcs'!AI50-'4. Innovation Loans Calcs'!AI50</f>
        <v>0</v>
      </c>
      <c r="AJ50" s="276">
        <f>'7. Reference Rate Calcs'!AJ50-'4. Innovation Loans Calcs'!AJ50</f>
        <v>0</v>
      </c>
      <c r="AK50" s="276">
        <f>'7. Reference Rate Calcs'!AK50-'4. Innovation Loans Calcs'!AK50</f>
        <v>0</v>
      </c>
      <c r="AL50" s="276">
        <f>'7. Reference Rate Calcs'!AL50-'4. Innovation Loans Calcs'!AL50</f>
        <v>0</v>
      </c>
      <c r="AM50" s="276">
        <f>'7. Reference Rate Calcs'!AM50-'4. Innovation Loans Calcs'!AM50</f>
        <v>0</v>
      </c>
      <c r="AN50" s="276">
        <f>'7. Reference Rate Calcs'!AN50-'4. Innovation Loans Calcs'!AN50</f>
        <v>0</v>
      </c>
      <c r="AO50" s="276">
        <f>'7. Reference Rate Calcs'!AO50-'4. Innovation Loans Calcs'!AO50</f>
        <v>0</v>
      </c>
      <c r="AP50" s="276">
        <f>'7. Reference Rate Calcs'!AP50-'4. Innovation Loans Calcs'!AP50</f>
        <v>0</v>
      </c>
    </row>
    <row r="51" spans="2:42" ht="27.95">
      <c r="B51" s="378" t="s">
        <v>238</v>
      </c>
      <c r="C51" s="276">
        <f>'7. Reference Rate Calcs'!C51-'4. Innovation Loans Calcs'!C51</f>
        <v>0</v>
      </c>
      <c r="D51" s="276">
        <f>'7. Reference Rate Calcs'!D51-'4. Innovation Loans Calcs'!D51</f>
        <v>0</v>
      </c>
      <c r="E51" s="276">
        <f>'7. Reference Rate Calcs'!E51-'4. Innovation Loans Calcs'!E51</f>
        <v>0</v>
      </c>
      <c r="F51" s="276">
        <f>'7. Reference Rate Calcs'!F51-'4. Innovation Loans Calcs'!F51</f>
        <v>0</v>
      </c>
      <c r="G51" s="276">
        <f>'7. Reference Rate Calcs'!G51-'4. Innovation Loans Calcs'!G51</f>
        <v>0</v>
      </c>
      <c r="H51" s="276">
        <f>'7. Reference Rate Calcs'!H51-'4. Innovation Loans Calcs'!H51</f>
        <v>0</v>
      </c>
      <c r="I51" s="276">
        <f>'7. Reference Rate Calcs'!I51-'4. Innovation Loans Calcs'!I51</f>
        <v>0</v>
      </c>
      <c r="J51" s="276">
        <f>'7. Reference Rate Calcs'!J51-'4. Innovation Loans Calcs'!J51</f>
        <v>0</v>
      </c>
      <c r="K51" s="276">
        <f>'7. Reference Rate Calcs'!K51-'4. Innovation Loans Calcs'!K51</f>
        <v>0</v>
      </c>
      <c r="L51" s="276">
        <f>'7. Reference Rate Calcs'!L51-'4. Innovation Loans Calcs'!L51</f>
        <v>0</v>
      </c>
      <c r="M51" s="276">
        <f>'7. Reference Rate Calcs'!M51-'4. Innovation Loans Calcs'!M51</f>
        <v>0</v>
      </c>
      <c r="N51" s="276">
        <f>'7. Reference Rate Calcs'!N51-'4. Innovation Loans Calcs'!N51</f>
        <v>0</v>
      </c>
      <c r="O51" s="276">
        <f>'7. Reference Rate Calcs'!O51-'4. Innovation Loans Calcs'!O51</f>
        <v>0</v>
      </c>
      <c r="P51" s="276">
        <f>'7. Reference Rate Calcs'!P51-'4. Innovation Loans Calcs'!P51</f>
        <v>0</v>
      </c>
      <c r="Q51" s="276">
        <f>'7. Reference Rate Calcs'!Q51-'4. Innovation Loans Calcs'!Q51</f>
        <v>0</v>
      </c>
      <c r="R51" s="276">
        <f>'7. Reference Rate Calcs'!R51-'4. Innovation Loans Calcs'!R51</f>
        <v>0</v>
      </c>
      <c r="S51" s="276">
        <f>'7. Reference Rate Calcs'!S51-'4. Innovation Loans Calcs'!S51</f>
        <v>0</v>
      </c>
      <c r="T51" s="276">
        <f>'7. Reference Rate Calcs'!T51-'4. Innovation Loans Calcs'!T51</f>
        <v>0</v>
      </c>
      <c r="U51" s="276">
        <f>'7. Reference Rate Calcs'!U51-'4. Innovation Loans Calcs'!U51</f>
        <v>0</v>
      </c>
      <c r="V51" s="276">
        <f>'7. Reference Rate Calcs'!V51-'4. Innovation Loans Calcs'!V51</f>
        <v>0</v>
      </c>
      <c r="W51" s="276">
        <f>'7. Reference Rate Calcs'!W51-'4. Innovation Loans Calcs'!W51</f>
        <v>0</v>
      </c>
      <c r="X51" s="276">
        <f>'7. Reference Rate Calcs'!X51-'4. Innovation Loans Calcs'!X51</f>
        <v>0</v>
      </c>
      <c r="Y51" s="276">
        <f>'7. Reference Rate Calcs'!Y51-'4. Innovation Loans Calcs'!Y51</f>
        <v>0</v>
      </c>
      <c r="Z51" s="276">
        <f>'7. Reference Rate Calcs'!Z51-'4. Innovation Loans Calcs'!Z51</f>
        <v>0</v>
      </c>
      <c r="AA51" s="276">
        <f>'7. Reference Rate Calcs'!AA51-'4. Innovation Loans Calcs'!AA51</f>
        <v>0</v>
      </c>
      <c r="AB51" s="276">
        <f>'7. Reference Rate Calcs'!AB51-'4. Innovation Loans Calcs'!AB51</f>
        <v>0</v>
      </c>
      <c r="AC51" s="276">
        <f>'7. Reference Rate Calcs'!AC51-'4. Innovation Loans Calcs'!AC51</f>
        <v>0</v>
      </c>
      <c r="AD51" s="276">
        <f>'7. Reference Rate Calcs'!AD51-'4. Innovation Loans Calcs'!AD51</f>
        <v>0</v>
      </c>
      <c r="AE51" s="276">
        <f>'7. Reference Rate Calcs'!AE51-'4. Innovation Loans Calcs'!AE51</f>
        <v>0</v>
      </c>
      <c r="AF51" s="276">
        <f>'7. Reference Rate Calcs'!AF51-'4. Innovation Loans Calcs'!AF51</f>
        <v>0</v>
      </c>
      <c r="AG51" s="276">
        <f>'7. Reference Rate Calcs'!AG51-'4. Innovation Loans Calcs'!AG51</f>
        <v>0</v>
      </c>
      <c r="AH51" s="276">
        <f>'7. Reference Rate Calcs'!AH51-'4. Innovation Loans Calcs'!AH51</f>
        <v>0</v>
      </c>
      <c r="AI51" s="276">
        <f>'7. Reference Rate Calcs'!AI51-'4. Innovation Loans Calcs'!AI51</f>
        <v>0</v>
      </c>
      <c r="AJ51" s="276">
        <f>'7. Reference Rate Calcs'!AJ51-'4. Innovation Loans Calcs'!AJ51</f>
        <v>0</v>
      </c>
      <c r="AK51" s="276">
        <f>'7. Reference Rate Calcs'!AK51-'4. Innovation Loans Calcs'!AK51</f>
        <v>0</v>
      </c>
      <c r="AL51" s="276">
        <f>'7. Reference Rate Calcs'!AL51-'4. Innovation Loans Calcs'!AL51</f>
        <v>0</v>
      </c>
      <c r="AM51" s="276">
        <f>'7. Reference Rate Calcs'!AM51-'4. Innovation Loans Calcs'!AM51</f>
        <v>0</v>
      </c>
      <c r="AN51" s="276">
        <f>'7. Reference Rate Calcs'!AN51-'4. Innovation Loans Calcs'!AN51</f>
        <v>0</v>
      </c>
      <c r="AO51" s="276">
        <f>'7. Reference Rate Calcs'!AO51-'4. Innovation Loans Calcs'!AO51</f>
        <v>0</v>
      </c>
      <c r="AP51" s="276">
        <f>'7. Reference Rate Calcs'!AP51-'4. Innovation Loans Calcs'!AP51</f>
        <v>0</v>
      </c>
    </row>
    <row r="52" spans="2:42" ht="42">
      <c r="B52" s="278" t="s">
        <v>239</v>
      </c>
      <c r="C52" s="276">
        <f>'7. Reference Rate Calcs'!C52-'4. Innovation Loans Calcs'!C52</f>
        <v>0</v>
      </c>
      <c r="D52" s="276">
        <f>'7. Reference Rate Calcs'!D52-'4. Innovation Loans Calcs'!D52</f>
        <v>0</v>
      </c>
      <c r="E52" s="276">
        <f>'7. Reference Rate Calcs'!E52-'4. Innovation Loans Calcs'!E52</f>
        <v>0</v>
      </c>
      <c r="F52" s="276">
        <f>'7. Reference Rate Calcs'!F52-'4. Innovation Loans Calcs'!F52</f>
        <v>0</v>
      </c>
      <c r="G52" s="276">
        <f>'7. Reference Rate Calcs'!G52-'4. Innovation Loans Calcs'!G52</f>
        <v>0</v>
      </c>
      <c r="H52" s="276">
        <f>'7. Reference Rate Calcs'!H52-'4. Innovation Loans Calcs'!H52</f>
        <v>0</v>
      </c>
      <c r="I52" s="276">
        <f>'7. Reference Rate Calcs'!I52-'4. Innovation Loans Calcs'!I52</f>
        <v>0</v>
      </c>
      <c r="J52" s="276">
        <f>'7. Reference Rate Calcs'!J52-'4. Innovation Loans Calcs'!J52</f>
        <v>0</v>
      </c>
      <c r="K52" s="276">
        <f>'7. Reference Rate Calcs'!K52-'4. Innovation Loans Calcs'!K52</f>
        <v>0</v>
      </c>
      <c r="L52" s="276">
        <f>'7. Reference Rate Calcs'!L52-'4. Innovation Loans Calcs'!L52</f>
        <v>0</v>
      </c>
      <c r="M52" s="276">
        <f>'7. Reference Rate Calcs'!M52-'4. Innovation Loans Calcs'!M52</f>
        <v>0</v>
      </c>
      <c r="N52" s="276">
        <f>'7. Reference Rate Calcs'!N52-'4. Innovation Loans Calcs'!N52</f>
        <v>0</v>
      </c>
      <c r="O52" s="276">
        <f>'7. Reference Rate Calcs'!O52-'4. Innovation Loans Calcs'!O52</f>
        <v>0</v>
      </c>
      <c r="P52" s="276">
        <f>'7. Reference Rate Calcs'!P52-'4. Innovation Loans Calcs'!P52</f>
        <v>0</v>
      </c>
      <c r="Q52" s="276">
        <f>'7. Reference Rate Calcs'!Q52-'4. Innovation Loans Calcs'!Q52</f>
        <v>0</v>
      </c>
      <c r="R52" s="276">
        <f>'7. Reference Rate Calcs'!R52-'4. Innovation Loans Calcs'!R52</f>
        <v>0</v>
      </c>
      <c r="S52" s="276">
        <f>'7. Reference Rate Calcs'!S52-'4. Innovation Loans Calcs'!S52</f>
        <v>0</v>
      </c>
      <c r="T52" s="276">
        <f>'7. Reference Rate Calcs'!T52-'4. Innovation Loans Calcs'!T52</f>
        <v>0</v>
      </c>
      <c r="U52" s="276">
        <f>'7. Reference Rate Calcs'!U52-'4. Innovation Loans Calcs'!U52</f>
        <v>0</v>
      </c>
      <c r="V52" s="276">
        <f>'7. Reference Rate Calcs'!V52-'4. Innovation Loans Calcs'!V52</f>
        <v>0</v>
      </c>
      <c r="W52" s="276">
        <f>'7. Reference Rate Calcs'!W52-'4. Innovation Loans Calcs'!W52</f>
        <v>0</v>
      </c>
      <c r="X52" s="276">
        <f>'7. Reference Rate Calcs'!X52-'4. Innovation Loans Calcs'!X52</f>
        <v>0</v>
      </c>
      <c r="Y52" s="276">
        <f>'7. Reference Rate Calcs'!Y52-'4. Innovation Loans Calcs'!Y52</f>
        <v>0</v>
      </c>
      <c r="Z52" s="276">
        <f>'7. Reference Rate Calcs'!Z52-'4. Innovation Loans Calcs'!Z52</f>
        <v>0</v>
      </c>
      <c r="AA52" s="276">
        <f>'7. Reference Rate Calcs'!AA52-'4. Innovation Loans Calcs'!AA52</f>
        <v>0</v>
      </c>
      <c r="AB52" s="276">
        <f>'7. Reference Rate Calcs'!AB52-'4. Innovation Loans Calcs'!AB52</f>
        <v>0</v>
      </c>
      <c r="AC52" s="276">
        <f>'7. Reference Rate Calcs'!AC52-'4. Innovation Loans Calcs'!AC52</f>
        <v>0</v>
      </c>
      <c r="AD52" s="276">
        <f>'7. Reference Rate Calcs'!AD52-'4. Innovation Loans Calcs'!AD52</f>
        <v>0</v>
      </c>
      <c r="AE52" s="276">
        <f>'7. Reference Rate Calcs'!AE52-'4. Innovation Loans Calcs'!AE52</f>
        <v>0</v>
      </c>
      <c r="AF52" s="276">
        <f>'7. Reference Rate Calcs'!AF52-'4. Innovation Loans Calcs'!AF52</f>
        <v>0</v>
      </c>
      <c r="AG52" s="276">
        <f>'7. Reference Rate Calcs'!AG52-'4. Innovation Loans Calcs'!AG52</f>
        <v>0</v>
      </c>
      <c r="AH52" s="276">
        <f>'7. Reference Rate Calcs'!AH52-'4. Innovation Loans Calcs'!AH52</f>
        <v>0</v>
      </c>
      <c r="AI52" s="276">
        <f>'7. Reference Rate Calcs'!AI52-'4. Innovation Loans Calcs'!AI52</f>
        <v>0</v>
      </c>
      <c r="AJ52" s="276">
        <f>'7. Reference Rate Calcs'!AJ52-'4. Innovation Loans Calcs'!AJ52</f>
        <v>0</v>
      </c>
      <c r="AK52" s="276">
        <f>'7. Reference Rate Calcs'!AK52-'4. Innovation Loans Calcs'!AK52</f>
        <v>0</v>
      </c>
      <c r="AL52" s="276">
        <f>'7. Reference Rate Calcs'!AL52-'4. Innovation Loans Calcs'!AL52</f>
        <v>0</v>
      </c>
      <c r="AM52" s="276">
        <f>'7. Reference Rate Calcs'!AM52-'4. Innovation Loans Calcs'!AM52</f>
        <v>0</v>
      </c>
      <c r="AN52" s="276">
        <f>'7. Reference Rate Calcs'!AN52-'4. Innovation Loans Calcs'!AN52</f>
        <v>0</v>
      </c>
      <c r="AO52" s="276">
        <f>'7. Reference Rate Calcs'!AO52-'4. Innovation Loans Calcs'!AO52</f>
        <v>0</v>
      </c>
      <c r="AP52" s="276">
        <f>'7. Reference Rate Calcs'!AP52-'4. Innovation Loans Calcs'!AP52</f>
        <v>0</v>
      </c>
    </row>
    <row r="53" spans="2:42">
      <c r="B53" s="374" t="s">
        <v>220</v>
      </c>
      <c r="C53" s="375">
        <f>IFERROR(C45,0)</f>
        <v>0</v>
      </c>
      <c r="D53" s="375">
        <f t="shared" ref="D53:AP53" si="2">IFERROR(D45,0)</f>
        <v>0</v>
      </c>
      <c r="E53" s="375">
        <f t="shared" si="2"/>
        <v>0</v>
      </c>
      <c r="F53" s="375">
        <f t="shared" si="2"/>
        <v>0</v>
      </c>
      <c r="G53" s="375">
        <f t="shared" si="2"/>
        <v>0</v>
      </c>
      <c r="H53" s="375">
        <f t="shared" si="2"/>
        <v>0</v>
      </c>
      <c r="I53" s="375">
        <f t="shared" si="2"/>
        <v>0</v>
      </c>
      <c r="J53" s="375">
        <f t="shared" si="2"/>
        <v>0</v>
      </c>
      <c r="K53" s="375">
        <f t="shared" si="2"/>
        <v>0</v>
      </c>
      <c r="L53" s="375">
        <f t="shared" si="2"/>
        <v>0</v>
      </c>
      <c r="M53" s="375">
        <f t="shared" si="2"/>
        <v>0</v>
      </c>
      <c r="N53" s="375">
        <f t="shared" si="2"/>
        <v>0</v>
      </c>
      <c r="O53" s="375">
        <f t="shared" si="2"/>
        <v>0</v>
      </c>
      <c r="P53" s="375">
        <f t="shared" si="2"/>
        <v>0</v>
      </c>
      <c r="Q53" s="375">
        <f t="shared" si="2"/>
        <v>0</v>
      </c>
      <c r="R53" s="375">
        <f t="shared" si="2"/>
        <v>0</v>
      </c>
      <c r="S53" s="375">
        <f t="shared" si="2"/>
        <v>0</v>
      </c>
      <c r="T53" s="375">
        <f t="shared" si="2"/>
        <v>0</v>
      </c>
      <c r="U53" s="375">
        <f t="shared" si="2"/>
        <v>0</v>
      </c>
      <c r="V53" s="375">
        <f t="shared" si="2"/>
        <v>0</v>
      </c>
      <c r="W53" s="375">
        <f t="shared" si="2"/>
        <v>0</v>
      </c>
      <c r="X53" s="375">
        <f t="shared" si="2"/>
        <v>0</v>
      </c>
      <c r="Y53" s="375">
        <f t="shared" si="2"/>
        <v>0</v>
      </c>
      <c r="Z53" s="375">
        <f t="shared" si="2"/>
        <v>0</v>
      </c>
      <c r="AA53" s="375">
        <f t="shared" si="2"/>
        <v>0</v>
      </c>
      <c r="AB53" s="375">
        <f t="shared" si="2"/>
        <v>0</v>
      </c>
      <c r="AC53" s="375">
        <f t="shared" si="2"/>
        <v>0</v>
      </c>
      <c r="AD53" s="375">
        <f t="shared" si="2"/>
        <v>0</v>
      </c>
      <c r="AE53" s="375">
        <f t="shared" si="2"/>
        <v>0</v>
      </c>
      <c r="AF53" s="375">
        <f t="shared" si="2"/>
        <v>0</v>
      </c>
      <c r="AG53" s="375">
        <f t="shared" si="2"/>
        <v>0</v>
      </c>
      <c r="AH53" s="375">
        <f t="shared" si="2"/>
        <v>0</v>
      </c>
      <c r="AI53" s="375">
        <f t="shared" si="2"/>
        <v>0</v>
      </c>
      <c r="AJ53" s="375">
        <f t="shared" si="2"/>
        <v>0</v>
      </c>
      <c r="AK53" s="375">
        <f t="shared" si="2"/>
        <v>0</v>
      </c>
      <c r="AL53" s="375">
        <f t="shared" si="2"/>
        <v>0</v>
      </c>
      <c r="AM53" s="375">
        <f t="shared" si="2"/>
        <v>0</v>
      </c>
      <c r="AN53" s="375">
        <f t="shared" si="2"/>
        <v>0</v>
      </c>
      <c r="AO53" s="375">
        <f t="shared" si="2"/>
        <v>0</v>
      </c>
      <c r="AP53" s="375">
        <f t="shared" si="2"/>
        <v>0</v>
      </c>
    </row>
    <row r="54" spans="2:42" ht="28.5" thickBot="1">
      <c r="B54" s="379" t="s">
        <v>240</v>
      </c>
      <c r="C54" s="280">
        <f t="shared" ref="C54:AP54" si="3">SUM(C48:C52)</f>
        <v>0</v>
      </c>
      <c r="D54" s="280">
        <f t="shared" si="3"/>
        <v>0</v>
      </c>
      <c r="E54" s="280">
        <f t="shared" si="3"/>
        <v>0</v>
      </c>
      <c r="F54" s="280">
        <f t="shared" si="3"/>
        <v>0</v>
      </c>
      <c r="G54" s="280">
        <f t="shared" si="3"/>
        <v>0</v>
      </c>
      <c r="H54" s="280">
        <f t="shared" si="3"/>
        <v>0</v>
      </c>
      <c r="I54" s="280">
        <f t="shared" si="3"/>
        <v>0</v>
      </c>
      <c r="J54" s="280">
        <f t="shared" si="3"/>
        <v>0</v>
      </c>
      <c r="K54" s="280">
        <f t="shared" si="3"/>
        <v>0</v>
      </c>
      <c r="L54" s="280">
        <f t="shared" si="3"/>
        <v>0</v>
      </c>
      <c r="M54" s="280">
        <f t="shared" si="3"/>
        <v>0</v>
      </c>
      <c r="N54" s="280">
        <f t="shared" si="3"/>
        <v>0</v>
      </c>
      <c r="O54" s="280">
        <f t="shared" si="3"/>
        <v>0</v>
      </c>
      <c r="P54" s="280">
        <f t="shared" si="3"/>
        <v>0</v>
      </c>
      <c r="Q54" s="280">
        <f t="shared" si="3"/>
        <v>0</v>
      </c>
      <c r="R54" s="280">
        <f t="shared" si="3"/>
        <v>0</v>
      </c>
      <c r="S54" s="280">
        <f t="shared" si="3"/>
        <v>0</v>
      </c>
      <c r="T54" s="280">
        <f t="shared" si="3"/>
        <v>0</v>
      </c>
      <c r="U54" s="280">
        <f t="shared" si="3"/>
        <v>0</v>
      </c>
      <c r="V54" s="280">
        <f t="shared" si="3"/>
        <v>0</v>
      </c>
      <c r="W54" s="280">
        <f t="shared" si="3"/>
        <v>0</v>
      </c>
      <c r="X54" s="280">
        <f t="shared" si="3"/>
        <v>0</v>
      </c>
      <c r="Y54" s="280">
        <f t="shared" si="3"/>
        <v>0</v>
      </c>
      <c r="Z54" s="280">
        <f t="shared" si="3"/>
        <v>0</v>
      </c>
      <c r="AA54" s="280">
        <f t="shared" si="3"/>
        <v>0</v>
      </c>
      <c r="AB54" s="280">
        <f t="shared" si="3"/>
        <v>0</v>
      </c>
      <c r="AC54" s="280">
        <f t="shared" si="3"/>
        <v>0</v>
      </c>
      <c r="AD54" s="280">
        <f t="shared" si="3"/>
        <v>0</v>
      </c>
      <c r="AE54" s="280">
        <f t="shared" si="3"/>
        <v>0</v>
      </c>
      <c r="AF54" s="280">
        <f t="shared" si="3"/>
        <v>0</v>
      </c>
      <c r="AG54" s="280">
        <f t="shared" si="3"/>
        <v>0</v>
      </c>
      <c r="AH54" s="280">
        <f t="shared" si="3"/>
        <v>0</v>
      </c>
      <c r="AI54" s="280">
        <f t="shared" si="3"/>
        <v>0</v>
      </c>
      <c r="AJ54" s="280">
        <f t="shared" si="3"/>
        <v>0</v>
      </c>
      <c r="AK54" s="280">
        <f t="shared" si="3"/>
        <v>0</v>
      </c>
      <c r="AL54" s="280">
        <f t="shared" si="3"/>
        <v>0</v>
      </c>
      <c r="AM54" s="280">
        <f t="shared" si="3"/>
        <v>0</v>
      </c>
      <c r="AN54" s="280">
        <f t="shared" si="3"/>
        <v>0</v>
      </c>
      <c r="AO54" s="280">
        <f t="shared" si="3"/>
        <v>0</v>
      </c>
      <c r="AP54" s="280">
        <f t="shared" si="3"/>
        <v>0</v>
      </c>
    </row>
    <row r="56" spans="2:42">
      <c r="B56" s="343" t="s">
        <v>241</v>
      </c>
      <c r="C56" s="320">
        <f>SUM(C54:AP54)</f>
        <v>0</v>
      </c>
      <c r="O56" s="282"/>
      <c r="S56" s="282"/>
      <c r="W56" s="282"/>
      <c r="AA56" s="282"/>
    </row>
    <row r="57" spans="2:42">
      <c r="B57" s="343" t="s">
        <v>70</v>
      </c>
      <c r="C57" s="344">
        <f>NPV(C61/4,C54:AA54)</f>
        <v>0</v>
      </c>
    </row>
    <row r="58" spans="2:42">
      <c r="B58" s="345" t="s">
        <v>71</v>
      </c>
      <c r="C58" s="366" t="e">
        <f>C57/'6. Grant Equiv Template'!C9</f>
        <v>#DIV/0!</v>
      </c>
    </row>
    <row r="60" spans="2:42">
      <c r="B60" s="208" t="s">
        <v>242</v>
      </c>
      <c r="C60" s="368">
        <v>4.24E-2</v>
      </c>
    </row>
    <row r="61" spans="2:42">
      <c r="B61" s="208" t="s">
        <v>243</v>
      </c>
      <c r="C61" s="368">
        <f>1%+C60</f>
        <v>5.2400000000000002E-2</v>
      </c>
    </row>
  </sheetData>
  <sheetProtection algorithmName="SHA-512" hashValue="NLEBmxjngH8vuRFa4qWP1jyUv3Eiua5EdzgIhv3VSf4Qg/4EYkLapRJLZZAIXANC9mY8UBV+eX/MklltveZuOQ==" saltValue="QTX22xSp6FrtdK3rkN/C1Q==" spinCount="100000" sheet="1" formatColumns="0" formatRows="0"/>
  <mergeCells count="5">
    <mergeCell ref="B2:AO2"/>
    <mergeCell ref="B4:O7"/>
    <mergeCell ref="B9:G11"/>
    <mergeCell ref="I9:M11"/>
    <mergeCell ref="B24:D2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20F7-32C2-4D50-B92C-4AC2CF675C4A}">
  <dimension ref="A1:F15"/>
  <sheetViews>
    <sheetView showGridLines="0" workbookViewId="0">
      <selection activeCell="G12" sqref="G12"/>
    </sheetView>
  </sheetViews>
  <sheetFormatPr defaultRowHeight="14.1"/>
  <cols>
    <col min="6" max="6" width="10.125" bestFit="1" customWidth="1"/>
  </cols>
  <sheetData>
    <row r="1" spans="1:6">
      <c r="A1" s="33" t="s">
        <v>244</v>
      </c>
      <c r="B1" s="33" t="s">
        <v>245</v>
      </c>
      <c r="C1" s="33" t="s">
        <v>246</v>
      </c>
      <c r="D1" s="33" t="s">
        <v>247</v>
      </c>
      <c r="E1" s="33" t="s">
        <v>248</v>
      </c>
      <c r="F1" s="33" t="s">
        <v>249</v>
      </c>
    </row>
    <row r="2" spans="1:6">
      <c r="A2" t="s">
        <v>250</v>
      </c>
      <c r="B2" s="34" t="s">
        <v>251</v>
      </c>
      <c r="C2">
        <v>31</v>
      </c>
      <c r="D2" t="e">
        <f>VLOOKUP('1. Business Financials'!C22,Sheet1!A2:C13,3,FALSE)</f>
        <v>#N/A</v>
      </c>
      <c r="E2" t="e">
        <f>VLOOKUP('1. Business Financials'!C22,Sheet1!A2:C13,2,FALSE)</f>
        <v>#N/A</v>
      </c>
      <c r="F2" t="str">
        <f>MID('1. Business Financials'!C21,4,2)</f>
        <v/>
      </c>
    </row>
    <row r="3" spans="1:6">
      <c r="A3" t="s">
        <v>252</v>
      </c>
      <c r="B3" s="34" t="s">
        <v>253</v>
      </c>
      <c r="C3">
        <v>28</v>
      </c>
      <c r="E3" t="e">
        <f>IF(E2&lt;=F2,1,0)</f>
        <v>#N/A</v>
      </c>
    </row>
    <row r="4" spans="1:6">
      <c r="A4" t="s">
        <v>254</v>
      </c>
      <c r="B4" s="34" t="s">
        <v>255</v>
      </c>
      <c r="C4">
        <v>31</v>
      </c>
    </row>
    <row r="5" spans="1:6">
      <c r="A5" t="s">
        <v>256</v>
      </c>
      <c r="B5" s="34" t="s">
        <v>257</v>
      </c>
      <c r="C5">
        <v>30</v>
      </c>
    </row>
    <row r="6" spans="1:6">
      <c r="A6" t="s">
        <v>258</v>
      </c>
      <c r="B6" s="34" t="s">
        <v>259</v>
      </c>
      <c r="C6">
        <v>31</v>
      </c>
    </row>
    <row r="7" spans="1:6">
      <c r="A7" t="s">
        <v>260</v>
      </c>
      <c r="B7" s="34" t="s">
        <v>261</v>
      </c>
      <c r="C7">
        <v>30</v>
      </c>
    </row>
    <row r="8" spans="1:6">
      <c r="A8" t="s">
        <v>262</v>
      </c>
      <c r="B8" s="34" t="s">
        <v>263</v>
      </c>
      <c r="C8">
        <v>31</v>
      </c>
    </row>
    <row r="9" spans="1:6">
      <c r="A9" t="s">
        <v>264</v>
      </c>
      <c r="B9" s="34" t="s">
        <v>265</v>
      </c>
      <c r="C9">
        <v>31</v>
      </c>
    </row>
    <row r="10" spans="1:6">
      <c r="A10" t="s">
        <v>266</v>
      </c>
      <c r="B10" s="34" t="s">
        <v>267</v>
      </c>
      <c r="C10">
        <v>30</v>
      </c>
    </row>
    <row r="11" spans="1:6">
      <c r="A11" t="s">
        <v>268</v>
      </c>
      <c r="B11" s="34" t="s">
        <v>269</v>
      </c>
      <c r="C11">
        <v>31</v>
      </c>
    </row>
    <row r="12" spans="1:6">
      <c r="A12" t="s">
        <v>270</v>
      </c>
      <c r="B12" s="34" t="s">
        <v>271</v>
      </c>
      <c r="C12">
        <v>30</v>
      </c>
    </row>
    <row r="13" spans="1:6">
      <c r="A13" t="s">
        <v>272</v>
      </c>
      <c r="B13" s="34" t="s">
        <v>273</v>
      </c>
      <c r="C13">
        <v>31</v>
      </c>
    </row>
    <row r="15" spans="1:6">
      <c r="A15" s="35"/>
    </row>
  </sheetData>
  <phoneticPr fontId="2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oject_x0020_Number xmlns="d3d443c6-2baf-4eea-92c3-c8f62deaae7a" xsi:nil="true"/>
    <TaxCatchAll xmlns="2e24dfb7-a69e-40eb-b94f-44b9ca9c25ed" xsi:nil="true"/>
    <lcf76f155ced4ddcb4097134ff3c332f xmlns="c73c72ac-03d0-47c6-8fde-1338a9ae2057">
      <Terms xmlns="http://schemas.microsoft.com/office/infopath/2007/PartnerControls"/>
    </lcf76f155ced4ddcb4097134ff3c332f>
    <Application_x0020_Number xmlns="d3d443c6-2baf-4eea-92c3-c8f62deaae7a" xsi:nil="true"/>
    <Information_x0020_Classification xmlns="d3d443c6-2baf-4eea-92c3-c8f62deaae7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125A628BE135341A00000294A4A08C9" ma:contentTypeVersion="31" ma:contentTypeDescription="Create a new document." ma:contentTypeScope="" ma:versionID="383cf4da30c5cadab2779f5b8dfc4ac3">
  <xsd:schema xmlns:xsd="http://www.w3.org/2001/XMLSchema" xmlns:xs="http://www.w3.org/2001/XMLSchema" xmlns:p="http://schemas.microsoft.com/office/2006/metadata/properties" xmlns:ns2="d3d443c6-2baf-4eea-92c3-c8f62deaae7a" xmlns:ns3="83c8d43a-8591-4fb4-bfef-ee54c449d08b" xmlns:ns4="c73c72ac-03d0-47c6-8fde-1338a9ae2057" xmlns:ns5="2e24dfb7-a69e-40eb-b94f-44b9ca9c25ed" targetNamespace="http://schemas.microsoft.com/office/2006/metadata/properties" ma:root="true" ma:fieldsID="a27ed4fe92c13c09f10c3621c428ead9" ns2:_="" ns3:_="" ns4:_="" ns5:_="">
    <xsd:import namespace="d3d443c6-2baf-4eea-92c3-c8f62deaae7a"/>
    <xsd:import namespace="83c8d43a-8591-4fb4-bfef-ee54c449d08b"/>
    <xsd:import namespace="c73c72ac-03d0-47c6-8fde-1338a9ae2057"/>
    <xsd:import namespace="2e24dfb7-a69e-40eb-b94f-44b9ca9c25ed"/>
    <xsd:element name="properties">
      <xsd:complexType>
        <xsd:sequence>
          <xsd:element name="documentManagement">
            <xsd:complexType>
              <xsd:all>
                <xsd:element ref="ns2:Information_x0020_Classification" minOccurs="0"/>
                <xsd:element ref="ns3:SharedWithUsers" minOccurs="0"/>
                <xsd:element ref="ns3:SharedWithDetails" minOccurs="0"/>
                <xsd:element ref="ns2:Project_x0020_Number" minOccurs="0"/>
                <xsd:element ref="ns2:Application_x0020_Number" minOccurs="0"/>
                <xsd:element ref="ns2:MediaServiceAutoTags" minOccurs="0"/>
                <xsd:element ref="ns2:MediaServiceOCR" minOccurs="0"/>
                <xsd:element ref="ns2:MediaServiceKeyPoints" minOccurs="0"/>
                <xsd:element ref="ns2:MediaServiceLocation" minOccurs="0"/>
                <xsd:element ref="ns2:MediaLengthInSeconds" minOccurs="0"/>
                <xsd:element ref="ns4:MediaServiceMetadata" minOccurs="0"/>
                <xsd:element ref="ns4:MediaServiceFastMetadata" minOccurs="0"/>
                <xsd:element ref="ns4:MediaServiceAutoKeyPoints" minOccurs="0"/>
                <xsd:element ref="ns4:MediaServiceDateTaken" minOccurs="0"/>
                <xsd:element ref="ns4:MediaServiceGenerationTime" minOccurs="0"/>
                <xsd:element ref="ns4:MediaServiceEventHashCode" minOccurs="0"/>
                <xsd:element ref="ns4:lcf76f155ced4ddcb4097134ff3c332f" minOccurs="0"/>
                <xsd:element ref="ns5:TaxCatchAll"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d443c6-2baf-4eea-92c3-c8f62deaae7a" elementFormDefault="qualified">
    <xsd:import namespace="http://schemas.microsoft.com/office/2006/documentManagement/types"/>
    <xsd:import namespace="http://schemas.microsoft.com/office/infopath/2007/PartnerControls"/>
    <xsd:element name="Information_x0020_Classification" ma:index="8" nillable="true" ma:displayName="Information Classification" ma:format="Dropdown" ma:internalName="Information_x0020_Classification">
      <xsd:simpleType>
        <xsd:restriction base="dms:Text">
          <xsd:maxLength value="255"/>
        </xsd:restriction>
      </xsd:simpleType>
    </xsd:element>
    <xsd:element name="Project_x0020_Number" ma:index="11" nillable="true" ma:displayName="Project Number" ma:description="6 digit number and begins with 83" ma:format="Dropdown" ma:internalName="Project_x0020_Number" ma:percentage="FALSE">
      <xsd:simpleType>
        <xsd:restriction base="dms:Number"/>
      </xsd:simpleType>
    </xsd:element>
    <xsd:element name="Application_x0020_Number" ma:index="12" nillable="true" ma:displayName="Application Number" ma:description="Number associated with the application" ma:format="Dropdown" ma:internalName="Application_x0020_Number" ma:percentage="FALSE">
      <xsd:simpleType>
        <xsd:restriction base="dms:Number"/>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c8d43a-8591-4fb4-bfef-ee54c449d08b"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73c72ac-03d0-47c6-8fde-1338a9ae2057"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2f5dd817-92c5-4985-aefa-795407915a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24dfb7-a69e-40eb-b94f-44b9ca9c25ed"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50042082-eb5f-4623-b42f-db5a2ab26ffd}" ma:internalName="TaxCatchAll" ma:showField="CatchAllData" ma:web="0d91df22-8c49-4a21-a619-7554070c9e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Doc Typ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4BA63C23-0A2C-4CE5-B1B1-6FB43E3974CC}"/>
</file>

<file path=customXml/itemProps2.xml><?xml version="1.0" encoding="utf-8"?>
<ds:datastoreItem xmlns:ds="http://schemas.openxmlformats.org/officeDocument/2006/customXml" ds:itemID="{2297C3A4-AF32-45E8-878B-8803F267C775}"/>
</file>

<file path=customXml/itemProps3.xml><?xml version="1.0" encoding="utf-8"?>
<ds:datastoreItem xmlns:ds="http://schemas.openxmlformats.org/officeDocument/2006/customXml" ds:itemID="{ABB75EDA-A47A-4B97-9C78-4035830C491B}"/>
</file>

<file path=customXml/itemProps4.xml><?xml version="1.0" encoding="utf-8"?>
<ds:datastoreItem xmlns:ds="http://schemas.openxmlformats.org/officeDocument/2006/customXml" ds:itemID="{E5E66F66-F4CC-43F1-A068-04467584F3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Hogg - UKRI INNOVATEUK</dc:creator>
  <cp:keywords/>
  <dc:description/>
  <cp:lastModifiedBy>Nigel Walker - Innovate UK UKRI</cp:lastModifiedBy>
  <cp:revision/>
  <dcterms:created xsi:type="dcterms:W3CDTF">2019-07-02T13:02:25Z</dcterms:created>
  <dcterms:modified xsi:type="dcterms:W3CDTF">2023-07-25T17:19:58Z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0x0101001125A628BE135341A00000294A4A08C9</vt:lpwstr>
  </property>
  <property fmtid="{D5CDD505-2E9C-101B-9397-08002B2CF9AE}" pid="3" name="MediaServiceImageTags">
    <vt:lpwstr/>
  </property>
</Properties>
</file>